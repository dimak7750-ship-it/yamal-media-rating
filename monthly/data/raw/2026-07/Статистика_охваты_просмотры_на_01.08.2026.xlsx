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70\Desktop\работа\2026\"/>
    </mc:Choice>
  </mc:AlternateContent>
  <xr:revisionPtr revIDLastSave="0" documentId="13_ncr:1_{84E0BB28-C199-42DD-AEA9-47428B691849}" xr6:coauthVersionLast="47" xr6:coauthVersionMax="47" xr10:uidLastSave="{00000000-0000-0000-0000-000000000000}"/>
  <bookViews>
    <workbookView xWindow="21000" yWindow="696" windowWidth="19656" windowHeight="14976" activeTab="3" xr2:uid="{88965265-A45E-49EE-AB28-BB5A07848875}"/>
  </bookViews>
  <sheets>
    <sheet name="2023" sheetId="1" r:id="rId1"/>
    <sheet name="2024" sheetId="3" r:id="rId2"/>
    <sheet name="2025" sheetId="2" r:id="rId3"/>
    <sheet name="2026" sheetId="5" r:id="rId4"/>
    <sheet name="Рост 2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43" i="5" l="1"/>
  <c r="R31" i="5"/>
  <c r="S31" i="5" s="1"/>
  <c r="R32" i="5"/>
  <c r="R33" i="5"/>
  <c r="S33" i="5" s="1"/>
  <c r="R34" i="5"/>
  <c r="R35" i="5"/>
  <c r="S35" i="5" s="1"/>
  <c r="R36" i="5"/>
  <c r="S36" i="5" s="1"/>
  <c r="R37" i="5"/>
  <c r="S37" i="5" s="1"/>
  <c r="R38" i="5"/>
  <c r="S38" i="5" s="1"/>
  <c r="R39" i="5"/>
  <c r="S39" i="5" s="1"/>
  <c r="R40" i="5"/>
  <c r="S40" i="5" s="1"/>
  <c r="R41" i="5"/>
  <c r="S41" i="5" s="1"/>
  <c r="R42" i="5"/>
  <c r="R43" i="5"/>
  <c r="S43" i="5" s="1"/>
  <c r="R44" i="5"/>
  <c r="S44" i="5" s="1"/>
  <c r="R45" i="5"/>
  <c r="R46" i="5"/>
  <c r="R47" i="5"/>
  <c r="S47" i="5" s="1"/>
  <c r="R48" i="5"/>
  <c r="S32" i="5"/>
  <c r="S34" i="5"/>
  <c r="S42" i="5"/>
  <c r="S29" i="5"/>
  <c r="S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S45" i="5" s="1"/>
  <c r="Q46" i="5"/>
  <c r="Q47" i="5"/>
  <c r="Q48" i="5"/>
  <c r="S48" i="5" s="1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O31" i="5"/>
  <c r="O32" i="5"/>
  <c r="O33" i="5"/>
  <c r="O34" i="5"/>
  <c r="O35" i="5"/>
  <c r="O36" i="5"/>
  <c r="O37" i="5"/>
  <c r="O38" i="5"/>
  <c r="O39" i="5"/>
  <c r="O40" i="5"/>
  <c r="O41" i="5"/>
  <c r="O42" i="5"/>
  <c r="O49" i="5" s="1"/>
  <c r="O43" i="5"/>
  <c r="O44" i="5"/>
  <c r="O45" i="5"/>
  <c r="O46" i="5"/>
  <c r="O47" i="5"/>
  <c r="O48" i="5"/>
  <c r="Q30" i="5"/>
  <c r="P30" i="5"/>
  <c r="O30" i="5"/>
  <c r="AJ49" i="5"/>
  <c r="AE49" i="5"/>
  <c r="AF49" i="5"/>
  <c r="AG49" i="5"/>
  <c r="AH49" i="5"/>
  <c r="AI49" i="5"/>
  <c r="AD49" i="5"/>
  <c r="Y49" i="5"/>
  <c r="AN27" i="5"/>
  <c r="AN18" i="5"/>
  <c r="AN4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5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O43" i="5" s="1"/>
  <c r="AM44" i="5"/>
  <c r="AO44" i="5" s="1"/>
  <c r="AM45" i="5"/>
  <c r="AM46" i="5"/>
  <c r="AO46" i="5" s="1"/>
  <c r="AM47" i="5"/>
  <c r="AO47" i="5" s="1"/>
  <c r="AM48" i="5"/>
  <c r="AO48" i="5" s="1"/>
  <c r="AM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4" i="5"/>
  <c r="AL45" i="5"/>
  <c r="AL46" i="5"/>
  <c r="AL47" i="5"/>
  <c r="AL48" i="5"/>
  <c r="AL30" i="5"/>
  <c r="AK31" i="5"/>
  <c r="AK49" i="5" s="1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C49" i="5"/>
  <c r="V98" i="5"/>
  <c r="V73" i="5"/>
  <c r="V74" i="5" s="1"/>
  <c r="S73" i="5"/>
  <c r="T97" i="5"/>
  <c r="O77" i="5"/>
  <c r="W97" i="5"/>
  <c r="V97" i="5"/>
  <c r="U97" i="5"/>
  <c r="R96" i="5"/>
  <c r="Q96" i="5"/>
  <c r="P96" i="5"/>
  <c r="O96" i="5"/>
  <c r="S96" i="5" s="1"/>
  <c r="R95" i="5"/>
  <c r="Q95" i="5"/>
  <c r="P95" i="5"/>
  <c r="O95" i="5"/>
  <c r="S95" i="5" s="1"/>
  <c r="R94" i="5"/>
  <c r="Q94" i="5"/>
  <c r="P94" i="5"/>
  <c r="O94" i="5"/>
  <c r="R93" i="5"/>
  <c r="Q93" i="5"/>
  <c r="P93" i="5"/>
  <c r="O93" i="5"/>
  <c r="S93" i="5" s="1"/>
  <c r="R92" i="5"/>
  <c r="Q92" i="5"/>
  <c r="P92" i="5"/>
  <c r="O92" i="5"/>
  <c r="S92" i="5" s="1"/>
  <c r="R91" i="5"/>
  <c r="Q91" i="5"/>
  <c r="P91" i="5"/>
  <c r="O91" i="5"/>
  <c r="S91" i="5" s="1"/>
  <c r="R90" i="5"/>
  <c r="Q90" i="5"/>
  <c r="P90" i="5"/>
  <c r="O90" i="5"/>
  <c r="S90" i="5" s="1"/>
  <c r="R89" i="5"/>
  <c r="Q89" i="5"/>
  <c r="P89" i="5"/>
  <c r="O89" i="5"/>
  <c r="S89" i="5" s="1"/>
  <c r="R88" i="5"/>
  <c r="Q88" i="5"/>
  <c r="P88" i="5"/>
  <c r="O88" i="5"/>
  <c r="S88" i="5" s="1"/>
  <c r="R87" i="5"/>
  <c r="Q87" i="5"/>
  <c r="P87" i="5"/>
  <c r="O87" i="5"/>
  <c r="S87" i="5" s="1"/>
  <c r="R86" i="5"/>
  <c r="Q86" i="5"/>
  <c r="P86" i="5"/>
  <c r="O86" i="5"/>
  <c r="R85" i="5"/>
  <c r="Q85" i="5"/>
  <c r="P85" i="5"/>
  <c r="O85" i="5"/>
  <c r="R84" i="5"/>
  <c r="Q84" i="5"/>
  <c r="P84" i="5"/>
  <c r="O84" i="5"/>
  <c r="R83" i="5"/>
  <c r="Q83" i="5"/>
  <c r="P83" i="5"/>
  <c r="O83" i="5"/>
  <c r="R82" i="5"/>
  <c r="Q82" i="5"/>
  <c r="P82" i="5"/>
  <c r="O82" i="5"/>
  <c r="R81" i="5"/>
  <c r="Q81" i="5"/>
  <c r="P81" i="5"/>
  <c r="O81" i="5"/>
  <c r="R80" i="5"/>
  <c r="Q80" i="5"/>
  <c r="P80" i="5"/>
  <c r="O80" i="5"/>
  <c r="S80" i="5" s="1"/>
  <c r="R79" i="5"/>
  <c r="Q79" i="5"/>
  <c r="P79" i="5"/>
  <c r="O79" i="5"/>
  <c r="S79" i="5" s="1"/>
  <c r="R78" i="5"/>
  <c r="Q78" i="5"/>
  <c r="P78" i="5"/>
  <c r="O78" i="5"/>
  <c r="R77" i="5"/>
  <c r="Q77" i="5"/>
  <c r="P77" i="5"/>
  <c r="S76" i="5"/>
  <c r="U73" i="5"/>
  <c r="W73" i="5"/>
  <c r="T7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Q66" i="5"/>
  <c r="Q54" i="5"/>
  <c r="Q55" i="5"/>
  <c r="Q56" i="5"/>
  <c r="Q57" i="5"/>
  <c r="Q58" i="5"/>
  <c r="Q59" i="5"/>
  <c r="Q60" i="5"/>
  <c r="Q61" i="5"/>
  <c r="Q62" i="5"/>
  <c r="Q63" i="5"/>
  <c r="Q64" i="5"/>
  <c r="Q65" i="5"/>
  <c r="Q67" i="5"/>
  <c r="Q68" i="5"/>
  <c r="Q69" i="5"/>
  <c r="Q70" i="5"/>
  <c r="Q71" i="5"/>
  <c r="Q72" i="5"/>
  <c r="P69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70" i="5"/>
  <c r="P71" i="5"/>
  <c r="P72" i="5"/>
  <c r="O54" i="5"/>
  <c r="O55" i="5"/>
  <c r="O56" i="5"/>
  <c r="O57" i="5"/>
  <c r="O58" i="5"/>
  <c r="O59" i="5"/>
  <c r="O60" i="5"/>
  <c r="S60" i="5" s="1"/>
  <c r="O61" i="5"/>
  <c r="O62" i="5"/>
  <c r="S62" i="5" s="1"/>
  <c r="O63" i="5"/>
  <c r="O64" i="5"/>
  <c r="O65" i="5"/>
  <c r="O66" i="5"/>
  <c r="O67" i="5"/>
  <c r="O68" i="5"/>
  <c r="O69" i="5"/>
  <c r="O70" i="5"/>
  <c r="O71" i="5"/>
  <c r="O72" i="5"/>
  <c r="Z49" i="5"/>
  <c r="S46" i="5" l="1"/>
  <c r="AL49" i="5"/>
  <c r="AN49" i="5"/>
  <c r="S86" i="5"/>
  <c r="S94" i="5"/>
  <c r="S83" i="5"/>
  <c r="O97" i="5"/>
  <c r="S85" i="5"/>
  <c r="P97" i="5"/>
  <c r="Q97" i="5"/>
  <c r="S72" i="5"/>
  <c r="S82" i="5"/>
  <c r="S84" i="5"/>
  <c r="S78" i="5"/>
  <c r="W98" i="5"/>
  <c r="R97" i="5"/>
  <c r="S81" i="5"/>
  <c r="S77" i="5"/>
  <c r="S64" i="5"/>
  <c r="S63" i="5"/>
  <c r="S71" i="5"/>
  <c r="S54" i="5"/>
  <c r="S57" i="5"/>
  <c r="S70" i="5"/>
  <c r="S59" i="5"/>
  <c r="S56" i="5"/>
  <c r="S58" i="5"/>
  <c r="P73" i="5"/>
  <c r="S65" i="5"/>
  <c r="S55" i="5"/>
  <c r="S68" i="5"/>
  <c r="S67" i="5"/>
  <c r="S66" i="5"/>
  <c r="S61" i="5"/>
  <c r="S69" i="5"/>
  <c r="V49" i="5"/>
  <c r="T49" i="5"/>
  <c r="U49" i="5"/>
  <c r="W49" i="5"/>
  <c r="W74" i="5" s="1"/>
  <c r="AA49" i="5"/>
  <c r="AB49" i="5"/>
  <c r="R23" i="5"/>
  <c r="Q20" i="5"/>
  <c r="AN14" i="5"/>
  <c r="AN15" i="5"/>
  <c r="AN16" i="5"/>
  <c r="AN17" i="5"/>
  <c r="AN19" i="5"/>
  <c r="AN20" i="5"/>
  <c r="AN21" i="5"/>
  <c r="AN22" i="5"/>
  <c r="AN23" i="5"/>
  <c r="AN24" i="5"/>
  <c r="AN25" i="5"/>
  <c r="AN26" i="5"/>
  <c r="AN28" i="5"/>
  <c r="AN29" i="5"/>
  <c r="AM14" i="5"/>
  <c r="AM15" i="5"/>
  <c r="AM16" i="5"/>
  <c r="AM17" i="5"/>
  <c r="AM18" i="5"/>
  <c r="AM19" i="5"/>
  <c r="AM20" i="5"/>
  <c r="AM21" i="5"/>
  <c r="AO21" i="5" s="1"/>
  <c r="AM22" i="5"/>
  <c r="AM23" i="5"/>
  <c r="AM24" i="5"/>
  <c r="AM25" i="5"/>
  <c r="AM26" i="5"/>
  <c r="AM27" i="5"/>
  <c r="AM28" i="5"/>
  <c r="AM29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R14" i="5"/>
  <c r="R15" i="5"/>
  <c r="R16" i="5"/>
  <c r="R17" i="5"/>
  <c r="R18" i="5"/>
  <c r="R19" i="5"/>
  <c r="R20" i="5"/>
  <c r="R21" i="5"/>
  <c r="R22" i="5"/>
  <c r="R24" i="5"/>
  <c r="R25" i="5"/>
  <c r="R26" i="5"/>
  <c r="R27" i="5"/>
  <c r="R28" i="5"/>
  <c r="R29" i="5"/>
  <c r="Q14" i="5"/>
  <c r="Q15" i="5"/>
  <c r="Q16" i="5"/>
  <c r="Q17" i="5"/>
  <c r="Q18" i="5"/>
  <c r="Q19" i="5"/>
  <c r="Q21" i="5"/>
  <c r="Q22" i="5"/>
  <c r="Q23" i="5"/>
  <c r="Q24" i="5"/>
  <c r="Q25" i="5"/>
  <c r="Q26" i="5"/>
  <c r="Q27" i="5"/>
  <c r="Q28" i="5"/>
  <c r="Q29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O14" i="5"/>
  <c r="O15" i="5"/>
  <c r="O16" i="5"/>
  <c r="O17" i="5"/>
  <c r="O18" i="5"/>
  <c r="O19" i="5"/>
  <c r="O20" i="5"/>
  <c r="O21" i="5"/>
  <c r="O22" i="5"/>
  <c r="O23" i="5"/>
  <c r="O24" i="5"/>
  <c r="O26" i="5"/>
  <c r="O27" i="5"/>
  <c r="O28" i="5"/>
  <c r="O29" i="5"/>
  <c r="R12" i="5"/>
  <c r="Q12" i="5"/>
  <c r="P12" i="5"/>
  <c r="O12" i="5"/>
  <c r="O13" i="5"/>
  <c r="P13" i="5"/>
  <c r="Q13" i="5"/>
  <c r="R13" i="5"/>
  <c r="D25" i="5"/>
  <c r="O25" i="5" s="1"/>
  <c r="P4" i="5"/>
  <c r="AK5" i="5"/>
  <c r="AL5" i="5"/>
  <c r="AM5" i="5"/>
  <c r="AN5" i="5"/>
  <c r="AK6" i="5"/>
  <c r="AL6" i="5"/>
  <c r="AM6" i="5"/>
  <c r="AN6" i="5"/>
  <c r="AK7" i="5"/>
  <c r="AL7" i="5"/>
  <c r="AM7" i="5"/>
  <c r="AN7" i="5"/>
  <c r="AK8" i="5"/>
  <c r="AL8" i="5"/>
  <c r="AM8" i="5"/>
  <c r="AN8" i="5"/>
  <c r="AK9" i="5"/>
  <c r="AL9" i="5"/>
  <c r="AM9" i="5"/>
  <c r="AN9" i="5"/>
  <c r="AK10" i="5"/>
  <c r="AL10" i="5"/>
  <c r="AM10" i="5"/>
  <c r="AN10" i="5"/>
  <c r="AK11" i="5"/>
  <c r="AL11" i="5"/>
  <c r="AM11" i="5"/>
  <c r="AN11" i="5"/>
  <c r="AK12" i="5"/>
  <c r="AL12" i="5"/>
  <c r="AM12" i="5"/>
  <c r="AN12" i="5"/>
  <c r="AK13" i="5"/>
  <c r="AL13" i="5"/>
  <c r="AM13" i="5"/>
  <c r="AN13" i="5"/>
  <c r="AK30" i="5"/>
  <c r="AM4" i="5"/>
  <c r="AL4" i="5"/>
  <c r="AK4" i="5"/>
  <c r="R53" i="5"/>
  <c r="R73" i="5" s="1"/>
  <c r="Q53" i="5"/>
  <c r="P53" i="5"/>
  <c r="O53" i="5"/>
  <c r="O73" i="5" s="1"/>
  <c r="R5" i="5"/>
  <c r="R6" i="5"/>
  <c r="R7" i="5"/>
  <c r="R8" i="5"/>
  <c r="R9" i="5"/>
  <c r="R10" i="5"/>
  <c r="R11" i="5"/>
  <c r="R30" i="5"/>
  <c r="Q5" i="5"/>
  <c r="Q6" i="5"/>
  <c r="Q7" i="5"/>
  <c r="Q8" i="5"/>
  <c r="Q9" i="5"/>
  <c r="Q10" i="5"/>
  <c r="Q11" i="5"/>
  <c r="R4" i="5"/>
  <c r="Q4" i="5"/>
  <c r="P5" i="5"/>
  <c r="P6" i="5"/>
  <c r="P7" i="5"/>
  <c r="P8" i="5"/>
  <c r="P9" i="5"/>
  <c r="P10" i="5"/>
  <c r="P11" i="5"/>
  <c r="O5" i="5"/>
  <c r="O6" i="5"/>
  <c r="O8" i="5"/>
  <c r="O10" i="5"/>
  <c r="O11" i="5"/>
  <c r="S50" i="5"/>
  <c r="S51" i="5"/>
  <c r="S52" i="5"/>
  <c r="D9" i="5"/>
  <c r="O9" i="5" s="1"/>
  <c r="D7" i="5"/>
  <c r="O7" i="5" s="1"/>
  <c r="D4" i="5"/>
  <c r="O4" i="5" s="1"/>
  <c r="AM49" i="5" l="1"/>
  <c r="S53" i="5"/>
  <c r="S97" i="5"/>
  <c r="Q73" i="5"/>
  <c r="R49" i="5"/>
  <c r="R74" i="5" s="1"/>
  <c r="AO29" i="5"/>
  <c r="Q49" i="5"/>
  <c r="O74" i="5"/>
  <c r="P49" i="5"/>
  <c r="P74" i="5" s="1"/>
  <c r="P98" i="5" s="1"/>
  <c r="AO22" i="5"/>
  <c r="AO28" i="5"/>
  <c r="AO17" i="5"/>
  <c r="AO16" i="5"/>
  <c r="AO14" i="5"/>
  <c r="AO25" i="5"/>
  <c r="AO23" i="5"/>
  <c r="AO26" i="5"/>
  <c r="AO18" i="5"/>
  <c r="AO27" i="5"/>
  <c r="AO19" i="5"/>
  <c r="AO24" i="5"/>
  <c r="AO20" i="5"/>
  <c r="AO15" i="5"/>
  <c r="S12" i="5"/>
  <c r="S13" i="5"/>
  <c r="S18" i="5"/>
  <c r="S23" i="5"/>
  <c r="S20" i="5"/>
  <c r="S16" i="5"/>
  <c r="S15" i="5"/>
  <c r="S14" i="5"/>
  <c r="S28" i="5"/>
  <c r="S26" i="5"/>
  <c r="S24" i="5"/>
  <c r="S19" i="5"/>
  <c r="S27" i="5"/>
  <c r="S22" i="5"/>
  <c r="S21" i="5"/>
  <c r="S17" i="5"/>
  <c r="S25" i="5"/>
  <c r="AO6" i="5"/>
  <c r="AO4" i="5"/>
  <c r="T74" i="5"/>
  <c r="T98" i="5" s="1"/>
  <c r="AO13" i="5"/>
  <c r="AO11" i="5"/>
  <c r="AO9" i="5"/>
  <c r="S4" i="5"/>
  <c r="AO8" i="5"/>
  <c r="AO10" i="5"/>
  <c r="AO30" i="5"/>
  <c r="AO7" i="5"/>
  <c r="AO12" i="5"/>
  <c r="AO5" i="5"/>
  <c r="AO49" i="5" l="1"/>
  <c r="O98" i="5"/>
  <c r="Q74" i="5"/>
  <c r="Q98" i="5" s="1"/>
  <c r="U74" i="5"/>
  <c r="U98" i="5" s="1"/>
  <c r="S11" i="5"/>
  <c r="S10" i="5"/>
  <c r="S8" i="5"/>
  <c r="V18" i="2"/>
  <c r="V17" i="2"/>
  <c r="V13" i="2"/>
  <c r="V12" i="2"/>
  <c r="V11" i="2"/>
  <c r="V10" i="2"/>
  <c r="V9" i="2"/>
  <c r="V8" i="2"/>
  <c r="V7" i="2"/>
  <c r="V6" i="2"/>
  <c r="V5" i="2"/>
  <c r="V4" i="2"/>
  <c r="V16" i="2"/>
  <c r="V15" i="2"/>
  <c r="V14" i="2"/>
  <c r="O10" i="2"/>
  <c r="V26" i="2"/>
  <c r="S74" i="5" l="1"/>
  <c r="S7" i="5"/>
  <c r="S5" i="5"/>
  <c r="S6" i="5"/>
  <c r="S9" i="5"/>
  <c r="U18" i="2"/>
  <c r="U17" i="2"/>
  <c r="U16" i="2"/>
  <c r="U15" i="2"/>
  <c r="U14" i="2"/>
  <c r="U13" i="2"/>
  <c r="U12" i="2"/>
  <c r="W12" i="2" s="1"/>
  <c r="U11" i="2"/>
  <c r="U10" i="2"/>
  <c r="U9" i="2"/>
  <c r="U8" i="2"/>
  <c r="U7" i="2"/>
  <c r="U6" i="2"/>
  <c r="U5" i="2"/>
  <c r="U4" i="2"/>
  <c r="U23" i="2"/>
  <c r="S24" i="2"/>
  <c r="Q5" i="2"/>
  <c r="Q4" i="2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4" i="4"/>
  <c r="E4" i="4"/>
  <c r="E32" i="4"/>
  <c r="G32" i="4" s="1"/>
  <c r="E31" i="4"/>
  <c r="G31" i="4" s="1"/>
  <c r="E30" i="4"/>
  <c r="G30" i="4" s="1"/>
  <c r="E29" i="4"/>
  <c r="G29" i="4" s="1"/>
  <c r="E24" i="4"/>
  <c r="E25" i="4"/>
  <c r="G25" i="4" s="1"/>
  <c r="E26" i="4"/>
  <c r="G26" i="4" s="1"/>
  <c r="E27" i="4"/>
  <c r="G27" i="4" s="1"/>
  <c r="E28" i="4"/>
  <c r="G28" i="4" s="1"/>
  <c r="D33" i="4"/>
  <c r="G11" i="4"/>
  <c r="G12" i="4"/>
  <c r="C23" i="4"/>
  <c r="E23" i="4" s="1"/>
  <c r="G23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E12" i="4"/>
  <c r="E13" i="4"/>
  <c r="G13" i="4" s="1"/>
  <c r="E14" i="4"/>
  <c r="G14" i="4" s="1"/>
  <c r="E15" i="4"/>
  <c r="G15" i="4" s="1"/>
  <c r="E16" i="4"/>
  <c r="G16" i="4" s="1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G4" i="4"/>
  <c r="R4" i="2"/>
  <c r="P4" i="2"/>
  <c r="O4" i="2"/>
  <c r="T23" i="2"/>
  <c r="S23" i="2"/>
  <c r="O14" i="2"/>
  <c r="S25" i="2"/>
  <c r="S26" i="2"/>
  <c r="O15" i="2"/>
  <c r="O16" i="2"/>
  <c r="O17" i="2"/>
  <c r="O18" i="2"/>
  <c r="O13" i="2"/>
  <c r="O12" i="2"/>
  <c r="O11" i="2"/>
  <c r="O5" i="3"/>
  <c r="O4" i="3"/>
  <c r="P14" i="2"/>
  <c r="P11" i="2"/>
  <c r="P10" i="2"/>
  <c r="O9" i="2"/>
  <c r="P9" i="2"/>
  <c r="P8" i="2"/>
  <c r="O8" i="2"/>
  <c r="O5" i="2"/>
  <c r="O6" i="2"/>
  <c r="O7" i="2"/>
  <c r="P5" i="2"/>
  <c r="T18" i="2"/>
  <c r="T17" i="2"/>
  <c r="T16" i="2"/>
  <c r="T15" i="2"/>
  <c r="W15" i="2" s="1"/>
  <c r="T14" i="2"/>
  <c r="T13" i="2"/>
  <c r="T12" i="2"/>
  <c r="T11" i="2"/>
  <c r="T8" i="2"/>
  <c r="T10" i="2"/>
  <c r="T9" i="2"/>
  <c r="T7" i="2"/>
  <c r="T6" i="2"/>
  <c r="T5" i="2"/>
  <c r="T4" i="2"/>
  <c r="S18" i="2"/>
  <c r="W18" i="2" s="1"/>
  <c r="S17" i="2"/>
  <c r="S16" i="2"/>
  <c r="S15" i="2"/>
  <c r="S14" i="2"/>
  <c r="S13" i="2"/>
  <c r="S12" i="2"/>
  <c r="S11" i="2"/>
  <c r="S10" i="2"/>
  <c r="W10" i="2" s="1"/>
  <c r="S9" i="2"/>
  <c r="W9" i="2" s="1"/>
  <c r="S8" i="2"/>
  <c r="S7" i="2"/>
  <c r="S6" i="2"/>
  <c r="S5" i="2"/>
  <c r="S4" i="2"/>
  <c r="AA27" i="2"/>
  <c r="Z27" i="2"/>
  <c r="Y27" i="2"/>
  <c r="X27" i="2"/>
  <c r="O27" i="2"/>
  <c r="U26" i="2"/>
  <c r="T26" i="2"/>
  <c r="V25" i="2"/>
  <c r="U25" i="2"/>
  <c r="T25" i="2"/>
  <c r="V24" i="2"/>
  <c r="U24" i="2"/>
  <c r="T24" i="2"/>
  <c r="V23" i="2"/>
  <c r="AA19" i="2"/>
  <c r="Z19" i="2"/>
  <c r="Y19" i="2"/>
  <c r="X19" i="2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R13" i="2"/>
  <c r="Q13" i="2"/>
  <c r="P13" i="2"/>
  <c r="R12" i="2"/>
  <c r="Q12" i="2"/>
  <c r="P12" i="2"/>
  <c r="R11" i="2"/>
  <c r="Q11" i="2"/>
  <c r="R10" i="2"/>
  <c r="Q10" i="2"/>
  <c r="R9" i="2"/>
  <c r="Q9" i="2"/>
  <c r="R8" i="2"/>
  <c r="Q8" i="2"/>
  <c r="R7" i="2"/>
  <c r="Q7" i="2"/>
  <c r="P7" i="2"/>
  <c r="R6" i="2"/>
  <c r="Q6" i="2"/>
  <c r="P6" i="2"/>
  <c r="R5" i="2"/>
  <c r="V19" i="2"/>
  <c r="V17" i="3"/>
  <c r="V18" i="3"/>
  <c r="V15" i="3"/>
  <c r="V14" i="3"/>
  <c r="V13" i="3"/>
  <c r="W13" i="3" s="1"/>
  <c r="V12" i="3"/>
  <c r="W12" i="3" s="1"/>
  <c r="V11" i="3"/>
  <c r="V10" i="3"/>
  <c r="W10" i="3" s="1"/>
  <c r="V9" i="3"/>
  <c r="W9" i="3" s="1"/>
  <c r="V8" i="3"/>
  <c r="W8" i="3" s="1"/>
  <c r="V7" i="3"/>
  <c r="V6" i="3"/>
  <c r="W6" i="3" s="1"/>
  <c r="V5" i="3"/>
  <c r="W5" i="3" s="1"/>
  <c r="V4" i="3"/>
  <c r="W4" i="3" s="1"/>
  <c r="V16" i="3"/>
  <c r="O18" i="3"/>
  <c r="W11" i="3"/>
  <c r="U18" i="3"/>
  <c r="U17" i="3"/>
  <c r="U14" i="3"/>
  <c r="U15" i="3"/>
  <c r="U16" i="3"/>
  <c r="Z27" i="3"/>
  <c r="X19" i="3"/>
  <c r="Y19" i="3"/>
  <c r="Z19" i="3"/>
  <c r="AA19" i="3"/>
  <c r="Q4" i="3"/>
  <c r="O14" i="3"/>
  <c r="T23" i="3"/>
  <c r="T27" i="3" s="1"/>
  <c r="S23" i="3"/>
  <c r="Q11" i="3"/>
  <c r="R11" i="3"/>
  <c r="Q12" i="3"/>
  <c r="R12" i="3"/>
  <c r="Q13" i="3"/>
  <c r="R13" i="3"/>
  <c r="O12" i="3"/>
  <c r="P12" i="3"/>
  <c r="P11" i="3"/>
  <c r="O11" i="3"/>
  <c r="O13" i="3"/>
  <c r="P13" i="3"/>
  <c r="O17" i="3"/>
  <c r="Q17" i="3"/>
  <c r="P17" i="3"/>
  <c r="R17" i="3"/>
  <c r="P18" i="3"/>
  <c r="Q18" i="3"/>
  <c r="R18" i="3"/>
  <c r="R6" i="3"/>
  <c r="Q6" i="3"/>
  <c r="P6" i="3"/>
  <c r="O6" i="3"/>
  <c r="R10" i="3"/>
  <c r="R4" i="3"/>
  <c r="Q8" i="3"/>
  <c r="P8" i="3"/>
  <c r="P7" i="3"/>
  <c r="P5" i="3"/>
  <c r="P4" i="3"/>
  <c r="O7" i="3"/>
  <c r="O8" i="3"/>
  <c r="O9" i="3"/>
  <c r="O10" i="3"/>
  <c r="O15" i="3"/>
  <c r="O16" i="3"/>
  <c r="V23" i="3"/>
  <c r="U26" i="3"/>
  <c r="U25" i="3"/>
  <c r="U24" i="3"/>
  <c r="U23" i="3"/>
  <c r="S24" i="3"/>
  <c r="S25" i="3"/>
  <c r="T26" i="3"/>
  <c r="S26" i="3"/>
  <c r="T14" i="3"/>
  <c r="T19" i="3" s="1"/>
  <c r="T15" i="3"/>
  <c r="T16" i="3"/>
  <c r="T25" i="3"/>
  <c r="T24" i="3"/>
  <c r="V24" i="3"/>
  <c r="V25" i="3"/>
  <c r="V26" i="3"/>
  <c r="Y27" i="3"/>
  <c r="AA27" i="3"/>
  <c r="P14" i="3"/>
  <c r="R16" i="3"/>
  <c r="R9" i="3"/>
  <c r="R5" i="3"/>
  <c r="R7" i="3"/>
  <c r="R8" i="3"/>
  <c r="R14" i="3"/>
  <c r="R15" i="3"/>
  <c r="Q5" i="3"/>
  <c r="Q7" i="3"/>
  <c r="Q9" i="3"/>
  <c r="Q10" i="3"/>
  <c r="Q14" i="3"/>
  <c r="Q15" i="3"/>
  <c r="Q16" i="3"/>
  <c r="P9" i="3"/>
  <c r="P10" i="3"/>
  <c r="P15" i="3"/>
  <c r="P16" i="3"/>
  <c r="S14" i="3"/>
  <c r="S19" i="3" s="1"/>
  <c r="S15" i="3"/>
  <c r="S16" i="3"/>
  <c r="X27" i="3"/>
  <c r="O27" i="3"/>
  <c r="O21" i="1"/>
  <c r="Q21" i="1"/>
  <c r="P10" i="1"/>
  <c r="P11" i="1"/>
  <c r="Q13" i="1"/>
  <c r="Q22" i="1" s="1"/>
  <c r="P20" i="1"/>
  <c r="P12" i="1"/>
  <c r="O9" i="1"/>
  <c r="O5" i="1"/>
  <c r="O6" i="1"/>
  <c r="O10" i="1"/>
  <c r="O11" i="1"/>
  <c r="O12" i="1"/>
  <c r="O7" i="1"/>
  <c r="O8" i="1"/>
  <c r="O4" i="1"/>
  <c r="P18" i="1"/>
  <c r="P19" i="1"/>
  <c r="P17" i="1"/>
  <c r="S49" i="5" l="1"/>
  <c r="R98" i="5"/>
  <c r="S98" i="5" s="1"/>
  <c r="W16" i="2"/>
  <c r="W17" i="2"/>
  <c r="Y28" i="3"/>
  <c r="W6" i="2"/>
  <c r="P13" i="1"/>
  <c r="P19" i="3"/>
  <c r="O13" i="1"/>
  <c r="O22" i="1" s="1"/>
  <c r="S27" i="3"/>
  <c r="W11" i="2"/>
  <c r="U19" i="2"/>
  <c r="W7" i="2"/>
  <c r="S28" i="3"/>
  <c r="T28" i="3"/>
  <c r="W23" i="2"/>
  <c r="V27" i="2"/>
  <c r="V28" i="2" s="1"/>
  <c r="W18" i="3"/>
  <c r="W26" i="2"/>
  <c r="AA28" i="2"/>
  <c r="Z28" i="2"/>
  <c r="W13" i="2"/>
  <c r="W5" i="2"/>
  <c r="W8" i="2"/>
  <c r="T19" i="2"/>
  <c r="S19" i="2"/>
  <c r="W25" i="2"/>
  <c r="X28" i="2"/>
  <c r="Y28" i="2"/>
  <c r="T27" i="2"/>
  <c r="U27" i="2"/>
  <c r="W24" i="2"/>
  <c r="Q19" i="2"/>
  <c r="Q28" i="2" s="1"/>
  <c r="R19" i="2"/>
  <c r="R28" i="2" s="1"/>
  <c r="O19" i="2"/>
  <c r="P19" i="2"/>
  <c r="P28" i="2" s="1"/>
  <c r="W4" i="2"/>
  <c r="W14" i="2"/>
  <c r="S27" i="2"/>
  <c r="V19" i="3"/>
  <c r="W7" i="3"/>
  <c r="AA28" i="3"/>
  <c r="R19" i="3"/>
  <c r="R28" i="3" s="1"/>
  <c r="U19" i="3"/>
  <c r="W17" i="3"/>
  <c r="Z28" i="3"/>
  <c r="U27" i="3"/>
  <c r="W23" i="3"/>
  <c r="Q19" i="3"/>
  <c r="Q28" i="3" s="1"/>
  <c r="O19" i="3"/>
  <c r="O28" i="3" s="1"/>
  <c r="W15" i="3"/>
  <c r="W16" i="3"/>
  <c r="W14" i="3"/>
  <c r="V27" i="3"/>
  <c r="W26" i="3"/>
  <c r="W25" i="3"/>
  <c r="W24" i="3"/>
  <c r="P28" i="3"/>
  <c r="X28" i="3"/>
  <c r="P21" i="1"/>
  <c r="P22" i="1" s="1"/>
  <c r="U28" i="2" l="1"/>
  <c r="O28" i="2"/>
  <c r="R20" i="2"/>
  <c r="T28" i="2"/>
  <c r="W27" i="2"/>
  <c r="S28" i="2"/>
  <c r="W19" i="2"/>
  <c r="V28" i="3"/>
  <c r="U28" i="3"/>
  <c r="W19" i="3"/>
  <c r="R20" i="3"/>
  <c r="W27" i="3"/>
  <c r="W28" i="2" l="1"/>
  <c r="W28" i="3"/>
  <c r="G24" i="4" l="1"/>
  <c r="E33" i="4"/>
  <c r="G33" i="4" s="1"/>
  <c r="C33" i="4"/>
  <c r="F33" i="4" s="1"/>
</calcChain>
</file>

<file path=xl/sharedStrings.xml><?xml version="1.0" encoding="utf-8"?>
<sst xmlns="http://schemas.openxmlformats.org/spreadsheetml/2006/main" count="505" uniqueCount="95">
  <si>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</si>
  <si>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</si>
  <si>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</si>
  <si>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</si>
  <si>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</si>
  <si>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</si>
  <si>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</si>
  <si>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</si>
  <si>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</si>
  <si>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</si>
  <si>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</si>
  <si>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</si>
  <si>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Ям вк</t>
  </si>
  <si>
    <t>СП вк</t>
  </si>
  <si>
    <t>КС вк</t>
  </si>
  <si>
    <t>ЯМ ок</t>
  </si>
  <si>
    <t>СП ок</t>
  </si>
  <si>
    <t>Кс ок</t>
  </si>
  <si>
    <t xml:space="preserve">Неолени </t>
  </si>
  <si>
    <t>этогноарктика</t>
  </si>
  <si>
    <t>ЯМ тг</t>
  </si>
  <si>
    <t>Сп тг</t>
  </si>
  <si>
    <t>КС тг</t>
  </si>
  <si>
    <t>сумма просмотров за год</t>
  </si>
  <si>
    <t>сумма месячных охватов</t>
  </si>
  <si>
    <t>Сумма просмотров за год</t>
  </si>
  <si>
    <t>ЗажгиФАкел</t>
  </si>
  <si>
    <t>Охваты</t>
  </si>
  <si>
    <t>Количество подписчиков</t>
  </si>
  <si>
    <t>телеграм 2023 Сумма просмотров за месяц</t>
  </si>
  <si>
    <t>НеОлениПишут тг</t>
  </si>
  <si>
    <t>ВК</t>
  </si>
  <si>
    <t>ОК</t>
  </si>
  <si>
    <t>сумма по соцсетям</t>
  </si>
  <si>
    <t>общие показатели с телеграмом</t>
  </si>
  <si>
    <t>сумма по телеграму</t>
  </si>
  <si>
    <t>М %</t>
  </si>
  <si>
    <t>Ж %</t>
  </si>
  <si>
    <t>распределение по полу</t>
  </si>
  <si>
    <t>Количество подписчиков 1 квартал</t>
  </si>
  <si>
    <t>Количество подписчиков 2 квартал</t>
  </si>
  <si>
    <t>Количество подписчиков 3 квартал</t>
  </si>
  <si>
    <t>Количество подписчиков 4 квартал</t>
  </si>
  <si>
    <t>Сумма просмотров за 1 квартал</t>
  </si>
  <si>
    <t>Сумма просмотров за 2 квартал</t>
  </si>
  <si>
    <t>Сумма просмотров за 3 квартал</t>
  </si>
  <si>
    <t>Сумма просмотров за 4 квартал</t>
  </si>
  <si>
    <t>сумма месячных охватов 1  квартал</t>
  </si>
  <si>
    <t>сумма месячных охватов 2  квартал</t>
  </si>
  <si>
    <t>сумма месячных охватов 3  квартал</t>
  </si>
  <si>
    <t>сумма месячных охватов 4  квартал</t>
  </si>
  <si>
    <t>этноарктика</t>
  </si>
  <si>
    <t>Нярьяна Нгэрм</t>
  </si>
  <si>
    <t>Лух Авт</t>
  </si>
  <si>
    <t>Ямальский меридиан</t>
  </si>
  <si>
    <t>Лента СП ВК</t>
  </si>
  <si>
    <t xml:space="preserve">Охват за год </t>
  </si>
  <si>
    <t>тг</t>
  </si>
  <si>
    <t>Ямал-Медиа</t>
  </si>
  <si>
    <t>Рутуб</t>
  </si>
  <si>
    <t>Итого</t>
  </si>
  <si>
    <t>Ютуб</t>
  </si>
  <si>
    <t>Новости Ямала</t>
  </si>
  <si>
    <t>Север-Пресс</t>
  </si>
  <si>
    <t>Красный Север</t>
  </si>
  <si>
    <t>Ямал-Медиа (НОВЫЙ)</t>
  </si>
  <si>
    <t>Дзен</t>
  </si>
  <si>
    <t>Время новостей</t>
  </si>
  <si>
    <t>прирост в натуральных числах</t>
  </si>
  <si>
    <t>прирост в % к 1 января</t>
  </si>
  <si>
    <t>процент от общего числа на 1 августа</t>
  </si>
  <si>
    <t>Тг</t>
  </si>
  <si>
    <t>телеграм 2024 Сумма просмотров за месяц</t>
  </si>
  <si>
    <t>ЯМ-Схд</t>
  </si>
  <si>
    <t>ЯМ-БПРЛ</t>
  </si>
  <si>
    <t>ЯМ-КСК</t>
  </si>
  <si>
    <t>МК-Ямал</t>
  </si>
  <si>
    <t>Ямал Live</t>
  </si>
  <si>
    <t>Арктика Вконтакте</t>
  </si>
  <si>
    <t>СМП</t>
  </si>
  <si>
    <t>СШХ</t>
  </si>
  <si>
    <t>Просмотры</t>
  </si>
  <si>
    <t>сума за год</t>
  </si>
  <si>
    <t>Нур</t>
  </si>
  <si>
    <t>Надым</t>
  </si>
  <si>
    <t>Ноябрьск</t>
  </si>
  <si>
    <t>ЛБТ</t>
  </si>
  <si>
    <t>ПурР</t>
  </si>
  <si>
    <t>ТазР</t>
  </si>
  <si>
    <t>ЯмР</t>
  </si>
  <si>
    <t>ШурР</t>
  </si>
  <si>
    <t>Мур-ко</t>
  </si>
  <si>
    <t>Губ-й</t>
  </si>
  <si>
    <t>макс</t>
  </si>
  <si>
    <t>сумма по максу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</si>
</sst>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rgb="FF000000"/>
      <name val="Docs-Calibri"/>
    </font>
    <font>
      <sz val="11"/>
      <color rgb="FF00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3" fontId="0" fillId="0" borderId="0" xfId="0" applyNumberFormat="1"/>
    <xf numFmtId="0" fontId="0" fillId="5" borderId="1" xfId="0" applyFill="1" applyBorder="1" applyAlignment="1">
      <alignment wrapText="1"/>
    </xf>
    <xf numFmtId="0" fontId="0" fillId="5" borderId="1" xfId="0" applyFill="1" applyBorder="1"/>
    <xf numFmtId="3" fontId="0" fillId="5" borderId="1" xfId="0" applyNumberFormat="1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/>
    <xf numFmtId="3" fontId="0" fillId="6" borderId="1" xfId="0" applyNumberForma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1" xfId="0" applyFont="1" applyBorder="1"/>
    <xf numFmtId="0" fontId="0" fillId="7" borderId="1" xfId="0" applyFill="1" applyBorder="1"/>
    <xf numFmtId="3" fontId="0" fillId="7" borderId="1" xfId="0" applyNumberFormat="1" applyFill="1" applyBorder="1"/>
    <xf numFmtId="0" fontId="2" fillId="7" borderId="1" xfId="0" applyFont="1" applyFill="1" applyBorder="1"/>
    <xf numFmtId="0" fontId="3" fillId="7" borderId="1" xfId="0" applyFont="1" applyFill="1" applyBorder="1"/>
    <xf numFmtId="3" fontId="0" fillId="2" borderId="1" xfId="0" applyNumberFormat="1" applyFill="1" applyBorder="1"/>
    <xf numFmtId="3" fontId="0" fillId="4" borderId="1" xfId="0" applyNumberFormat="1" applyFill="1" applyBorder="1"/>
    <xf numFmtId="0" fontId="0" fillId="8" borderId="1" xfId="0" applyFill="1" applyBorder="1"/>
    <xf numFmtId="3" fontId="0" fillId="8" borderId="1" xfId="0" applyNumberFormat="1" applyFill="1" applyBorder="1"/>
    <xf numFmtId="0" fontId="4" fillId="0" borderId="1" xfId="0" applyFont="1" applyBorder="1"/>
    <xf numFmtId="0" fontId="4" fillId="7" borderId="1" xfId="0" applyFont="1" applyFill="1" applyBorder="1"/>
    <xf numFmtId="14" fontId="0" fillId="0" borderId="1" xfId="0" applyNumberFormat="1" applyBorder="1" applyAlignment="1">
      <alignment wrapText="1"/>
    </xf>
    <xf numFmtId="2" fontId="0" fillId="0" borderId="1" xfId="0" applyNumberFormat="1" applyBorder="1"/>
    <xf numFmtId="0" fontId="0" fillId="9" borderId="1" xfId="0" applyFill="1" applyBorder="1"/>
    <xf numFmtId="2" fontId="0" fillId="9" borderId="1" xfId="0" applyNumberFormat="1" applyFill="1" applyBorder="1"/>
    <xf numFmtId="0" fontId="0" fillId="10" borderId="1" xfId="0" applyFill="1" applyBorder="1"/>
    <xf numFmtId="2" fontId="0" fillId="10" borderId="1" xfId="0" applyNumberFormat="1" applyFill="1" applyBorder="1"/>
    <xf numFmtId="2" fontId="0" fillId="0" borderId="1" xfId="0" applyNumberFormat="1" applyBorder="1" applyAlignment="1">
      <alignment wrapText="1"/>
    </xf>
    <xf numFmtId="2" fontId="0" fillId="2" borderId="1" xfId="0" applyNumberFormat="1" applyFill="1" applyBorder="1"/>
    <xf numFmtId="0" fontId="0" fillId="11" borderId="1" xfId="0" applyFill="1" applyBorder="1"/>
    <xf numFmtId="2" fontId="0" fillId="11" borderId="1" xfId="0" applyNumberFormat="1" applyFill="1" applyBorder="1"/>
    <xf numFmtId="2" fontId="0" fillId="4" borderId="1" xfId="0" applyNumberFormat="1" applyFill="1" applyBorder="1"/>
    <xf numFmtId="2" fontId="0" fillId="7" borderId="1" xfId="0" applyNumberFormat="1" applyFill="1" applyBorder="1"/>
    <xf numFmtId="0" fontId="0" fillId="0" borderId="1" xfId="0" applyFill="1" applyBorder="1"/>
    <xf numFmtId="3" fontId="0" fillId="11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3" fontId="0" fillId="13" borderId="1" xfId="0" applyNumberFormat="1" applyFill="1" applyBorder="1"/>
    <xf numFmtId="0" fontId="4" fillId="13" borderId="1" xfId="0" applyFont="1" applyFill="1" applyBorder="1"/>
    <xf numFmtId="3" fontId="0" fillId="0" borderId="1" xfId="0" applyNumberFormat="1" applyFill="1" applyBorder="1"/>
    <xf numFmtId="3" fontId="0" fillId="14" borderId="1" xfId="0" applyNumberFormat="1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8EB3-4B16-45DC-9EC3-6157A279FBA5}">
  <dimension ref="A2:Q36"/>
  <sheetViews>
    <sheetView workbookViewId="0">
      <selection activeCell="N12" sqref="N12"/>
    </sheetView>
  </sheetViews>
  <sheetFormatPr defaultRowHeight="14.4"/>
  <cols>
    <col min="2" max="2" width="18" customWidth="1"/>
    <col min="9" max="9" width="9.109375" customWidth="1"/>
    <col min="15" max="15" width="22.33203125" customWidth="1"/>
    <col min="16" max="16" width="18.88671875" customWidth="1"/>
    <col min="17" max="17" width="14.109375" customWidth="1"/>
  </cols>
  <sheetData>
    <row r="2" spans="1:17" ht="28.8">
      <c r="C2" t="s">
        <v>27</v>
      </c>
      <c r="O2" s="3" t="s">
        <v>24</v>
      </c>
      <c r="P2" s="3" t="s">
        <v>25</v>
      </c>
      <c r="Q2" s="3" t="s">
        <v>28</v>
      </c>
    </row>
    <row r="3" spans="1:17">
      <c r="B3">
        <v>2023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</row>
    <row r="4" spans="1:17">
      <c r="A4" t="s">
        <v>31</v>
      </c>
      <c r="B4" t="s">
        <v>12</v>
      </c>
      <c r="C4">
        <v>295607</v>
      </c>
      <c r="D4">
        <v>272012</v>
      </c>
      <c r="E4">
        <v>322803</v>
      </c>
      <c r="F4">
        <v>529055</v>
      </c>
      <c r="G4">
        <v>331821</v>
      </c>
      <c r="H4">
        <v>295453</v>
      </c>
      <c r="I4">
        <v>434171</v>
      </c>
      <c r="J4">
        <v>249525</v>
      </c>
      <c r="K4">
        <v>464305</v>
      </c>
      <c r="L4">
        <v>258046</v>
      </c>
      <c r="M4">
        <v>221303</v>
      </c>
      <c r="N4">
        <v>280860</v>
      </c>
      <c r="O4">
        <f>SUM(C4:N4)</f>
        <v>3954961</v>
      </c>
      <c r="P4" s="5">
        <v>31913074</v>
      </c>
      <c r="Q4">
        <v>68940</v>
      </c>
    </row>
    <row r="5" spans="1:17">
      <c r="B5" t="s">
        <v>13</v>
      </c>
      <c r="C5">
        <v>81050</v>
      </c>
      <c r="D5">
        <v>58574</v>
      </c>
      <c r="E5">
        <v>100655</v>
      </c>
      <c r="F5">
        <v>170312</v>
      </c>
      <c r="G5">
        <v>107902</v>
      </c>
      <c r="H5">
        <v>92830</v>
      </c>
      <c r="I5">
        <v>74241</v>
      </c>
      <c r="J5">
        <v>127970</v>
      </c>
      <c r="K5">
        <v>81870</v>
      </c>
      <c r="L5">
        <v>95839</v>
      </c>
      <c r="M5">
        <v>126733</v>
      </c>
      <c r="N5">
        <v>91106</v>
      </c>
      <c r="O5">
        <f t="shared" ref="O5:O6" si="0">SUM(C5:N5)</f>
        <v>1209082</v>
      </c>
      <c r="P5" s="5">
        <v>9582160</v>
      </c>
      <c r="Q5">
        <v>22185</v>
      </c>
    </row>
    <row r="6" spans="1:17">
      <c r="B6" t="s">
        <v>14</v>
      </c>
      <c r="C6">
        <v>83202</v>
      </c>
      <c r="D6">
        <v>55186</v>
      </c>
      <c r="E6">
        <v>81989</v>
      </c>
      <c r="F6">
        <v>115786</v>
      </c>
      <c r="G6">
        <v>80487</v>
      </c>
      <c r="H6">
        <v>63576</v>
      </c>
      <c r="I6">
        <v>55062</v>
      </c>
      <c r="J6">
        <v>77863</v>
      </c>
      <c r="K6">
        <v>114678</v>
      </c>
      <c r="L6">
        <v>80984</v>
      </c>
      <c r="M6">
        <v>75158</v>
      </c>
      <c r="N6">
        <v>63649</v>
      </c>
      <c r="O6">
        <f t="shared" si="0"/>
        <v>947620</v>
      </c>
      <c r="P6" s="5">
        <v>5964357</v>
      </c>
      <c r="Q6">
        <v>21046</v>
      </c>
    </row>
    <row r="7" spans="1:17" s="1" customFormat="1">
      <c r="B7" s="1" t="s">
        <v>18</v>
      </c>
      <c r="C7" s="1">
        <v>566</v>
      </c>
      <c r="D7" s="1">
        <v>17966</v>
      </c>
      <c r="E7" s="1">
        <v>32164</v>
      </c>
      <c r="F7" s="1">
        <v>64889</v>
      </c>
      <c r="G7" s="1">
        <v>70111</v>
      </c>
      <c r="H7" s="1">
        <v>29338</v>
      </c>
      <c r="I7" s="1">
        <v>29277</v>
      </c>
      <c r="J7" s="1">
        <v>38036</v>
      </c>
      <c r="K7" s="1">
        <v>41475</v>
      </c>
      <c r="L7" s="1">
        <v>55769</v>
      </c>
      <c r="M7" s="1">
        <v>64228</v>
      </c>
      <c r="N7" s="1">
        <v>73847</v>
      </c>
      <c r="O7">
        <f t="shared" ref="O7:O12" si="1">SUM(C7:N7)</f>
        <v>517666</v>
      </c>
      <c r="P7" s="5">
        <v>2151225</v>
      </c>
      <c r="Q7" s="5">
        <v>8033</v>
      </c>
    </row>
    <row r="8" spans="1:17" s="2" customFormat="1">
      <c r="B8" s="2" t="s">
        <v>19</v>
      </c>
      <c r="C8" s="2">
        <v>33283</v>
      </c>
      <c r="D8" s="2">
        <v>90388</v>
      </c>
      <c r="E8" s="2">
        <v>68759</v>
      </c>
      <c r="F8" s="2">
        <v>61531</v>
      </c>
      <c r="G8" s="2">
        <v>43979</v>
      </c>
      <c r="H8" s="2">
        <v>23024</v>
      </c>
      <c r="I8" s="2">
        <v>55982</v>
      </c>
      <c r="J8" s="2">
        <v>41793</v>
      </c>
      <c r="K8" s="2">
        <v>35880</v>
      </c>
      <c r="L8" s="2">
        <v>32824</v>
      </c>
      <c r="M8" s="2">
        <v>55542</v>
      </c>
      <c r="N8" s="2">
        <v>44142</v>
      </c>
      <c r="O8">
        <f t="shared" si="1"/>
        <v>587127</v>
      </c>
      <c r="P8" s="5">
        <v>1448411</v>
      </c>
      <c r="Q8" s="5">
        <v>5475</v>
      </c>
    </row>
    <row r="9" spans="1:17" s="4" customFormat="1">
      <c r="B9" s="4" t="s">
        <v>26</v>
      </c>
      <c r="C9" s="4">
        <v>46397</v>
      </c>
      <c r="D9" s="4">
        <v>61561</v>
      </c>
      <c r="E9" s="4">
        <v>42486</v>
      </c>
      <c r="F9" s="4">
        <v>48502</v>
      </c>
      <c r="G9" s="4">
        <v>40852</v>
      </c>
      <c r="H9" s="4">
        <v>37072</v>
      </c>
      <c r="I9" s="4">
        <v>34028</v>
      </c>
      <c r="J9" s="4">
        <v>19577</v>
      </c>
      <c r="K9" s="4">
        <v>26532</v>
      </c>
      <c r="L9" s="4">
        <v>34006</v>
      </c>
      <c r="M9" s="4">
        <v>27023</v>
      </c>
      <c r="N9" s="4">
        <v>17827</v>
      </c>
      <c r="O9">
        <f t="shared" si="1"/>
        <v>435863</v>
      </c>
      <c r="P9" s="5">
        <v>1853396</v>
      </c>
      <c r="Q9" s="5">
        <v>7569</v>
      </c>
    </row>
    <row r="10" spans="1:17">
      <c r="A10" t="s">
        <v>32</v>
      </c>
      <c r="B10" t="s">
        <v>15</v>
      </c>
      <c r="C10">
        <v>291927</v>
      </c>
      <c r="D10">
        <v>233315</v>
      </c>
      <c r="E10">
        <v>159766</v>
      </c>
      <c r="F10">
        <v>196357</v>
      </c>
      <c r="G10">
        <v>185810</v>
      </c>
      <c r="H10">
        <v>151715</v>
      </c>
      <c r="I10">
        <v>609490</v>
      </c>
      <c r="J10">
        <v>277264</v>
      </c>
      <c r="K10">
        <v>209634</v>
      </c>
      <c r="L10">
        <v>186958</v>
      </c>
      <c r="M10">
        <v>181797</v>
      </c>
      <c r="N10">
        <v>247928</v>
      </c>
      <c r="O10">
        <f t="shared" si="1"/>
        <v>2931961</v>
      </c>
      <c r="P10">
        <f>1875280+1610432+1505419+1535201+1598100+1164553+1928136+1124037+999147+1007339+952852+1092437</f>
        <v>16392933</v>
      </c>
      <c r="Q10">
        <v>27175</v>
      </c>
    </row>
    <row r="11" spans="1:17">
      <c r="B11" t="s">
        <v>16</v>
      </c>
      <c r="C11">
        <v>228800</v>
      </c>
      <c r="D11">
        <v>222318</v>
      </c>
      <c r="E11">
        <v>178322</v>
      </c>
      <c r="F11">
        <v>158291</v>
      </c>
      <c r="G11">
        <v>125298</v>
      </c>
      <c r="H11">
        <v>50152</v>
      </c>
      <c r="I11">
        <v>50732</v>
      </c>
      <c r="J11">
        <v>188492</v>
      </c>
      <c r="K11">
        <v>208251</v>
      </c>
      <c r="L11">
        <v>169941</v>
      </c>
      <c r="M11">
        <v>230180</v>
      </c>
      <c r="N11">
        <v>223749</v>
      </c>
      <c r="O11">
        <f t="shared" si="1"/>
        <v>2034526</v>
      </c>
      <c r="P11">
        <f>2488358+1174841+86084+945610+783293+642105+1393433+898630+867422+891282+685384</f>
        <v>10856442</v>
      </c>
      <c r="Q11">
        <v>18138</v>
      </c>
    </row>
    <row r="12" spans="1:17">
      <c r="B12" t="s">
        <v>17</v>
      </c>
      <c r="C12">
        <v>170337</v>
      </c>
      <c r="D12">
        <v>122230</v>
      </c>
      <c r="E12">
        <v>144307</v>
      </c>
      <c r="F12">
        <v>174331</v>
      </c>
      <c r="G12">
        <v>136888</v>
      </c>
      <c r="H12">
        <v>46114</v>
      </c>
      <c r="I12">
        <v>109172</v>
      </c>
      <c r="J12">
        <v>176783</v>
      </c>
      <c r="K12">
        <v>213119</v>
      </c>
      <c r="L12">
        <v>152198</v>
      </c>
      <c r="M12">
        <v>157363</v>
      </c>
      <c r="N12">
        <v>284894</v>
      </c>
      <c r="O12">
        <f t="shared" si="1"/>
        <v>1887736</v>
      </c>
      <c r="P12">
        <f>1467739+1274296+765420+1172621+1003232+663939+850699</f>
        <v>7197946</v>
      </c>
      <c r="Q12">
        <v>7145</v>
      </c>
    </row>
    <row r="13" spans="1:17" ht="51.6" customHeight="1">
      <c r="N13" s="6" t="s">
        <v>33</v>
      </c>
      <c r="O13" s="7">
        <f>SUM(O4:O12)</f>
        <v>14506542</v>
      </c>
      <c r="P13" s="8">
        <f>SUM(P4:P12)</f>
        <v>87359944</v>
      </c>
      <c r="Q13" s="7">
        <f>SUM(Q4:Q12)</f>
        <v>185706</v>
      </c>
    </row>
    <row r="16" spans="1:17" ht="43.2">
      <c r="A16">
        <v>2023</v>
      </c>
      <c r="B16" s="3" t="s">
        <v>29</v>
      </c>
      <c r="P16" s="3" t="s">
        <v>23</v>
      </c>
    </row>
    <row r="17" spans="2:17">
      <c r="B17" t="s">
        <v>20</v>
      </c>
      <c r="C17">
        <v>1102952</v>
      </c>
      <c r="D17">
        <v>908328</v>
      </c>
      <c r="E17">
        <v>1098524</v>
      </c>
      <c r="F17">
        <v>974237</v>
      </c>
      <c r="G17">
        <v>1181013</v>
      </c>
      <c r="H17">
        <v>1188780</v>
      </c>
      <c r="I17">
        <v>1127245</v>
      </c>
      <c r="J17">
        <v>1178770</v>
      </c>
      <c r="K17">
        <v>1212604</v>
      </c>
      <c r="L17">
        <v>1337019</v>
      </c>
      <c r="M17">
        <v>1230673</v>
      </c>
      <c r="N17">
        <v>1299035</v>
      </c>
      <c r="P17">
        <f>SUM(C17:N17)</f>
        <v>13839180</v>
      </c>
      <c r="Q17">
        <v>7846</v>
      </c>
    </row>
    <row r="18" spans="2:17">
      <c r="B18" t="s">
        <v>21</v>
      </c>
      <c r="C18">
        <v>651026</v>
      </c>
      <c r="D18">
        <v>700936</v>
      </c>
      <c r="E18">
        <v>684767</v>
      </c>
      <c r="F18">
        <v>823026</v>
      </c>
      <c r="G18">
        <v>898987</v>
      </c>
      <c r="H18">
        <v>705358</v>
      </c>
      <c r="I18">
        <v>541605</v>
      </c>
      <c r="J18">
        <v>738399</v>
      </c>
      <c r="K18">
        <v>659890</v>
      </c>
      <c r="L18">
        <v>599988</v>
      </c>
      <c r="M18">
        <v>578257</v>
      </c>
      <c r="N18">
        <v>604599</v>
      </c>
      <c r="P18">
        <f>SUM(C18:N18)</f>
        <v>8186838</v>
      </c>
      <c r="Q18">
        <v>4164</v>
      </c>
    </row>
    <row r="19" spans="2:17">
      <c r="B19" t="s">
        <v>22</v>
      </c>
      <c r="C19">
        <v>95865</v>
      </c>
      <c r="D19">
        <v>64765</v>
      </c>
      <c r="E19">
        <v>63251</v>
      </c>
      <c r="F19">
        <v>65608</v>
      </c>
      <c r="G19">
        <v>72548</v>
      </c>
      <c r="H19">
        <v>66274</v>
      </c>
      <c r="I19">
        <v>77447</v>
      </c>
      <c r="J19">
        <v>106188</v>
      </c>
      <c r="K19">
        <v>54069</v>
      </c>
      <c r="L19">
        <v>39815</v>
      </c>
      <c r="M19">
        <v>70944</v>
      </c>
      <c r="N19">
        <v>67722</v>
      </c>
      <c r="P19">
        <f>SUM(C19:N19)</f>
        <v>844496</v>
      </c>
      <c r="Q19">
        <v>886</v>
      </c>
    </row>
    <row r="20" spans="2:17">
      <c r="B20" t="s">
        <v>30</v>
      </c>
      <c r="C20">
        <v>34366</v>
      </c>
      <c r="D20">
        <v>69157</v>
      </c>
      <c r="E20">
        <v>79796</v>
      </c>
      <c r="F20">
        <v>76826</v>
      </c>
      <c r="G20">
        <v>73788</v>
      </c>
      <c r="H20">
        <v>89127</v>
      </c>
      <c r="I20">
        <v>76389</v>
      </c>
      <c r="J20">
        <v>87847</v>
      </c>
      <c r="K20">
        <v>89343</v>
      </c>
      <c r="L20">
        <v>94148</v>
      </c>
      <c r="M20">
        <v>89853</v>
      </c>
      <c r="N20">
        <v>112835</v>
      </c>
      <c r="P20">
        <f>SUM(C20:N20)</f>
        <v>973475</v>
      </c>
      <c r="Q20">
        <v>1491</v>
      </c>
    </row>
    <row r="21" spans="2:17" ht="57.6">
      <c r="B21" s="3"/>
      <c r="N21" s="6" t="s">
        <v>35</v>
      </c>
      <c r="O21" s="7">
        <f t="shared" ref="O21:P21" si="2">SUM(O17:O20)</f>
        <v>0</v>
      </c>
      <c r="P21" s="7">
        <f t="shared" si="2"/>
        <v>23843989</v>
      </c>
      <c r="Q21" s="7">
        <f>SUM(Q17:Q20)</f>
        <v>14387</v>
      </c>
    </row>
    <row r="22" spans="2:17" ht="72">
      <c r="B22" t="s">
        <v>38</v>
      </c>
      <c r="N22" s="9" t="s">
        <v>34</v>
      </c>
      <c r="O22" s="10">
        <f t="shared" ref="O22:P22" si="3">SUM(O13+O21)</f>
        <v>14506542</v>
      </c>
      <c r="P22" s="10">
        <f t="shared" si="3"/>
        <v>111203933</v>
      </c>
      <c r="Q22" s="10">
        <f>SUM(Q13+Q21)</f>
        <v>200093</v>
      </c>
    </row>
    <row r="23" spans="2:17">
      <c r="C23" t="s">
        <v>36</v>
      </c>
      <c r="D23" t="s">
        <v>37</v>
      </c>
    </row>
    <row r="24" spans="2:17">
      <c r="B24" t="s">
        <v>12</v>
      </c>
      <c r="C24">
        <v>37</v>
      </c>
      <c r="D24">
        <v>63</v>
      </c>
    </row>
    <row r="25" spans="2:17">
      <c r="B25" t="s">
        <v>13</v>
      </c>
      <c r="C25">
        <v>32</v>
      </c>
      <c r="D25">
        <v>68</v>
      </c>
    </row>
    <row r="26" spans="2:17">
      <c r="B26" t="s">
        <v>14</v>
      </c>
      <c r="C26">
        <v>36</v>
      </c>
      <c r="D26">
        <v>64</v>
      </c>
    </row>
    <row r="27" spans="2:17">
      <c r="B27" s="1" t="s">
        <v>18</v>
      </c>
      <c r="C27">
        <v>28</v>
      </c>
      <c r="D27">
        <v>72</v>
      </c>
    </row>
    <row r="28" spans="2:17">
      <c r="B28" s="2" t="s">
        <v>19</v>
      </c>
      <c r="C28">
        <v>33</v>
      </c>
      <c r="D28">
        <v>67</v>
      </c>
    </row>
    <row r="29" spans="2:17">
      <c r="B29" s="4" t="s">
        <v>26</v>
      </c>
      <c r="C29">
        <v>47</v>
      </c>
      <c r="D29">
        <v>53</v>
      </c>
    </row>
    <row r="30" spans="2:17">
      <c r="B30" t="s">
        <v>15</v>
      </c>
      <c r="C30">
        <v>36</v>
      </c>
      <c r="D30">
        <v>64</v>
      </c>
    </row>
    <row r="31" spans="2:17">
      <c r="B31" t="s">
        <v>16</v>
      </c>
      <c r="C31">
        <v>35</v>
      </c>
      <c r="D31">
        <v>65</v>
      </c>
    </row>
    <row r="32" spans="2:17">
      <c r="B32" t="s">
        <v>17</v>
      </c>
      <c r="C32">
        <v>35</v>
      </c>
      <c r="D32">
        <v>65</v>
      </c>
    </row>
    <row r="33" spans="2:4">
      <c r="B33" t="s">
        <v>20</v>
      </c>
      <c r="C33">
        <v>32</v>
      </c>
      <c r="D33">
        <v>68</v>
      </c>
    </row>
    <row r="34" spans="2:4">
      <c r="B34" t="s">
        <v>21</v>
      </c>
      <c r="C34">
        <v>30</v>
      </c>
      <c r="D34">
        <v>70</v>
      </c>
    </row>
    <row r="35" spans="2:4">
      <c r="B35" t="s">
        <v>22</v>
      </c>
      <c r="C35">
        <v>32</v>
      </c>
      <c r="D35">
        <v>68</v>
      </c>
    </row>
    <row r="36" spans="2:4">
      <c r="B36" t="s">
        <v>30</v>
      </c>
      <c r="C36">
        <v>29</v>
      </c>
      <c r="D36">
        <v>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D42F-8229-4420-9E10-BE38AA9C68C1}">
  <dimension ref="A2:AA42"/>
  <sheetViews>
    <sheetView workbookViewId="0">
      <selection activeCell="B23" sqref="B23"/>
    </sheetView>
  </sheetViews>
  <sheetFormatPr defaultColWidth="8.88671875" defaultRowHeight="14.4"/>
  <cols>
    <col min="1" max="1" width="8.88671875" style="12"/>
    <col min="2" max="2" width="18" style="12" customWidth="1"/>
    <col min="3" max="8" width="8.88671875" style="12"/>
    <col min="9" max="9" width="11.6640625" style="12" customWidth="1"/>
    <col min="10" max="14" width="8.88671875" style="12"/>
    <col min="15" max="18" width="17.109375" style="12" customWidth="1"/>
    <col min="19" max="19" width="16.44140625" style="12" customWidth="1"/>
    <col min="20" max="20" width="14.109375" style="12" customWidth="1"/>
    <col min="21" max="21" width="9.88671875" style="12" bestFit="1" customWidth="1"/>
    <col min="22" max="22" width="9.6640625" style="12" customWidth="1"/>
    <col min="23" max="23" width="9.88671875" style="12" bestFit="1" customWidth="1"/>
    <col min="24" max="16384" width="8.88671875" style="12"/>
  </cols>
  <sheetData>
    <row r="2" spans="1:27" ht="72">
      <c r="C2" s="12" t="s">
        <v>27</v>
      </c>
      <c r="O2" s="13" t="s">
        <v>47</v>
      </c>
      <c r="P2" s="13" t="s">
        <v>48</v>
      </c>
      <c r="Q2" s="13" t="s">
        <v>49</v>
      </c>
      <c r="R2" s="13" t="s">
        <v>50</v>
      </c>
      <c r="S2" s="13" t="s">
        <v>43</v>
      </c>
      <c r="T2" s="13" t="s">
        <v>44</v>
      </c>
      <c r="U2" s="13" t="s">
        <v>45</v>
      </c>
      <c r="V2" s="13" t="s">
        <v>46</v>
      </c>
      <c r="W2" s="13" t="s">
        <v>23</v>
      </c>
      <c r="X2" s="13" t="s">
        <v>39</v>
      </c>
      <c r="Y2" s="13" t="s">
        <v>40</v>
      </c>
      <c r="Z2" s="13" t="s">
        <v>41</v>
      </c>
      <c r="AA2" s="13" t="s">
        <v>42</v>
      </c>
    </row>
    <row r="3" spans="1:27">
      <c r="B3" s="12">
        <v>2024</v>
      </c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</row>
    <row r="4" spans="1:27">
      <c r="A4" s="12" t="s">
        <v>31</v>
      </c>
      <c r="B4" s="12" t="s">
        <v>12</v>
      </c>
      <c r="C4" s="12">
        <v>288457</v>
      </c>
      <c r="D4" s="12">
        <v>365762</v>
      </c>
      <c r="E4" s="12">
        <v>238064</v>
      </c>
      <c r="F4" s="12">
        <v>222175</v>
      </c>
      <c r="G4" s="12">
        <v>230232</v>
      </c>
      <c r="H4" s="12">
        <v>232242</v>
      </c>
      <c r="I4" s="12">
        <v>259137</v>
      </c>
      <c r="J4" s="12">
        <v>1338450</v>
      </c>
      <c r="K4" s="12">
        <v>199526</v>
      </c>
      <c r="L4" s="12">
        <v>167304</v>
      </c>
      <c r="M4" s="12">
        <v>459362</v>
      </c>
      <c r="N4" s="12">
        <v>779261</v>
      </c>
      <c r="O4" s="12">
        <f>SUM(C4:E4)</f>
        <v>892283</v>
      </c>
      <c r="P4" s="12">
        <f>SUM(F4:H4)</f>
        <v>684649</v>
      </c>
      <c r="Q4" s="12">
        <f>SUM(I4:K4)</f>
        <v>1797113</v>
      </c>
      <c r="R4" s="12">
        <f>SUM(L4:N4)</f>
        <v>1405927</v>
      </c>
      <c r="S4" s="14">
        <v>8501095</v>
      </c>
      <c r="T4" s="14">
        <v>7708255</v>
      </c>
      <c r="U4" s="12">
        <v>7931173</v>
      </c>
      <c r="V4" s="14">
        <f>1686209+1817146+2082886</f>
        <v>5586241</v>
      </c>
      <c r="W4" s="14">
        <f>SUM(S4:V4)</f>
        <v>29726764</v>
      </c>
      <c r="X4" s="12">
        <v>72308</v>
      </c>
      <c r="Y4" s="12">
        <v>73539</v>
      </c>
      <c r="Z4" s="12">
        <v>76044</v>
      </c>
      <c r="AA4" s="12">
        <v>77967</v>
      </c>
    </row>
    <row r="5" spans="1:27">
      <c r="B5" s="12" t="s">
        <v>13</v>
      </c>
      <c r="C5" s="12">
        <v>112663</v>
      </c>
      <c r="D5" s="12">
        <v>76115</v>
      </c>
      <c r="E5" s="12">
        <v>101117</v>
      </c>
      <c r="F5" s="12">
        <v>121132</v>
      </c>
      <c r="G5" s="12">
        <v>147212</v>
      </c>
      <c r="H5" s="12">
        <v>117209</v>
      </c>
      <c r="I5" s="12">
        <v>111119</v>
      </c>
      <c r="J5" s="12">
        <v>122857</v>
      </c>
      <c r="K5" s="12">
        <v>125885</v>
      </c>
      <c r="L5" s="12">
        <v>68620</v>
      </c>
      <c r="M5" s="12">
        <v>63916</v>
      </c>
      <c r="N5" s="12">
        <v>111253</v>
      </c>
      <c r="O5" s="12">
        <f>SUM(C5:E5)</f>
        <v>289895</v>
      </c>
      <c r="P5" s="12">
        <f>SUM(F5:H5)</f>
        <v>385553</v>
      </c>
      <c r="Q5" s="12">
        <f t="shared" ref="Q5:Q16" si="0">SUM(I5:K5)</f>
        <v>359861</v>
      </c>
      <c r="R5" s="12">
        <f t="shared" ref="R5:R15" si="1">SUM(L5:N5)</f>
        <v>243789</v>
      </c>
      <c r="S5" s="14">
        <v>2760562</v>
      </c>
      <c r="T5" s="14">
        <v>2758565</v>
      </c>
      <c r="U5" s="12">
        <v>2553393</v>
      </c>
      <c r="V5" s="14">
        <f>515436+507583+534913</f>
        <v>1557932</v>
      </c>
      <c r="W5" s="14">
        <f t="shared" ref="W5:W18" si="2">SUM(S5:V5)</f>
        <v>9630452</v>
      </c>
      <c r="X5" s="12">
        <v>22442</v>
      </c>
      <c r="Y5" s="12">
        <v>24122</v>
      </c>
      <c r="Z5" s="12">
        <v>24579</v>
      </c>
      <c r="AA5" s="12">
        <v>25016</v>
      </c>
    </row>
    <row r="6" spans="1:27">
      <c r="B6" s="12" t="s">
        <v>55</v>
      </c>
      <c r="C6" s="12">
        <v>3187</v>
      </c>
      <c r="D6" s="12">
        <v>3732</v>
      </c>
      <c r="E6" s="12">
        <v>2970</v>
      </c>
      <c r="F6" s="12">
        <v>3538</v>
      </c>
      <c r="G6" s="12">
        <v>2791</v>
      </c>
      <c r="H6" s="12">
        <v>3769</v>
      </c>
      <c r="I6" s="12">
        <v>3452</v>
      </c>
      <c r="J6" s="12">
        <v>3045</v>
      </c>
      <c r="K6" s="12">
        <v>3044</v>
      </c>
      <c r="L6" s="12">
        <v>3179</v>
      </c>
      <c r="M6" s="12">
        <v>3486</v>
      </c>
      <c r="N6" s="12">
        <v>3778</v>
      </c>
      <c r="O6" s="12">
        <f>SUM(C6:E6)</f>
        <v>9889</v>
      </c>
      <c r="P6" s="12">
        <f>SUM(F6:H6)</f>
        <v>10098</v>
      </c>
      <c r="Q6" s="12">
        <f>SUM(I6:K6)</f>
        <v>9541</v>
      </c>
      <c r="R6" s="12">
        <f>SUM(L6:N6)</f>
        <v>10443</v>
      </c>
      <c r="S6" s="14">
        <v>220526</v>
      </c>
      <c r="T6" s="14">
        <v>189312</v>
      </c>
      <c r="U6" s="12">
        <v>190334</v>
      </c>
      <c r="V6" s="14">
        <f>62144+60382+67279</f>
        <v>189805</v>
      </c>
      <c r="W6" s="14">
        <f t="shared" si="2"/>
        <v>789977</v>
      </c>
      <c r="X6" s="12">
        <v>5001</v>
      </c>
      <c r="Y6" s="12">
        <v>5000</v>
      </c>
      <c r="Z6" s="12">
        <v>4996</v>
      </c>
      <c r="AA6" s="12">
        <v>4996</v>
      </c>
    </row>
    <row r="7" spans="1:27">
      <c r="B7" s="12" t="s">
        <v>14</v>
      </c>
      <c r="C7" s="12">
        <v>91225</v>
      </c>
      <c r="D7" s="12">
        <v>41143</v>
      </c>
      <c r="E7" s="12">
        <v>43561</v>
      </c>
      <c r="F7" s="12">
        <v>64172</v>
      </c>
      <c r="G7" s="12">
        <v>90489</v>
      </c>
      <c r="H7" s="12">
        <v>61557</v>
      </c>
      <c r="I7" s="12">
        <v>83741</v>
      </c>
      <c r="J7" s="12">
        <v>53993</v>
      </c>
      <c r="K7" s="12">
        <v>79562</v>
      </c>
      <c r="L7" s="12">
        <v>87356</v>
      </c>
      <c r="M7" s="12">
        <v>38912</v>
      </c>
      <c r="N7" s="12">
        <v>59848</v>
      </c>
      <c r="O7" s="12">
        <f t="shared" ref="O7:O15" si="3">SUM(C7:E7)</f>
        <v>175929</v>
      </c>
      <c r="P7" s="12">
        <f>SUM(F7:H7)</f>
        <v>216218</v>
      </c>
      <c r="Q7" s="12">
        <f t="shared" si="0"/>
        <v>217296</v>
      </c>
      <c r="R7" s="12">
        <f t="shared" si="1"/>
        <v>186116</v>
      </c>
      <c r="S7" s="14">
        <v>1205844</v>
      </c>
      <c r="T7" s="14">
        <v>1144145</v>
      </c>
      <c r="U7" s="12">
        <v>1103745</v>
      </c>
      <c r="V7" s="14">
        <f>342567+297411+367809</f>
        <v>1007787</v>
      </c>
      <c r="W7" s="14">
        <f>SUM(S7:V7)</f>
        <v>4461521</v>
      </c>
      <c r="X7" s="12">
        <v>21128</v>
      </c>
      <c r="Y7" s="12">
        <v>22067</v>
      </c>
      <c r="Z7" s="12">
        <v>22652</v>
      </c>
      <c r="AA7" s="12">
        <v>23221</v>
      </c>
    </row>
    <row r="8" spans="1:27" s="15" customFormat="1">
      <c r="B8" s="15" t="s">
        <v>18</v>
      </c>
      <c r="C8" s="15">
        <v>62050</v>
      </c>
      <c r="D8" s="15">
        <v>46334</v>
      </c>
      <c r="E8" s="15">
        <v>67152</v>
      </c>
      <c r="F8" s="15">
        <v>58224</v>
      </c>
      <c r="G8" s="15">
        <v>60128</v>
      </c>
      <c r="H8" s="15">
        <v>48769</v>
      </c>
      <c r="I8" s="15">
        <v>48094</v>
      </c>
      <c r="J8" s="15">
        <v>72116</v>
      </c>
      <c r="K8" s="15">
        <v>55789</v>
      </c>
      <c r="L8" s="15">
        <v>46333</v>
      </c>
      <c r="M8" s="15">
        <v>65006</v>
      </c>
      <c r="N8" s="15">
        <v>96866</v>
      </c>
      <c r="O8" s="15">
        <f t="shared" si="3"/>
        <v>175536</v>
      </c>
      <c r="P8" s="15">
        <f>SUM(F8:H8)</f>
        <v>167121</v>
      </c>
      <c r="Q8" s="15">
        <f>SUM(I8:K8)</f>
        <v>175999</v>
      </c>
      <c r="R8" s="15">
        <f t="shared" si="1"/>
        <v>208205</v>
      </c>
      <c r="S8" s="23">
        <v>583427</v>
      </c>
      <c r="T8" s="23">
        <v>778735</v>
      </c>
      <c r="U8" s="15">
        <v>724253</v>
      </c>
      <c r="V8" s="23">
        <f>222568+222855+273790</f>
        <v>719213</v>
      </c>
      <c r="W8" s="23">
        <f t="shared" si="2"/>
        <v>2805628</v>
      </c>
      <c r="X8" s="23">
        <v>8542</v>
      </c>
      <c r="Y8" s="23">
        <v>9165</v>
      </c>
      <c r="Z8" s="23">
        <v>9658</v>
      </c>
      <c r="AA8" s="23">
        <v>10303</v>
      </c>
    </row>
    <row r="9" spans="1:27" s="25" customFormat="1">
      <c r="B9" s="25" t="s">
        <v>51</v>
      </c>
      <c r="C9" s="25">
        <v>66830</v>
      </c>
      <c r="D9" s="25">
        <v>65118</v>
      </c>
      <c r="E9" s="25">
        <v>67239</v>
      </c>
      <c r="F9" s="25">
        <v>111059</v>
      </c>
      <c r="G9" s="25">
        <v>62863</v>
      </c>
      <c r="H9" s="25">
        <v>57205</v>
      </c>
      <c r="I9" s="25">
        <v>54885</v>
      </c>
      <c r="J9" s="25">
        <v>64962</v>
      </c>
      <c r="K9" s="25">
        <v>56585</v>
      </c>
      <c r="L9" s="25">
        <v>55993</v>
      </c>
      <c r="M9" s="25">
        <v>301557</v>
      </c>
      <c r="N9" s="25">
        <v>149401</v>
      </c>
      <c r="O9" s="25">
        <f t="shared" si="3"/>
        <v>199187</v>
      </c>
      <c r="P9" s="25">
        <f t="shared" ref="P9:P16" si="4">SUM(F9:H9)</f>
        <v>231127</v>
      </c>
      <c r="Q9" s="25">
        <f t="shared" si="0"/>
        <v>176432</v>
      </c>
      <c r="R9" s="25">
        <f>SUM(L9:N9)</f>
        <v>506951</v>
      </c>
      <c r="S9" s="26">
        <v>390718</v>
      </c>
      <c r="T9" s="26">
        <v>467627</v>
      </c>
      <c r="U9" s="25">
        <v>372432</v>
      </c>
      <c r="V9" s="26">
        <f>93685+141060+102529</f>
        <v>337274</v>
      </c>
      <c r="W9" s="26">
        <f t="shared" si="2"/>
        <v>1568051</v>
      </c>
      <c r="X9" s="26">
        <v>6038</v>
      </c>
      <c r="Y9" s="26">
        <v>6583</v>
      </c>
      <c r="Z9" s="26">
        <v>7038</v>
      </c>
      <c r="AA9" s="26">
        <v>7946</v>
      </c>
    </row>
    <row r="10" spans="1:27" s="17" customFormat="1">
      <c r="B10" s="17" t="s">
        <v>26</v>
      </c>
      <c r="C10" s="17">
        <v>11934</v>
      </c>
      <c r="D10" s="17">
        <v>14450</v>
      </c>
      <c r="E10" s="17">
        <v>19026</v>
      </c>
      <c r="F10" s="17">
        <v>13522</v>
      </c>
      <c r="G10" s="17">
        <v>17332</v>
      </c>
      <c r="H10" s="17">
        <v>21929</v>
      </c>
      <c r="I10" s="17">
        <v>14026</v>
      </c>
      <c r="J10" s="17">
        <v>14425</v>
      </c>
      <c r="K10" s="17">
        <v>15972</v>
      </c>
      <c r="L10" s="17">
        <v>9952</v>
      </c>
      <c r="M10" s="17">
        <v>12785</v>
      </c>
      <c r="N10" s="17">
        <v>12330</v>
      </c>
      <c r="O10" s="17">
        <f t="shared" si="3"/>
        <v>45410</v>
      </c>
      <c r="P10" s="17">
        <f t="shared" si="4"/>
        <v>52783</v>
      </c>
      <c r="Q10" s="17">
        <f t="shared" si="0"/>
        <v>44423</v>
      </c>
      <c r="R10" s="17">
        <f>SUM(L10:N10)</f>
        <v>35067</v>
      </c>
      <c r="S10" s="24">
        <v>258291</v>
      </c>
      <c r="T10" s="24">
        <v>247123</v>
      </c>
      <c r="U10" s="17">
        <v>167909</v>
      </c>
      <c r="V10" s="24">
        <f>48738+66811+69868</f>
        <v>185417</v>
      </c>
      <c r="W10" s="24">
        <f t="shared" si="2"/>
        <v>858740</v>
      </c>
      <c r="X10" s="24">
        <v>7617</v>
      </c>
      <c r="Y10" s="17">
        <v>7667</v>
      </c>
      <c r="Z10" s="24">
        <v>7672</v>
      </c>
      <c r="AA10" s="24">
        <v>7705</v>
      </c>
    </row>
    <row r="11" spans="1:27">
      <c r="B11" s="12" t="s">
        <v>52</v>
      </c>
      <c r="C11" s="12">
        <v>32749</v>
      </c>
      <c r="D11" s="12">
        <v>35493</v>
      </c>
      <c r="E11" s="12">
        <v>30482</v>
      </c>
      <c r="F11" s="12">
        <v>43189</v>
      </c>
      <c r="G11" s="12">
        <v>43321</v>
      </c>
      <c r="H11" s="12">
        <v>44445</v>
      </c>
      <c r="I11" s="12">
        <v>17597</v>
      </c>
      <c r="J11" s="12">
        <v>43584</v>
      </c>
      <c r="K11" s="12">
        <v>25371</v>
      </c>
      <c r="L11" s="12">
        <v>24963</v>
      </c>
      <c r="M11" s="12">
        <v>26120</v>
      </c>
      <c r="N11" s="12">
        <v>18294</v>
      </c>
      <c r="O11" s="12">
        <f t="shared" ref="O11:O13" si="5">SUM(C11:E11)</f>
        <v>98724</v>
      </c>
      <c r="P11" s="12">
        <f>SUM(F11:H11)</f>
        <v>130955</v>
      </c>
      <c r="Q11" s="12">
        <f t="shared" ref="Q11:Q13" si="6">SUM(I11:K11)</f>
        <v>86552</v>
      </c>
      <c r="R11" s="12">
        <f t="shared" ref="R11:R13" si="7">SUM(L11:N11)</f>
        <v>69377</v>
      </c>
      <c r="S11" s="14">
        <v>310281</v>
      </c>
      <c r="T11" s="14">
        <v>402674</v>
      </c>
      <c r="U11" s="12">
        <v>203381</v>
      </c>
      <c r="V11" s="14">
        <f>65213+73650+73851</f>
        <v>212714</v>
      </c>
      <c r="W11" s="14">
        <f t="shared" si="2"/>
        <v>1129050</v>
      </c>
      <c r="X11" s="14">
        <v>4387</v>
      </c>
      <c r="Y11" s="12">
        <v>4519</v>
      </c>
      <c r="Z11" s="14">
        <v>4609</v>
      </c>
      <c r="AA11" s="14">
        <v>4764</v>
      </c>
    </row>
    <row r="12" spans="1:27">
      <c r="B12" s="18" t="s">
        <v>53</v>
      </c>
      <c r="C12" s="12">
        <v>18458</v>
      </c>
      <c r="D12" s="12">
        <v>18196</v>
      </c>
      <c r="E12" s="12">
        <v>12409</v>
      </c>
      <c r="F12" s="12">
        <v>77427</v>
      </c>
      <c r="G12" s="12">
        <v>47816</v>
      </c>
      <c r="H12" s="12">
        <v>30959</v>
      </c>
      <c r="I12" s="12">
        <v>17993</v>
      </c>
      <c r="J12" s="12">
        <v>14992</v>
      </c>
      <c r="K12" s="12">
        <v>10526</v>
      </c>
      <c r="L12" s="12">
        <v>18441</v>
      </c>
      <c r="M12" s="12">
        <v>10141</v>
      </c>
      <c r="N12" s="12">
        <v>13881</v>
      </c>
      <c r="O12" s="12">
        <f>SUM(C12:E12)</f>
        <v>49063</v>
      </c>
      <c r="P12" s="12">
        <f>SUM(F12:H12)</f>
        <v>156202</v>
      </c>
      <c r="Q12" s="12">
        <f t="shared" si="6"/>
        <v>43511</v>
      </c>
      <c r="R12" s="12">
        <f t="shared" si="7"/>
        <v>42463</v>
      </c>
      <c r="S12" s="14">
        <v>171339</v>
      </c>
      <c r="T12" s="14">
        <v>308575</v>
      </c>
      <c r="U12" s="12">
        <v>115637</v>
      </c>
      <c r="V12" s="14">
        <f>50071+30748+44158</f>
        <v>124977</v>
      </c>
      <c r="W12" s="14">
        <f t="shared" si="2"/>
        <v>720528</v>
      </c>
      <c r="X12" s="14">
        <v>1597</v>
      </c>
      <c r="Y12" s="12">
        <v>1842</v>
      </c>
      <c r="Z12" s="14">
        <v>1874</v>
      </c>
      <c r="AA12" s="14">
        <v>1953</v>
      </c>
    </row>
    <row r="13" spans="1:27">
      <c r="B13" s="12" t="s">
        <v>54</v>
      </c>
      <c r="C13" s="12">
        <v>24296</v>
      </c>
      <c r="D13" s="12">
        <v>21733</v>
      </c>
      <c r="E13" s="12">
        <v>22553</v>
      </c>
      <c r="F13" s="12">
        <v>32771</v>
      </c>
      <c r="G13" s="12">
        <v>20023</v>
      </c>
      <c r="H13" s="12">
        <v>27704</v>
      </c>
      <c r="I13" s="12">
        <v>56814</v>
      </c>
      <c r="J13" s="12">
        <v>29426</v>
      </c>
      <c r="K13" s="12">
        <v>47723</v>
      </c>
      <c r="L13" s="12">
        <v>21377</v>
      </c>
      <c r="M13" s="12">
        <v>25089</v>
      </c>
      <c r="N13" s="12">
        <v>21636</v>
      </c>
      <c r="O13" s="12">
        <f t="shared" si="5"/>
        <v>68582</v>
      </c>
      <c r="P13" s="12">
        <f t="shared" ref="P13" si="8">SUM(F13:H13)</f>
        <v>80498</v>
      </c>
      <c r="Q13" s="12">
        <f t="shared" si="6"/>
        <v>133963</v>
      </c>
      <c r="R13" s="12">
        <f t="shared" si="7"/>
        <v>68102</v>
      </c>
      <c r="S13" s="14">
        <v>167023</v>
      </c>
      <c r="T13" s="14">
        <v>170477</v>
      </c>
      <c r="U13" s="12">
        <v>255923</v>
      </c>
      <c r="V13" s="14">
        <f>24058+29484+30456</f>
        <v>83998</v>
      </c>
      <c r="W13" s="14">
        <f t="shared" si="2"/>
        <v>677421</v>
      </c>
      <c r="X13" s="14">
        <v>3391</v>
      </c>
      <c r="Y13" s="12">
        <v>3608</v>
      </c>
      <c r="Z13" s="14">
        <v>3874</v>
      </c>
      <c r="AA13" s="14">
        <v>4019</v>
      </c>
    </row>
    <row r="14" spans="1:27" s="19" customFormat="1">
      <c r="A14" s="19" t="s">
        <v>32</v>
      </c>
      <c r="B14" s="19" t="s">
        <v>15</v>
      </c>
      <c r="C14" s="19">
        <v>255435</v>
      </c>
      <c r="D14" s="19">
        <v>887282</v>
      </c>
      <c r="E14" s="19">
        <v>309188</v>
      </c>
      <c r="F14" s="19">
        <v>224824</v>
      </c>
      <c r="G14" s="19">
        <v>291105</v>
      </c>
      <c r="H14" s="19">
        <v>232063</v>
      </c>
      <c r="I14" s="19">
        <v>322290</v>
      </c>
      <c r="J14" s="19">
        <v>2034616</v>
      </c>
      <c r="K14" s="19">
        <v>214800</v>
      </c>
      <c r="L14" s="19">
        <v>141001</v>
      </c>
      <c r="M14" s="19">
        <v>98378</v>
      </c>
      <c r="N14" s="19">
        <v>107027</v>
      </c>
      <c r="O14" s="19">
        <f>SUM(C14:E14)</f>
        <v>1451905</v>
      </c>
      <c r="P14" s="19">
        <f t="shared" si="4"/>
        <v>747992</v>
      </c>
      <c r="Q14" s="19">
        <f t="shared" si="0"/>
        <v>2571706</v>
      </c>
      <c r="R14" s="19">
        <f t="shared" si="1"/>
        <v>346406</v>
      </c>
      <c r="S14" s="20">
        <f>1134099+1818026+1316236</f>
        <v>4268361</v>
      </c>
      <c r="T14" s="20">
        <f>998747+1763793+1196036</f>
        <v>3958576</v>
      </c>
      <c r="U14" s="20">
        <f>1431253+3664813+827821</f>
        <v>5923887</v>
      </c>
      <c r="V14" s="20">
        <f>746117+465568+789584</f>
        <v>2001269</v>
      </c>
      <c r="W14" s="20">
        <f t="shared" si="2"/>
        <v>16152093</v>
      </c>
      <c r="X14" s="19">
        <v>27579</v>
      </c>
      <c r="Y14" s="19">
        <v>28031</v>
      </c>
      <c r="Z14" s="19">
        <v>28889</v>
      </c>
      <c r="AA14" s="19">
        <v>29266</v>
      </c>
    </row>
    <row r="15" spans="1:27" s="19" customFormat="1">
      <c r="B15" s="19" t="s">
        <v>16</v>
      </c>
      <c r="C15" s="19">
        <v>133909</v>
      </c>
      <c r="D15" s="19">
        <v>105892</v>
      </c>
      <c r="E15" s="19">
        <v>181744</v>
      </c>
      <c r="F15" s="19">
        <v>126118</v>
      </c>
      <c r="G15" s="19">
        <v>160391</v>
      </c>
      <c r="H15" s="19">
        <v>305149</v>
      </c>
      <c r="I15" s="19">
        <v>249830</v>
      </c>
      <c r="J15" s="19">
        <v>326124</v>
      </c>
      <c r="K15" s="19">
        <v>269299</v>
      </c>
      <c r="L15" s="19">
        <v>203171</v>
      </c>
      <c r="M15" s="19">
        <v>62646</v>
      </c>
      <c r="N15" s="19">
        <v>22609</v>
      </c>
      <c r="O15" s="19">
        <f t="shared" si="3"/>
        <v>421545</v>
      </c>
      <c r="P15" s="19">
        <f t="shared" si="4"/>
        <v>591658</v>
      </c>
      <c r="Q15" s="19">
        <f t="shared" si="0"/>
        <v>845253</v>
      </c>
      <c r="R15" s="19">
        <f t="shared" si="1"/>
        <v>288426</v>
      </c>
      <c r="S15" s="20">
        <f>682611+366850+514633</f>
        <v>1564094</v>
      </c>
      <c r="T15" s="20">
        <f>753102+1332120+1191635</f>
        <v>3276857</v>
      </c>
      <c r="U15" s="20">
        <f>1363391+1507620+1157519</f>
        <v>4028530</v>
      </c>
      <c r="V15" s="20">
        <f>1114937+413452+355825</f>
        <v>1884214</v>
      </c>
      <c r="W15" s="20">
        <f t="shared" si="2"/>
        <v>10753695</v>
      </c>
      <c r="X15" s="19">
        <v>18419</v>
      </c>
      <c r="Y15" s="19">
        <v>19046</v>
      </c>
      <c r="Z15" s="19">
        <v>19506</v>
      </c>
      <c r="AA15" s="19">
        <v>19818</v>
      </c>
    </row>
    <row r="16" spans="1:27" s="19" customFormat="1">
      <c r="B16" s="19" t="s">
        <v>17</v>
      </c>
      <c r="C16" s="19">
        <v>197192</v>
      </c>
      <c r="D16" s="19">
        <v>149600</v>
      </c>
      <c r="E16" s="19">
        <v>459716</v>
      </c>
      <c r="F16" s="19">
        <v>312938</v>
      </c>
      <c r="G16" s="19">
        <v>212480</v>
      </c>
      <c r="H16" s="19">
        <v>126335</v>
      </c>
      <c r="I16" s="19">
        <v>265492</v>
      </c>
      <c r="J16" s="19">
        <v>178086</v>
      </c>
      <c r="K16" s="19">
        <v>186853</v>
      </c>
      <c r="L16" s="19">
        <v>108553</v>
      </c>
      <c r="M16" s="19">
        <v>64473</v>
      </c>
      <c r="N16" s="19">
        <v>7949</v>
      </c>
      <c r="O16" s="19">
        <f>SUM(C16:E16)</f>
        <v>806508</v>
      </c>
      <c r="P16" s="19">
        <f t="shared" si="4"/>
        <v>651753</v>
      </c>
      <c r="Q16" s="19">
        <f t="shared" si="0"/>
        <v>630431</v>
      </c>
      <c r="R16" s="19">
        <f>SUM(L16:N16)</f>
        <v>180975</v>
      </c>
      <c r="S16" s="20">
        <f>561813+446773+585423</f>
        <v>1594009</v>
      </c>
      <c r="T16" s="21">
        <f>655438+653439+330122</f>
        <v>1638999</v>
      </c>
      <c r="U16" s="20">
        <f>585363+531269+712992</f>
        <v>1829624</v>
      </c>
      <c r="V16" s="20">
        <f>512801+131224+58535</f>
        <v>702560</v>
      </c>
      <c r="W16" s="20">
        <f t="shared" si="2"/>
        <v>5765192</v>
      </c>
      <c r="X16" s="19">
        <v>7416</v>
      </c>
      <c r="Y16" s="20">
        <v>7823</v>
      </c>
      <c r="Z16" s="19">
        <v>8126</v>
      </c>
      <c r="AA16" s="19">
        <v>8292</v>
      </c>
    </row>
    <row r="17" spans="1:27" s="19" customFormat="1">
      <c r="B17" s="19" t="s">
        <v>52</v>
      </c>
      <c r="C17" s="19">
        <v>188</v>
      </c>
      <c r="D17" s="19">
        <v>835</v>
      </c>
      <c r="E17" s="19">
        <v>851</v>
      </c>
      <c r="F17" s="19">
        <v>1477</v>
      </c>
      <c r="G17" s="19">
        <v>2423</v>
      </c>
      <c r="H17" s="19">
        <v>1667</v>
      </c>
      <c r="I17" s="19">
        <v>3351</v>
      </c>
      <c r="J17" s="19">
        <v>1900</v>
      </c>
      <c r="K17" s="19">
        <v>3556</v>
      </c>
      <c r="L17" s="19">
        <v>4563</v>
      </c>
      <c r="M17" s="19">
        <v>2266</v>
      </c>
      <c r="N17" s="19">
        <v>2256</v>
      </c>
      <c r="O17" s="19">
        <f>SUM(C17:E17)</f>
        <v>1874</v>
      </c>
      <c r="P17" s="19">
        <f>SUM(F17:H17)</f>
        <v>5567</v>
      </c>
      <c r="Q17" s="19">
        <f>SUM(I17:K17)</f>
        <v>8807</v>
      </c>
      <c r="R17" s="19">
        <f t="shared" ref="R17" si="9">SUM(L17:N17)</f>
        <v>9085</v>
      </c>
      <c r="S17" s="20">
        <v>7922</v>
      </c>
      <c r="T17" s="21">
        <v>34277</v>
      </c>
      <c r="U17" s="20">
        <f>10038+8255+8565</f>
        <v>26858</v>
      </c>
      <c r="V17" s="20">
        <f>15831+4922+8066</f>
        <v>28819</v>
      </c>
      <c r="W17" s="20">
        <f t="shared" si="2"/>
        <v>97876</v>
      </c>
      <c r="X17" s="19">
        <v>624</v>
      </c>
      <c r="Y17" s="20">
        <v>666</v>
      </c>
      <c r="Z17" s="19">
        <v>678</v>
      </c>
      <c r="AA17" s="19">
        <v>694</v>
      </c>
    </row>
    <row r="18" spans="1:27" s="19" customFormat="1">
      <c r="B18" s="22" t="s">
        <v>53</v>
      </c>
      <c r="C18" s="19">
        <v>3864</v>
      </c>
      <c r="D18" s="19">
        <v>3186</v>
      </c>
      <c r="E18" s="19">
        <v>1128</v>
      </c>
      <c r="F18" s="19">
        <v>2738</v>
      </c>
      <c r="G18" s="19">
        <v>12906</v>
      </c>
      <c r="H18" s="19">
        <v>16091</v>
      </c>
      <c r="I18" s="19">
        <v>12887</v>
      </c>
      <c r="J18" s="19">
        <v>7093</v>
      </c>
      <c r="K18" s="19">
        <v>4884</v>
      </c>
      <c r="L18" s="19">
        <v>9419</v>
      </c>
      <c r="M18" s="19">
        <v>6870</v>
      </c>
      <c r="N18" s="19">
        <v>5074</v>
      </c>
      <c r="O18" s="19">
        <f>SUM(C18:N18)</f>
        <v>86140</v>
      </c>
      <c r="P18" s="19">
        <f t="shared" ref="P18" si="10">SUM(F18:H18)</f>
        <v>31735</v>
      </c>
      <c r="Q18" s="19">
        <f t="shared" ref="Q18" si="11">SUM(I18:K18)</f>
        <v>24864</v>
      </c>
      <c r="R18" s="19">
        <f>SUM(L18:N18)</f>
        <v>21363</v>
      </c>
      <c r="S18" s="20">
        <v>37042</v>
      </c>
      <c r="T18" s="21">
        <v>97247</v>
      </c>
      <c r="U18" s="20">
        <f>43654+19890+7504</f>
        <v>71048</v>
      </c>
      <c r="V18" s="20">
        <f>29031+15700+14374</f>
        <v>59105</v>
      </c>
      <c r="W18" s="20">
        <f t="shared" si="2"/>
        <v>264442</v>
      </c>
      <c r="X18" s="19">
        <v>555</v>
      </c>
      <c r="Y18" s="20">
        <v>602</v>
      </c>
      <c r="Z18" s="19">
        <v>671</v>
      </c>
      <c r="AA18" s="19">
        <v>703</v>
      </c>
    </row>
    <row r="19" spans="1:27" ht="51.6" customHeight="1">
      <c r="N19" s="6" t="s">
        <v>33</v>
      </c>
      <c r="O19" s="7">
        <f>SUM(O4:O18)</f>
        <v>4772470</v>
      </c>
      <c r="P19" s="7">
        <f t="shared" ref="P19:R19" si="12">SUM(P4:P18)</f>
        <v>4143909</v>
      </c>
      <c r="Q19" s="7">
        <f t="shared" si="12"/>
        <v>7125752</v>
      </c>
      <c r="R19" s="7">
        <f t="shared" si="12"/>
        <v>3622695</v>
      </c>
      <c r="S19" s="8">
        <f>SUM(S4:S18)</f>
        <v>22040534</v>
      </c>
      <c r="T19" s="8">
        <f t="shared" ref="T19:Z19" si="13">SUM(T4:T18)</f>
        <v>23181444</v>
      </c>
      <c r="U19" s="8">
        <f t="shared" si="13"/>
        <v>25498127</v>
      </c>
      <c r="V19" s="8">
        <f t="shared" si="13"/>
        <v>14681325</v>
      </c>
      <c r="W19" s="8">
        <f t="shared" si="13"/>
        <v>85401430</v>
      </c>
      <c r="X19" s="8">
        <f t="shared" si="13"/>
        <v>207044</v>
      </c>
      <c r="Y19" s="8">
        <f t="shared" si="13"/>
        <v>214280</v>
      </c>
      <c r="Z19" s="8">
        <f t="shared" si="13"/>
        <v>220866</v>
      </c>
      <c r="AA19" s="8">
        <f>SUM(AA4:AA18)</f>
        <v>226663</v>
      </c>
    </row>
    <row r="20" spans="1:27">
      <c r="Q20" s="12" t="s">
        <v>56</v>
      </c>
      <c r="R20" s="12">
        <f>SUM(O19:R19)</f>
        <v>19664826</v>
      </c>
    </row>
    <row r="21" spans="1:27">
      <c r="I21" s="14"/>
    </row>
    <row r="22" spans="1:27" ht="72">
      <c r="A22" s="12">
        <v>2024</v>
      </c>
      <c r="B22" s="13" t="s">
        <v>72</v>
      </c>
      <c r="I22" s="14"/>
      <c r="S22" s="13" t="s">
        <v>43</v>
      </c>
      <c r="T22" s="13" t="s">
        <v>44</v>
      </c>
      <c r="U22" s="13" t="s">
        <v>45</v>
      </c>
      <c r="V22" s="13" t="s">
        <v>46</v>
      </c>
      <c r="W22" s="13" t="s">
        <v>23</v>
      </c>
      <c r="X22" s="13" t="s">
        <v>39</v>
      </c>
      <c r="Y22" s="13" t="s">
        <v>40</v>
      </c>
      <c r="Z22" s="13" t="s">
        <v>41</v>
      </c>
      <c r="AA22" s="13" t="s">
        <v>42</v>
      </c>
    </row>
    <row r="23" spans="1:27">
      <c r="B23" s="12" t="s">
        <v>20</v>
      </c>
      <c r="C23" s="12">
        <v>1168584</v>
      </c>
      <c r="D23" s="12">
        <v>1207010</v>
      </c>
      <c r="E23" s="12">
        <v>1462240</v>
      </c>
      <c r="F23" s="12">
        <v>1216060</v>
      </c>
      <c r="G23" s="12">
        <v>1217155</v>
      </c>
      <c r="H23" s="12">
        <v>1316255</v>
      </c>
      <c r="I23" s="12">
        <v>1317251</v>
      </c>
      <c r="J23" s="12">
        <v>1455177</v>
      </c>
      <c r="K23" s="12">
        <v>1509886</v>
      </c>
      <c r="L23" s="12">
        <v>1334965</v>
      </c>
      <c r="M23" s="12">
        <v>1289687</v>
      </c>
      <c r="N23" s="12">
        <v>1370351</v>
      </c>
      <c r="S23" s="12">
        <f>SUM(C23:E23)</f>
        <v>3837834</v>
      </c>
      <c r="T23" s="12">
        <f>SUM(F23:H23)</f>
        <v>3749470</v>
      </c>
      <c r="U23" s="12">
        <f>SUM(I23:K23)</f>
        <v>4282314</v>
      </c>
      <c r="V23" s="12">
        <f>SUM(L23:N23)</f>
        <v>3995003</v>
      </c>
      <c r="W23" s="14">
        <f>SUM(S23:V23)</f>
        <v>15864621</v>
      </c>
      <c r="X23" s="12">
        <v>8520</v>
      </c>
      <c r="Y23" s="12">
        <v>9249</v>
      </c>
      <c r="Z23" s="12">
        <v>9947</v>
      </c>
      <c r="AA23" s="12">
        <v>10694</v>
      </c>
    </row>
    <row r="24" spans="1:27">
      <c r="B24" s="12" t="s">
        <v>21</v>
      </c>
      <c r="C24" s="12">
        <v>566336</v>
      </c>
      <c r="D24" s="12">
        <v>525247</v>
      </c>
      <c r="E24" s="12">
        <v>716848</v>
      </c>
      <c r="F24" s="12">
        <v>584322</v>
      </c>
      <c r="G24" s="12">
        <v>556169</v>
      </c>
      <c r="H24" s="12">
        <v>532561</v>
      </c>
      <c r="I24" s="12">
        <v>547898</v>
      </c>
      <c r="J24" s="12">
        <v>683053</v>
      </c>
      <c r="K24" s="12">
        <v>593431</v>
      </c>
      <c r="L24" s="12">
        <v>646431</v>
      </c>
      <c r="M24" s="12">
        <v>621908</v>
      </c>
      <c r="N24" s="12">
        <v>743150</v>
      </c>
      <c r="S24" s="12">
        <f>SUM(C24:E24)</f>
        <v>1808431</v>
      </c>
      <c r="T24" s="12">
        <f>SUM(F24:H24)</f>
        <v>1673052</v>
      </c>
      <c r="U24" s="12">
        <f>SUM(I24:K24)</f>
        <v>1824382</v>
      </c>
      <c r="V24" s="12">
        <f>SUM(L24:N24)</f>
        <v>2011489</v>
      </c>
      <c r="W24" s="14">
        <f t="shared" ref="W24:W26" si="14">SUM(S24:V24)</f>
        <v>7317354</v>
      </c>
      <c r="X24" s="12">
        <v>4188</v>
      </c>
      <c r="Y24" s="12">
        <v>4392</v>
      </c>
      <c r="Z24" s="12">
        <v>4621</v>
      </c>
      <c r="AA24" s="12">
        <v>4772</v>
      </c>
    </row>
    <row r="25" spans="1:27">
      <c r="B25" s="12" t="s">
        <v>22</v>
      </c>
      <c r="C25" s="12">
        <v>55545</v>
      </c>
      <c r="D25" s="12">
        <v>43050</v>
      </c>
      <c r="E25" s="12">
        <v>38810</v>
      </c>
      <c r="F25" s="12">
        <v>39815</v>
      </c>
      <c r="G25" s="12">
        <v>39164</v>
      </c>
      <c r="H25" s="12">
        <v>26262</v>
      </c>
      <c r="I25" s="12">
        <v>38087</v>
      </c>
      <c r="J25" s="12">
        <v>40960</v>
      </c>
      <c r="K25" s="12">
        <v>39516</v>
      </c>
      <c r="L25" s="12">
        <v>65820</v>
      </c>
      <c r="M25" s="12">
        <v>35841</v>
      </c>
      <c r="N25" s="12">
        <v>48640</v>
      </c>
      <c r="S25" s="12">
        <f>SUM(C25:E25)</f>
        <v>137405</v>
      </c>
      <c r="T25" s="12">
        <f>SUM(F25:H25)</f>
        <v>105241</v>
      </c>
      <c r="U25" s="12">
        <f>SUM(I25:K25)</f>
        <v>118563</v>
      </c>
      <c r="V25" s="12">
        <f t="shared" ref="V25:V26" si="15">SUM(L25:N25)</f>
        <v>150301</v>
      </c>
      <c r="W25" s="14">
        <f t="shared" si="14"/>
        <v>511510</v>
      </c>
      <c r="X25" s="12">
        <v>806</v>
      </c>
      <c r="Y25" s="12">
        <v>867</v>
      </c>
      <c r="Z25" s="12">
        <v>914</v>
      </c>
      <c r="AA25" s="12">
        <v>957</v>
      </c>
    </row>
    <row r="26" spans="1:27">
      <c r="B26" s="12" t="s">
        <v>30</v>
      </c>
      <c r="C26" s="12">
        <v>104220</v>
      </c>
      <c r="D26" s="12">
        <v>154539</v>
      </c>
      <c r="E26" s="12">
        <v>153995</v>
      </c>
      <c r="F26" s="12">
        <v>170842</v>
      </c>
      <c r="G26" s="12">
        <v>127471</v>
      </c>
      <c r="H26" s="12">
        <v>101399</v>
      </c>
      <c r="I26" s="12">
        <v>103732</v>
      </c>
      <c r="J26" s="12">
        <v>122793</v>
      </c>
      <c r="K26" s="12">
        <v>114630</v>
      </c>
      <c r="L26" s="12">
        <v>109455</v>
      </c>
      <c r="M26" s="12">
        <v>142458</v>
      </c>
      <c r="N26" s="12">
        <v>162511</v>
      </c>
      <c r="S26" s="12">
        <f>SUM(C26:E26)</f>
        <v>412754</v>
      </c>
      <c r="T26" s="12">
        <f>SUM(F26:H26)</f>
        <v>399712</v>
      </c>
      <c r="U26" s="12">
        <f>SUM(I26:K26)</f>
        <v>341155</v>
      </c>
      <c r="V26" s="12">
        <f t="shared" si="15"/>
        <v>414424</v>
      </c>
      <c r="W26" s="14">
        <f t="shared" si="14"/>
        <v>1568045</v>
      </c>
      <c r="X26" s="12">
        <v>1856</v>
      </c>
      <c r="Y26" s="12">
        <v>1940</v>
      </c>
      <c r="Z26" s="12">
        <v>2042</v>
      </c>
      <c r="AA26" s="12">
        <v>2519</v>
      </c>
    </row>
    <row r="27" spans="1:27" ht="57.6">
      <c r="B27" s="13"/>
      <c r="N27" s="6" t="s">
        <v>35</v>
      </c>
      <c r="O27" s="7">
        <f t="shared" ref="O27" si="16">SUM(O23:O26)</f>
        <v>0</v>
      </c>
      <c r="P27" s="7"/>
      <c r="Q27" s="7"/>
      <c r="R27" s="7"/>
      <c r="S27" s="7">
        <f>SUM(S23:S26)</f>
        <v>6196424</v>
      </c>
      <c r="T27" s="7">
        <f>SUM(T23:T26)</f>
        <v>5927475</v>
      </c>
      <c r="U27" s="7">
        <f>SUM(U23:U26)</f>
        <v>6566414</v>
      </c>
      <c r="V27" s="7">
        <f t="shared" ref="V27:W27" si="17">SUM(V23:V26)</f>
        <v>6571217</v>
      </c>
      <c r="W27" s="7">
        <f t="shared" si="17"/>
        <v>25261530</v>
      </c>
      <c r="X27" s="7">
        <f>SUM(X23:X26)</f>
        <v>15370</v>
      </c>
      <c r="Y27" s="7">
        <f t="shared" ref="Y27:AA27" si="18">SUM(Y23:Y26)</f>
        <v>16448</v>
      </c>
      <c r="Z27" s="7">
        <f>SUM(Z23:Z26)</f>
        <v>17524</v>
      </c>
      <c r="AA27" s="7">
        <f t="shared" si="18"/>
        <v>18942</v>
      </c>
    </row>
    <row r="28" spans="1:27" ht="72">
      <c r="B28" s="12" t="s">
        <v>38</v>
      </c>
      <c r="N28" s="9" t="s">
        <v>34</v>
      </c>
      <c r="O28" s="10">
        <f t="shared" ref="O28:R28" si="19">SUM(O19+O27)</f>
        <v>4772470</v>
      </c>
      <c r="P28" s="10">
        <f t="shared" si="19"/>
        <v>4143909</v>
      </c>
      <c r="Q28" s="10">
        <f t="shared" si="19"/>
        <v>7125752</v>
      </c>
      <c r="R28" s="10">
        <f t="shared" si="19"/>
        <v>3622695</v>
      </c>
      <c r="S28" s="11">
        <f>SUM(S19+S27)</f>
        <v>28236958</v>
      </c>
      <c r="T28" s="11">
        <f>SUM(T19+T27)</f>
        <v>29108919</v>
      </c>
      <c r="U28" s="11">
        <f t="shared" ref="U28:V28" si="20">SUM(U19+U27)</f>
        <v>32064541</v>
      </c>
      <c r="V28" s="11">
        <f t="shared" si="20"/>
        <v>21252542</v>
      </c>
      <c r="W28" s="11">
        <f>SUM(W19+W27)</f>
        <v>110662960</v>
      </c>
      <c r="X28" s="10">
        <f>SUM(X19+X27)</f>
        <v>222414</v>
      </c>
      <c r="Y28" s="10">
        <f>SUM(Y19+Y27)</f>
        <v>230728</v>
      </c>
      <c r="Z28" s="11">
        <f>SUM(Z19+Z27)</f>
        <v>238390</v>
      </c>
      <c r="AA28" s="11">
        <f>SUM(AA19+AA27)</f>
        <v>245605</v>
      </c>
    </row>
    <row r="29" spans="1:27">
      <c r="C29" s="12" t="s">
        <v>36</v>
      </c>
      <c r="D29" s="12" t="s">
        <v>37</v>
      </c>
    </row>
    <row r="30" spans="1:27">
      <c r="B30" s="12" t="s">
        <v>12</v>
      </c>
      <c r="C30" s="12">
        <v>37</v>
      </c>
      <c r="D30" s="12">
        <v>63</v>
      </c>
    </row>
    <row r="31" spans="1:27">
      <c r="B31" s="12" t="s">
        <v>13</v>
      </c>
      <c r="C31" s="12">
        <v>32</v>
      </c>
      <c r="D31" s="12">
        <v>68</v>
      </c>
    </row>
    <row r="32" spans="1:27">
      <c r="B32" s="12" t="s">
        <v>14</v>
      </c>
      <c r="C32" s="12">
        <v>36</v>
      </c>
      <c r="D32" s="12">
        <v>64</v>
      </c>
    </row>
    <row r="33" spans="2:4">
      <c r="B33" s="15" t="s">
        <v>18</v>
      </c>
      <c r="C33" s="12">
        <v>28</v>
      </c>
      <c r="D33" s="12">
        <v>72</v>
      </c>
    </row>
    <row r="34" spans="2:4">
      <c r="B34" s="16" t="s">
        <v>19</v>
      </c>
      <c r="C34" s="12">
        <v>33</v>
      </c>
      <c r="D34" s="12">
        <v>67</v>
      </c>
    </row>
    <row r="35" spans="2:4">
      <c r="B35" s="17" t="s">
        <v>26</v>
      </c>
      <c r="C35" s="12">
        <v>47</v>
      </c>
      <c r="D35" s="12">
        <v>53</v>
      </c>
    </row>
    <row r="36" spans="2:4">
      <c r="B36" s="12" t="s">
        <v>15</v>
      </c>
      <c r="C36" s="12">
        <v>36</v>
      </c>
      <c r="D36" s="12">
        <v>64</v>
      </c>
    </row>
    <row r="37" spans="2:4">
      <c r="B37" s="12" t="s">
        <v>16</v>
      </c>
      <c r="C37" s="12">
        <v>35</v>
      </c>
      <c r="D37" s="12">
        <v>65</v>
      </c>
    </row>
    <row r="38" spans="2:4">
      <c r="B38" s="12" t="s">
        <v>17</v>
      </c>
      <c r="C38" s="12">
        <v>35</v>
      </c>
      <c r="D38" s="12">
        <v>65</v>
      </c>
    </row>
    <row r="39" spans="2:4">
      <c r="B39" s="12" t="s">
        <v>20</v>
      </c>
      <c r="C39" s="12">
        <v>32</v>
      </c>
      <c r="D39" s="12">
        <v>68</v>
      </c>
    </row>
    <row r="40" spans="2:4">
      <c r="B40" s="12" t="s">
        <v>21</v>
      </c>
      <c r="C40" s="12">
        <v>30</v>
      </c>
      <c r="D40" s="12">
        <v>70</v>
      </c>
    </row>
    <row r="41" spans="2:4">
      <c r="B41" s="12" t="s">
        <v>22</v>
      </c>
      <c r="C41" s="12">
        <v>32</v>
      </c>
      <c r="D41" s="12">
        <v>68</v>
      </c>
    </row>
    <row r="42" spans="2:4">
      <c r="B42" s="12" t="s">
        <v>30</v>
      </c>
      <c r="C42" s="12">
        <v>29</v>
      </c>
      <c r="D42" s="12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8ECE-2297-4D15-A049-5E857EB8A6AE}">
  <dimension ref="A1:AA44"/>
  <sheetViews>
    <sheetView topLeftCell="L3" workbookViewId="0">
      <selection activeCell="X5" sqref="X5"/>
    </sheetView>
  </sheetViews>
  <sheetFormatPr defaultRowHeight="14.4"/>
  <cols>
    <col min="2" max="2" width="19.44140625" customWidth="1"/>
    <col min="19" max="19" width="10.77734375" customWidth="1"/>
    <col min="20" max="20" width="11.44140625" customWidth="1"/>
    <col min="21" max="21" width="11.33203125" customWidth="1"/>
    <col min="22" max="22" width="11.44140625" customWidth="1"/>
    <col min="23" max="23" width="10.88671875" customWidth="1"/>
  </cols>
  <sheetData>
    <row r="1" spans="1:27" s="12" customFormat="1"/>
    <row r="2" spans="1:27" s="12" customFormat="1" ht="86.4">
      <c r="C2" s="12" t="s">
        <v>27</v>
      </c>
      <c r="O2" s="13" t="s">
        <v>47</v>
      </c>
      <c r="P2" s="13" t="s">
        <v>48</v>
      </c>
      <c r="Q2" s="13" t="s">
        <v>49</v>
      </c>
      <c r="R2" s="13" t="s">
        <v>50</v>
      </c>
      <c r="S2" s="13" t="s">
        <v>43</v>
      </c>
      <c r="T2" s="13" t="s">
        <v>44</v>
      </c>
      <c r="U2" s="13" t="s">
        <v>45</v>
      </c>
      <c r="V2" s="13" t="s">
        <v>46</v>
      </c>
      <c r="W2" s="13" t="s">
        <v>23</v>
      </c>
      <c r="X2" s="13" t="s">
        <v>39</v>
      </c>
      <c r="Y2" s="13" t="s">
        <v>40</v>
      </c>
      <c r="Z2" s="13" t="s">
        <v>41</v>
      </c>
      <c r="AA2" s="13" t="s">
        <v>42</v>
      </c>
    </row>
    <row r="3" spans="1:27" s="12" customFormat="1">
      <c r="B3" s="12">
        <v>2025</v>
      </c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</row>
    <row r="4" spans="1:27" s="12" customFormat="1">
      <c r="A4" s="12" t="s">
        <v>31</v>
      </c>
      <c r="B4" s="12" t="s">
        <v>12</v>
      </c>
      <c r="C4" s="12">
        <v>584354</v>
      </c>
      <c r="D4" s="12">
        <v>503124</v>
      </c>
      <c r="E4" s="12">
        <v>662600</v>
      </c>
      <c r="F4" s="12">
        <v>619024</v>
      </c>
      <c r="G4" s="12">
        <v>719700</v>
      </c>
      <c r="H4" s="12">
        <v>609903</v>
      </c>
      <c r="I4" s="12">
        <v>723910</v>
      </c>
      <c r="J4" s="12">
        <v>951945</v>
      </c>
      <c r="K4" s="12">
        <v>1038684</v>
      </c>
      <c r="L4" s="12">
        <v>865383</v>
      </c>
      <c r="M4" s="12">
        <v>795039</v>
      </c>
      <c r="N4" s="12">
        <v>658492</v>
      </c>
      <c r="O4" s="12">
        <f>SUM(C4:E4)</f>
        <v>1750078</v>
      </c>
      <c r="P4" s="12">
        <f>SUM(F4:H4)</f>
        <v>1948627</v>
      </c>
      <c r="Q4" s="12">
        <f>SUM(I4:K4)</f>
        <v>2714539</v>
      </c>
      <c r="R4" s="12">
        <f>SUM(L4:N4)</f>
        <v>2318914</v>
      </c>
      <c r="S4" s="14">
        <f>2443401+2385819+2625317</f>
        <v>7454537</v>
      </c>
      <c r="T4" s="14">
        <f>1989911+2528042+2382877</f>
        <v>6900830</v>
      </c>
      <c r="U4" s="12">
        <f>2595771+2283991+2024969</f>
        <v>6904731</v>
      </c>
      <c r="V4" s="14">
        <f>2081074+2350854+2846113</f>
        <v>7278041</v>
      </c>
      <c r="W4" s="14">
        <f>SUM(S4:V4)</f>
        <v>28538139</v>
      </c>
      <c r="X4" s="12">
        <v>82620</v>
      </c>
      <c r="Y4" s="12">
        <v>80261</v>
      </c>
      <c r="Z4" s="12">
        <v>82767</v>
      </c>
      <c r="AA4" s="12">
        <v>85284</v>
      </c>
    </row>
    <row r="5" spans="1:27" s="12" customFormat="1">
      <c r="B5" s="12" t="s">
        <v>13</v>
      </c>
      <c r="C5" s="12">
        <v>160424</v>
      </c>
      <c r="D5" s="12">
        <v>132226</v>
      </c>
      <c r="E5" s="12">
        <v>195582</v>
      </c>
      <c r="F5" s="12">
        <v>178420</v>
      </c>
      <c r="G5" s="12">
        <v>151289</v>
      </c>
      <c r="H5" s="12">
        <v>179834</v>
      </c>
      <c r="I5" s="12">
        <v>203504</v>
      </c>
      <c r="J5" s="12">
        <v>238686</v>
      </c>
      <c r="K5" s="12">
        <v>183165</v>
      </c>
      <c r="L5" s="12">
        <v>163318</v>
      </c>
      <c r="M5" s="12">
        <v>141774</v>
      </c>
      <c r="N5" s="12">
        <v>104295</v>
      </c>
      <c r="O5" s="12">
        <f t="shared" ref="O5:O7" si="0">SUM(C5:E5)</f>
        <v>488232</v>
      </c>
      <c r="P5" s="12">
        <f t="shared" ref="P5:P12" si="1">SUM(F5:H5)</f>
        <v>509543</v>
      </c>
      <c r="Q5" s="12">
        <f>SUM(I5:K5)</f>
        <v>625355</v>
      </c>
      <c r="R5" s="12">
        <f t="shared" ref="R5:R15" si="2">SUM(L5:N5)</f>
        <v>409387</v>
      </c>
      <c r="S5" s="14">
        <f>636377+537581+766806</f>
        <v>1940764</v>
      </c>
      <c r="T5" s="14">
        <f>710913+839617+750910</f>
        <v>2301440</v>
      </c>
      <c r="U5" s="12">
        <f>939037+707291+642501</f>
        <v>2288829</v>
      </c>
      <c r="V5" s="14">
        <f>1066958+1023638+1866992</f>
        <v>3957588</v>
      </c>
      <c r="W5" s="14">
        <f t="shared" ref="W5:W18" si="3">SUM(S5:V5)</f>
        <v>10488621</v>
      </c>
      <c r="X5" s="12">
        <v>26058</v>
      </c>
      <c r="Y5" s="12">
        <v>26277</v>
      </c>
      <c r="Z5" s="12">
        <v>26832</v>
      </c>
      <c r="AA5" s="12">
        <v>27214</v>
      </c>
    </row>
    <row r="6" spans="1:27" s="12" customFormat="1">
      <c r="B6" s="12" t="s">
        <v>55</v>
      </c>
      <c r="C6" s="12">
        <v>2917</v>
      </c>
      <c r="D6" s="12">
        <v>2769</v>
      </c>
      <c r="E6" s="12">
        <v>4620</v>
      </c>
      <c r="F6" s="12">
        <v>2604</v>
      </c>
      <c r="G6" s="12">
        <v>1663</v>
      </c>
      <c r="H6" s="12">
        <v>3107</v>
      </c>
      <c r="I6" s="12">
        <v>2493</v>
      </c>
      <c r="J6" s="12">
        <v>2627</v>
      </c>
      <c r="K6" s="12">
        <v>2183</v>
      </c>
      <c r="L6" s="12">
        <v>1928</v>
      </c>
      <c r="M6" s="12">
        <v>1881</v>
      </c>
      <c r="N6" s="12">
        <v>1555</v>
      </c>
      <c r="O6" s="12">
        <f t="shared" si="0"/>
        <v>10306</v>
      </c>
      <c r="P6" s="12">
        <f t="shared" si="1"/>
        <v>7374</v>
      </c>
      <c r="Q6" s="12">
        <f>SUM(I6:K6)</f>
        <v>7303</v>
      </c>
      <c r="R6" s="12">
        <f>SUM(L6:N6)</f>
        <v>5364</v>
      </c>
      <c r="S6" s="14">
        <f>71579+57241+66664</f>
        <v>195484</v>
      </c>
      <c r="T6" s="12">
        <f>60308+27874+60137</f>
        <v>148319</v>
      </c>
      <c r="U6" s="12">
        <f>48382+39361+35040</f>
        <v>122783</v>
      </c>
      <c r="V6" s="14">
        <f>31984+23439+86735</f>
        <v>142158</v>
      </c>
      <c r="W6" s="14">
        <f t="shared" si="3"/>
        <v>608744</v>
      </c>
      <c r="X6" s="12">
        <v>4995</v>
      </c>
      <c r="Y6" s="12">
        <v>4992</v>
      </c>
      <c r="Z6" s="12">
        <v>4987</v>
      </c>
      <c r="AA6" s="12">
        <v>4987</v>
      </c>
    </row>
    <row r="7" spans="1:27" s="12" customFormat="1">
      <c r="B7" s="12" t="s">
        <v>14</v>
      </c>
      <c r="C7" s="12">
        <v>84565</v>
      </c>
      <c r="D7" s="12">
        <v>58169</v>
      </c>
      <c r="E7" s="12">
        <v>70171</v>
      </c>
      <c r="F7" s="12">
        <v>80890</v>
      </c>
      <c r="G7" s="12">
        <v>83997</v>
      </c>
      <c r="H7" s="12">
        <v>55636</v>
      </c>
      <c r="I7" s="12">
        <v>74896</v>
      </c>
      <c r="J7" s="12">
        <v>46554</v>
      </c>
      <c r="K7" s="12">
        <v>56629</v>
      </c>
      <c r="L7" s="12">
        <v>88353</v>
      </c>
      <c r="M7" s="12">
        <v>70983</v>
      </c>
      <c r="N7" s="12">
        <v>52802</v>
      </c>
      <c r="O7" s="12">
        <f t="shared" si="0"/>
        <v>212905</v>
      </c>
      <c r="P7" s="12">
        <f t="shared" si="1"/>
        <v>220523</v>
      </c>
      <c r="Q7" s="12">
        <f t="shared" ref="Q7:Q16" si="4">SUM(I7:K7)</f>
        <v>178079</v>
      </c>
      <c r="R7" s="12">
        <f t="shared" si="2"/>
        <v>212138</v>
      </c>
      <c r="S7" s="14">
        <f>465937+346492+399906</f>
        <v>1212335</v>
      </c>
      <c r="T7" s="14">
        <f>400648+497118+374420</f>
        <v>1272186</v>
      </c>
      <c r="U7" s="12">
        <f>592644+443828+549746</f>
        <v>1586218</v>
      </c>
      <c r="V7" s="14">
        <f>798316+727653+1333965</f>
        <v>2859934</v>
      </c>
      <c r="W7" s="14">
        <f>SUM(S7:V7)</f>
        <v>6930673</v>
      </c>
      <c r="X7" s="12">
        <v>23693</v>
      </c>
      <c r="Y7" s="12">
        <v>23347</v>
      </c>
      <c r="Z7" s="12">
        <v>23456</v>
      </c>
      <c r="AA7" s="12">
        <v>23696</v>
      </c>
    </row>
    <row r="8" spans="1:27" s="15" customFormat="1">
      <c r="B8" s="15" t="s">
        <v>18</v>
      </c>
      <c r="C8" s="15">
        <v>77520</v>
      </c>
      <c r="D8" s="15">
        <v>60913</v>
      </c>
      <c r="E8" s="15">
        <v>135198</v>
      </c>
      <c r="F8" s="15">
        <v>97616</v>
      </c>
      <c r="G8" s="15">
        <v>68194</v>
      </c>
      <c r="H8" s="15">
        <v>61962</v>
      </c>
      <c r="I8" s="15">
        <v>79833</v>
      </c>
      <c r="J8" s="15">
        <v>521462</v>
      </c>
      <c r="K8" s="15">
        <v>59542</v>
      </c>
      <c r="L8" s="15">
        <v>37149</v>
      </c>
      <c r="M8" s="15">
        <v>64352</v>
      </c>
      <c r="N8" s="15">
        <v>35854</v>
      </c>
      <c r="O8" s="15">
        <f>SUM(C8:E8)</f>
        <v>273631</v>
      </c>
      <c r="P8" s="15">
        <f t="shared" si="1"/>
        <v>227772</v>
      </c>
      <c r="Q8" s="15">
        <f>SUM(I8:K8)</f>
        <v>660837</v>
      </c>
      <c r="R8" s="15">
        <f t="shared" si="2"/>
        <v>137355</v>
      </c>
      <c r="S8" s="23">
        <f>208321+242883+313824</f>
        <v>765028</v>
      </c>
      <c r="T8" s="23">
        <f>327009+276344+269850</f>
        <v>873203</v>
      </c>
      <c r="U8" s="15">
        <f>337800+258384+274870</f>
        <v>871054</v>
      </c>
      <c r="V8" s="23">
        <f>102584+51086+82270</f>
        <v>235940</v>
      </c>
      <c r="W8" s="23">
        <f t="shared" si="3"/>
        <v>2745225</v>
      </c>
      <c r="X8" s="23">
        <v>10857</v>
      </c>
      <c r="Y8" s="23">
        <v>11331</v>
      </c>
      <c r="Z8" s="23">
        <v>11591</v>
      </c>
      <c r="AA8" s="23">
        <v>11818</v>
      </c>
    </row>
    <row r="9" spans="1:27" s="25" customFormat="1">
      <c r="B9" s="25" t="s">
        <v>51</v>
      </c>
      <c r="C9" s="25">
        <v>250974</v>
      </c>
      <c r="D9" s="25">
        <v>145858</v>
      </c>
      <c r="E9" s="25">
        <v>166192</v>
      </c>
      <c r="F9" s="25">
        <v>86762</v>
      </c>
      <c r="G9" s="25">
        <v>127530</v>
      </c>
      <c r="H9" s="25">
        <v>112984</v>
      </c>
      <c r="I9" s="25">
        <v>234523</v>
      </c>
      <c r="J9" s="25">
        <v>409557</v>
      </c>
      <c r="K9" s="25">
        <v>152969</v>
      </c>
      <c r="L9" s="25">
        <v>37710</v>
      </c>
      <c r="M9" s="25">
        <v>75470</v>
      </c>
      <c r="N9" s="25">
        <v>37637</v>
      </c>
      <c r="O9" s="25">
        <f>SUM(C9:E9)</f>
        <v>563024</v>
      </c>
      <c r="P9" s="25">
        <f t="shared" si="1"/>
        <v>327276</v>
      </c>
      <c r="Q9" s="25">
        <f t="shared" si="4"/>
        <v>797049</v>
      </c>
      <c r="R9" s="25">
        <f>SUM(L9:N9)</f>
        <v>150817</v>
      </c>
      <c r="S9" s="26">
        <f>90012+105609+145111</f>
        <v>340732</v>
      </c>
      <c r="T9" s="26">
        <f>201379+167907+176798</f>
        <v>546084</v>
      </c>
      <c r="U9" s="25">
        <f>221952+161360+309090</f>
        <v>692402</v>
      </c>
      <c r="V9" s="26">
        <f>46933+88749+177187</f>
        <v>312869</v>
      </c>
      <c r="W9" s="26">
        <f t="shared" si="3"/>
        <v>1892087</v>
      </c>
      <c r="X9" s="26">
        <v>8968</v>
      </c>
      <c r="Y9" s="26">
        <v>9705</v>
      </c>
      <c r="Z9" s="26">
        <v>10223</v>
      </c>
      <c r="AA9" s="26">
        <v>10455</v>
      </c>
    </row>
    <row r="10" spans="1:27" s="17" customFormat="1">
      <c r="B10" s="17" t="s">
        <v>26</v>
      </c>
      <c r="C10" s="17">
        <v>8989</v>
      </c>
      <c r="D10" s="17">
        <v>12822</v>
      </c>
      <c r="E10" s="17">
        <v>10948</v>
      </c>
      <c r="F10" s="17">
        <v>16525</v>
      </c>
      <c r="G10" s="17">
        <v>12774</v>
      </c>
      <c r="H10" s="17">
        <v>12456</v>
      </c>
      <c r="I10" s="17">
        <v>19589</v>
      </c>
      <c r="J10" s="17">
        <v>29248</v>
      </c>
      <c r="K10" s="17">
        <v>25602</v>
      </c>
      <c r="L10" s="17">
        <v>23221</v>
      </c>
      <c r="M10" s="17">
        <v>8001</v>
      </c>
      <c r="N10" s="17">
        <v>3709</v>
      </c>
      <c r="O10" s="17">
        <f>SUM(C10:N10)</f>
        <v>183884</v>
      </c>
      <c r="P10" s="17">
        <f t="shared" si="1"/>
        <v>41755</v>
      </c>
      <c r="Q10" s="17">
        <f t="shared" si="4"/>
        <v>74439</v>
      </c>
      <c r="R10" s="17">
        <f>SUM(L10:N10)</f>
        <v>34931</v>
      </c>
      <c r="S10" s="24">
        <f>33017+64892+62996</f>
        <v>160905</v>
      </c>
      <c r="T10" s="24">
        <f>78217+48906+34318</f>
        <v>161441</v>
      </c>
      <c r="U10" s="17">
        <f>57727+43247+86963</f>
        <v>187937</v>
      </c>
      <c r="V10" s="24">
        <f>86116+26898+27267</f>
        <v>140281</v>
      </c>
      <c r="W10" s="24">
        <f t="shared" si="3"/>
        <v>650564</v>
      </c>
      <c r="X10" s="24">
        <v>7809</v>
      </c>
      <c r="Y10" s="17">
        <v>8133</v>
      </c>
      <c r="Z10" s="24">
        <v>8151</v>
      </c>
      <c r="AA10" s="24">
        <v>8190</v>
      </c>
    </row>
    <row r="11" spans="1:27" s="12" customFormat="1">
      <c r="B11" s="12" t="s">
        <v>52</v>
      </c>
      <c r="C11" s="12">
        <v>22390</v>
      </c>
      <c r="D11" s="12">
        <v>27854</v>
      </c>
      <c r="E11" s="12">
        <v>35205</v>
      </c>
      <c r="F11" s="12">
        <v>32275</v>
      </c>
      <c r="G11" s="12">
        <v>35043</v>
      </c>
      <c r="H11" s="12">
        <v>30195</v>
      </c>
      <c r="I11" s="12">
        <v>18164</v>
      </c>
      <c r="J11" s="12">
        <v>27251</v>
      </c>
      <c r="K11" s="12">
        <v>25168</v>
      </c>
      <c r="L11" s="12">
        <v>28722</v>
      </c>
      <c r="M11" s="12">
        <v>15318</v>
      </c>
      <c r="N11" s="12">
        <v>18124</v>
      </c>
      <c r="O11" s="12">
        <f>SUM(C11:E11)</f>
        <v>85449</v>
      </c>
      <c r="P11" s="12">
        <f t="shared" si="1"/>
        <v>97513</v>
      </c>
      <c r="Q11" s="12">
        <f t="shared" ref="Q11:Q13" si="5">SUM(I11:K11)</f>
        <v>70583</v>
      </c>
      <c r="R11" s="12">
        <f t="shared" ref="R11:R13" si="6">SUM(L11:N11)</f>
        <v>62164</v>
      </c>
      <c r="S11" s="14">
        <f>68787+80800+89521</f>
        <v>239108</v>
      </c>
      <c r="T11" s="14">
        <f>101625+122559+112364</f>
        <v>336548</v>
      </c>
      <c r="U11" s="12">
        <f>78475+75616+79225</f>
        <v>233316</v>
      </c>
      <c r="V11" s="14">
        <f>110986+64689+146715</f>
        <v>322390</v>
      </c>
      <c r="W11" s="14">
        <f t="shared" si="3"/>
        <v>1131362</v>
      </c>
      <c r="X11" s="14">
        <v>5114</v>
      </c>
      <c r="Y11" s="12">
        <v>5435</v>
      </c>
      <c r="Z11" s="14">
        <v>5674</v>
      </c>
      <c r="AA11" s="14">
        <v>5761</v>
      </c>
    </row>
    <row r="12" spans="1:27" s="12" customFormat="1">
      <c r="B12" s="27" t="s">
        <v>53</v>
      </c>
      <c r="C12" s="12">
        <v>17880</v>
      </c>
      <c r="D12" s="12">
        <v>16064</v>
      </c>
      <c r="E12" s="12">
        <v>22731</v>
      </c>
      <c r="F12" s="12">
        <v>14208</v>
      </c>
      <c r="G12" s="12">
        <v>19368</v>
      </c>
      <c r="H12" s="12">
        <v>11576</v>
      </c>
      <c r="I12" s="12">
        <v>25947</v>
      </c>
      <c r="J12" s="12">
        <v>23339</v>
      </c>
      <c r="K12" s="12">
        <v>17214</v>
      </c>
      <c r="L12" s="12">
        <v>14717</v>
      </c>
      <c r="M12" s="12">
        <v>9338</v>
      </c>
      <c r="N12" s="12">
        <v>7521</v>
      </c>
      <c r="O12" s="12">
        <f t="shared" ref="O12" si="7">SUM(C12:E12)</f>
        <v>56675</v>
      </c>
      <c r="P12" s="12">
        <f t="shared" si="1"/>
        <v>45152</v>
      </c>
      <c r="Q12" s="12">
        <f t="shared" si="5"/>
        <v>66500</v>
      </c>
      <c r="R12" s="12">
        <f t="shared" si="6"/>
        <v>31576</v>
      </c>
      <c r="S12" s="14">
        <f>45335+57654+68756</f>
        <v>171745</v>
      </c>
      <c r="T12" s="14">
        <f>38711+52360+35856</f>
        <v>126927</v>
      </c>
      <c r="U12" s="12">
        <f>82114+73825+53959</f>
        <v>209898</v>
      </c>
      <c r="V12" s="14">
        <f>43367+36657+63546</f>
        <v>143570</v>
      </c>
      <c r="W12" s="14">
        <f t="shared" si="3"/>
        <v>652140</v>
      </c>
      <c r="X12" s="14">
        <v>2098</v>
      </c>
      <c r="Y12" s="12">
        <v>2193</v>
      </c>
      <c r="Z12" s="14">
        <v>2295</v>
      </c>
      <c r="AA12" s="14">
        <v>2393</v>
      </c>
    </row>
    <row r="13" spans="1:27" s="12" customFormat="1">
      <c r="B13" s="12" t="s">
        <v>54</v>
      </c>
      <c r="C13" s="12">
        <v>58128</v>
      </c>
      <c r="D13" s="12">
        <v>80356</v>
      </c>
      <c r="E13" s="12">
        <v>25099</v>
      </c>
      <c r="F13" s="12">
        <v>14583</v>
      </c>
      <c r="G13" s="12">
        <v>49591</v>
      </c>
      <c r="H13" s="12">
        <v>13795</v>
      </c>
      <c r="I13" s="12">
        <v>23489</v>
      </c>
      <c r="J13" s="12">
        <v>18693</v>
      </c>
      <c r="K13" s="12">
        <v>35975</v>
      </c>
      <c r="L13" s="12">
        <v>47537</v>
      </c>
      <c r="M13" s="12">
        <v>43086</v>
      </c>
      <c r="N13" s="12">
        <v>17795</v>
      </c>
      <c r="O13" s="12">
        <f>SUM(C13:E13)</f>
        <v>163583</v>
      </c>
      <c r="P13" s="12">
        <f t="shared" ref="P13" si="8">SUM(F13:H13)</f>
        <v>77969</v>
      </c>
      <c r="Q13" s="12">
        <f t="shared" si="5"/>
        <v>78157</v>
      </c>
      <c r="R13" s="12">
        <f t="shared" si="6"/>
        <v>108418</v>
      </c>
      <c r="S13" s="14">
        <f>116432+141477+109287</f>
        <v>367196</v>
      </c>
      <c r="T13" s="14">
        <f>32633+92382+42517</f>
        <v>167532</v>
      </c>
      <c r="U13" s="12">
        <f>46110+59113+95305</f>
        <v>200528</v>
      </c>
      <c r="V13" s="14">
        <f>112052+78431+73700</f>
        <v>264183</v>
      </c>
      <c r="W13" s="14">
        <f t="shared" si="3"/>
        <v>999439</v>
      </c>
      <c r="X13" s="14">
        <v>4824</v>
      </c>
      <c r="Y13" s="12">
        <v>5289</v>
      </c>
      <c r="Z13" s="14">
        <v>5757</v>
      </c>
      <c r="AA13" s="14">
        <v>6211</v>
      </c>
    </row>
    <row r="14" spans="1:27" s="19" customFormat="1">
      <c r="A14" s="19" t="s">
        <v>32</v>
      </c>
      <c r="B14" s="19" t="s">
        <v>15</v>
      </c>
      <c r="C14" s="19">
        <v>353202</v>
      </c>
      <c r="D14" s="19">
        <v>109132</v>
      </c>
      <c r="E14" s="19">
        <v>197373</v>
      </c>
      <c r="F14" s="19">
        <v>111133</v>
      </c>
      <c r="G14" s="19">
        <v>100095</v>
      </c>
      <c r="H14" s="19">
        <v>200727</v>
      </c>
      <c r="I14" s="19">
        <v>308138</v>
      </c>
      <c r="J14" s="19">
        <v>287693</v>
      </c>
      <c r="K14" s="19">
        <v>176635</v>
      </c>
      <c r="L14" s="19">
        <v>137782</v>
      </c>
      <c r="M14" s="19">
        <v>209121</v>
      </c>
      <c r="N14" s="19">
        <v>243448</v>
      </c>
      <c r="O14" s="19">
        <f>SUM(C14:E14)</f>
        <v>659707</v>
      </c>
      <c r="P14" s="19">
        <f>SUM(F14:H14)</f>
        <v>411955</v>
      </c>
      <c r="Q14" s="19">
        <f t="shared" si="4"/>
        <v>772466</v>
      </c>
      <c r="R14" s="19">
        <f t="shared" si="2"/>
        <v>590351</v>
      </c>
      <c r="S14" s="20">
        <f>2028103+633255+840325</f>
        <v>3501683</v>
      </c>
      <c r="T14" s="20">
        <f>626823+912056+615420</f>
        <v>2154299</v>
      </c>
      <c r="U14" s="20">
        <f>1267090+1075306+806731</f>
        <v>3149127</v>
      </c>
      <c r="V14" s="20">
        <f>613860+923964+1310344</f>
        <v>2848168</v>
      </c>
      <c r="W14" s="20">
        <f t="shared" si="3"/>
        <v>11653277</v>
      </c>
      <c r="X14" s="19">
        <v>29993</v>
      </c>
      <c r="Y14" s="19">
        <v>30352</v>
      </c>
      <c r="Z14" s="19">
        <v>30982</v>
      </c>
      <c r="AA14" s="19">
        <v>31404</v>
      </c>
    </row>
    <row r="15" spans="1:27" s="19" customFormat="1">
      <c r="B15" s="19" t="s">
        <v>16</v>
      </c>
      <c r="C15" s="19">
        <v>322034</v>
      </c>
      <c r="D15" s="19">
        <v>96177</v>
      </c>
      <c r="E15" s="19">
        <v>112816</v>
      </c>
      <c r="F15" s="19">
        <v>44117</v>
      </c>
      <c r="G15" s="19">
        <v>86695</v>
      </c>
      <c r="H15" s="19">
        <v>183062</v>
      </c>
      <c r="I15" s="19">
        <v>129476</v>
      </c>
      <c r="J15" s="19">
        <v>81813</v>
      </c>
      <c r="K15" s="19">
        <v>62755</v>
      </c>
      <c r="L15" s="19">
        <v>71102</v>
      </c>
      <c r="M15" s="19">
        <v>102313</v>
      </c>
      <c r="N15" s="19">
        <v>233471</v>
      </c>
      <c r="O15" s="19">
        <f t="shared" ref="O15:O18" si="9">SUM(C15:E15)</f>
        <v>531027</v>
      </c>
      <c r="P15" s="19">
        <f t="shared" ref="P15:P16" si="10">SUM(F15:H15)</f>
        <v>313874</v>
      </c>
      <c r="Q15" s="19">
        <f t="shared" si="4"/>
        <v>274044</v>
      </c>
      <c r="R15" s="19">
        <f t="shared" si="2"/>
        <v>406886</v>
      </c>
      <c r="S15" s="20">
        <f>1640200+591450+516131</f>
        <v>2747781</v>
      </c>
      <c r="T15" s="20">
        <f>362037+451137+620178</f>
        <v>1433352</v>
      </c>
      <c r="U15" s="20">
        <f>517925+566645+650840</f>
        <v>1735410</v>
      </c>
      <c r="V15" s="20">
        <f>691526+672296+1216595</f>
        <v>2580417</v>
      </c>
      <c r="W15" s="20">
        <f t="shared" si="3"/>
        <v>8496960</v>
      </c>
      <c r="X15" s="19">
        <v>20474</v>
      </c>
      <c r="Y15" s="19">
        <v>20690</v>
      </c>
      <c r="Z15" s="19">
        <v>20842</v>
      </c>
      <c r="AA15" s="19">
        <v>21065</v>
      </c>
    </row>
    <row r="16" spans="1:27" s="19" customFormat="1">
      <c r="B16" s="19" t="s">
        <v>17</v>
      </c>
      <c r="C16" s="19">
        <v>106419</v>
      </c>
      <c r="D16" s="19">
        <v>46129</v>
      </c>
      <c r="E16" s="19">
        <v>84267</v>
      </c>
      <c r="F16" s="19">
        <v>4697</v>
      </c>
      <c r="G16" s="19">
        <v>11012</v>
      </c>
      <c r="H16" s="19">
        <v>124506</v>
      </c>
      <c r="I16" s="19">
        <v>129741</v>
      </c>
      <c r="J16" s="19">
        <v>74828</v>
      </c>
      <c r="K16" s="19">
        <v>132555</v>
      </c>
      <c r="L16" s="19">
        <v>30567</v>
      </c>
      <c r="M16" s="19">
        <v>66044</v>
      </c>
      <c r="N16" s="19">
        <v>51478</v>
      </c>
      <c r="O16" s="19">
        <f t="shared" si="9"/>
        <v>236815</v>
      </c>
      <c r="P16" s="19">
        <f t="shared" si="10"/>
        <v>140215</v>
      </c>
      <c r="Q16" s="19">
        <f t="shared" si="4"/>
        <v>337124</v>
      </c>
      <c r="R16" s="19">
        <f>SUM(L16:N16)</f>
        <v>148089</v>
      </c>
      <c r="S16" s="20">
        <f>222264+214839+225775</f>
        <v>662878</v>
      </c>
      <c r="T16" s="21">
        <f>62160+91616+324207</f>
        <v>477983</v>
      </c>
      <c r="U16" s="20">
        <f>460666+288370+253349</f>
        <v>1002385</v>
      </c>
      <c r="V16" s="20">
        <f>159818+157859+174183</f>
        <v>491860</v>
      </c>
      <c r="W16" s="20">
        <f t="shared" si="3"/>
        <v>2635106</v>
      </c>
      <c r="X16" s="19">
        <v>8463</v>
      </c>
      <c r="Y16" s="20">
        <v>8555</v>
      </c>
      <c r="Z16" s="19">
        <v>8694</v>
      </c>
      <c r="AA16" s="19">
        <v>8782</v>
      </c>
    </row>
    <row r="17" spans="1:27" s="19" customFormat="1">
      <c r="B17" s="19" t="s">
        <v>52</v>
      </c>
      <c r="C17" s="19">
        <v>2949</v>
      </c>
      <c r="D17" s="19">
        <v>2137</v>
      </c>
      <c r="E17" s="19">
        <v>1117</v>
      </c>
      <c r="F17" s="19">
        <v>1693</v>
      </c>
      <c r="G17" s="19">
        <v>40689</v>
      </c>
      <c r="H17" s="19">
        <v>32538</v>
      </c>
      <c r="I17" s="19">
        <v>1719</v>
      </c>
      <c r="J17" s="19">
        <v>6236</v>
      </c>
      <c r="K17" s="19">
        <v>5372</v>
      </c>
      <c r="L17" s="19">
        <v>2683</v>
      </c>
      <c r="M17" s="19">
        <v>1556</v>
      </c>
      <c r="N17" s="19">
        <v>1291</v>
      </c>
      <c r="O17" s="19">
        <f t="shared" si="9"/>
        <v>6203</v>
      </c>
      <c r="P17" s="19">
        <f>SUM(F17:H17)</f>
        <v>74920</v>
      </c>
      <c r="Q17" s="19">
        <f>SUM(I17:K17)</f>
        <v>13327</v>
      </c>
      <c r="R17" s="19">
        <f t="shared" ref="R17" si="11">SUM(L17:N17)</f>
        <v>5530</v>
      </c>
      <c r="S17" s="20">
        <f>8475+5103+3952</f>
        <v>17530</v>
      </c>
      <c r="T17" s="21">
        <f>4995+214055+84357</f>
        <v>303407</v>
      </c>
      <c r="U17" s="20">
        <f>5534+12596+10309</f>
        <v>28439</v>
      </c>
      <c r="V17" s="20">
        <f>3896+3534+6769</f>
        <v>14199</v>
      </c>
      <c r="W17" s="20">
        <f t="shared" si="3"/>
        <v>363575</v>
      </c>
      <c r="X17" s="19">
        <v>698</v>
      </c>
      <c r="Y17" s="20">
        <v>770</v>
      </c>
      <c r="Z17" s="19">
        <v>799</v>
      </c>
      <c r="AA17" s="19">
        <v>803</v>
      </c>
    </row>
    <row r="18" spans="1:27" s="19" customFormat="1">
      <c r="B18" s="28" t="s">
        <v>53</v>
      </c>
      <c r="C18" s="19">
        <v>3656</v>
      </c>
      <c r="D18" s="19">
        <v>1881</v>
      </c>
      <c r="E18" s="19">
        <v>1933</v>
      </c>
      <c r="F18" s="19">
        <v>2059</v>
      </c>
      <c r="G18" s="19">
        <v>27855</v>
      </c>
      <c r="H18" s="19">
        <v>17365</v>
      </c>
      <c r="I18" s="19">
        <v>2744</v>
      </c>
      <c r="J18" s="19">
        <v>3884</v>
      </c>
      <c r="K18" s="19">
        <v>9477</v>
      </c>
      <c r="L18" s="19">
        <v>5408</v>
      </c>
      <c r="M18" s="19">
        <v>1435</v>
      </c>
      <c r="N18" s="19">
        <v>2631</v>
      </c>
      <c r="O18" s="19">
        <f t="shared" si="9"/>
        <v>7470</v>
      </c>
      <c r="P18" s="19">
        <f t="shared" ref="P18" si="12">SUM(F18:H18)</f>
        <v>47279</v>
      </c>
      <c r="Q18" s="19">
        <f t="shared" ref="Q18" si="13">SUM(I18:K18)</f>
        <v>16105</v>
      </c>
      <c r="R18" s="19">
        <f>SUM(L18:N18)</f>
        <v>9474</v>
      </c>
      <c r="S18" s="20">
        <f>6335+3495+4740</f>
        <v>14570</v>
      </c>
      <c r="T18" s="21">
        <f>5319+70024+17028</f>
        <v>92371</v>
      </c>
      <c r="U18" s="20">
        <f>5115+9912+5598</f>
        <v>20625</v>
      </c>
      <c r="V18" s="20">
        <f>11006+3037+9487</f>
        <v>23530</v>
      </c>
      <c r="W18" s="20">
        <f t="shared" si="3"/>
        <v>151096</v>
      </c>
      <c r="X18" s="19">
        <v>706</v>
      </c>
      <c r="Y18" s="20">
        <v>737</v>
      </c>
      <c r="Z18" s="19">
        <v>754</v>
      </c>
      <c r="AA18" s="19">
        <v>781</v>
      </c>
    </row>
    <row r="19" spans="1:27" s="12" customFormat="1" ht="51.6" customHeight="1">
      <c r="N19" s="6" t="s">
        <v>33</v>
      </c>
      <c r="O19" s="7">
        <f>SUM(O4:O18)</f>
        <v>5228989</v>
      </c>
      <c r="P19" s="7">
        <f t="shared" ref="P19:R19" si="14">SUM(P4:P18)</f>
        <v>4491747</v>
      </c>
      <c r="Q19" s="7">
        <f t="shared" si="14"/>
        <v>6685907</v>
      </c>
      <c r="R19" s="7">
        <f t="shared" si="14"/>
        <v>4631394</v>
      </c>
      <c r="S19" s="8">
        <f>SUM(S4:S18)</f>
        <v>19792276</v>
      </c>
      <c r="T19" s="8">
        <f t="shared" ref="T19:Z19" si="15">SUM(T4:T18)</f>
        <v>17295922</v>
      </c>
      <c r="U19" s="8">
        <f t="shared" si="15"/>
        <v>19233682</v>
      </c>
      <c r="V19" s="8">
        <f t="shared" si="15"/>
        <v>21615128</v>
      </c>
      <c r="W19" s="8">
        <f t="shared" si="15"/>
        <v>77937008</v>
      </c>
      <c r="X19" s="8">
        <f t="shared" si="15"/>
        <v>237370</v>
      </c>
      <c r="Y19" s="8">
        <f t="shared" si="15"/>
        <v>238067</v>
      </c>
      <c r="Z19" s="8">
        <f t="shared" si="15"/>
        <v>243804</v>
      </c>
      <c r="AA19" s="8">
        <f>SUM(AA4:AA18)</f>
        <v>248844</v>
      </c>
    </row>
    <row r="20" spans="1:27" s="12" customFormat="1">
      <c r="Q20" s="12" t="s">
        <v>56</v>
      </c>
      <c r="R20" s="12">
        <f>SUM(O19:R19)</f>
        <v>21038037</v>
      </c>
    </row>
    <row r="21" spans="1:27" s="12" customFormat="1">
      <c r="I21" s="14"/>
    </row>
    <row r="22" spans="1:27" s="12" customFormat="1" ht="86.4">
      <c r="B22" s="12">
        <v>2025</v>
      </c>
      <c r="C22" s="13" t="s">
        <v>29</v>
      </c>
      <c r="I22" s="14"/>
      <c r="S22" s="13" t="s">
        <v>43</v>
      </c>
      <c r="T22" s="13" t="s">
        <v>44</v>
      </c>
      <c r="U22" s="13" t="s">
        <v>45</v>
      </c>
      <c r="V22" s="13" t="s">
        <v>46</v>
      </c>
      <c r="W22" s="13" t="s">
        <v>23</v>
      </c>
      <c r="X22" s="13" t="s">
        <v>39</v>
      </c>
      <c r="Y22" s="13" t="s">
        <v>40</v>
      </c>
      <c r="Z22" s="13" t="s">
        <v>41</v>
      </c>
      <c r="AA22" s="13" t="s">
        <v>42</v>
      </c>
    </row>
    <row r="23" spans="1:27" s="12" customFormat="1">
      <c r="A23" s="12" t="s">
        <v>57</v>
      </c>
      <c r="B23" s="12" t="s">
        <v>20</v>
      </c>
      <c r="C23" s="12">
        <v>1218903</v>
      </c>
      <c r="D23" s="12">
        <v>1191376</v>
      </c>
      <c r="E23" s="12">
        <v>1276885</v>
      </c>
      <c r="F23" s="12">
        <v>1075347</v>
      </c>
      <c r="G23" s="12">
        <v>1102459</v>
      </c>
      <c r="H23" s="12">
        <v>1041978</v>
      </c>
      <c r="I23" s="12">
        <v>1075443</v>
      </c>
      <c r="J23" s="12">
        <v>1219062</v>
      </c>
      <c r="K23" s="12">
        <v>1098974</v>
      </c>
      <c r="L23" s="12">
        <v>1087594</v>
      </c>
      <c r="M23" s="12">
        <v>1008292</v>
      </c>
      <c r="N23" s="12">
        <v>1056930</v>
      </c>
      <c r="S23" s="12">
        <f>SUM(C23:E23)</f>
        <v>3687164</v>
      </c>
      <c r="T23" s="12">
        <f>SUM(F23:H23)</f>
        <v>3219784</v>
      </c>
      <c r="U23" s="12">
        <f>SUM(I23:K23)</f>
        <v>3393479</v>
      </c>
      <c r="V23" s="12">
        <f>SUM(L23:N23)</f>
        <v>3152816</v>
      </c>
      <c r="W23" s="14">
        <f>SUM(S23:V23)</f>
        <v>13453243</v>
      </c>
      <c r="X23" s="12">
        <v>11358</v>
      </c>
      <c r="Y23" s="12">
        <v>11672</v>
      </c>
      <c r="Z23" s="12">
        <v>12349</v>
      </c>
      <c r="AA23" s="12">
        <v>12380</v>
      </c>
    </row>
    <row r="24" spans="1:27" s="12" customFormat="1">
      <c r="B24" s="12" t="s">
        <v>21</v>
      </c>
      <c r="C24" s="12">
        <v>701371</v>
      </c>
      <c r="D24" s="12">
        <v>670360</v>
      </c>
      <c r="E24" s="12">
        <v>776562</v>
      </c>
      <c r="F24" s="12">
        <v>674639</v>
      </c>
      <c r="G24" s="12">
        <v>681894</v>
      </c>
      <c r="H24" s="12">
        <v>672241</v>
      </c>
      <c r="I24" s="12">
        <v>646296</v>
      </c>
      <c r="J24" s="12">
        <v>751222</v>
      </c>
      <c r="K24" s="12">
        <v>619136</v>
      </c>
      <c r="L24" s="12">
        <v>692340</v>
      </c>
      <c r="M24" s="12">
        <v>671146</v>
      </c>
      <c r="N24" s="12">
        <v>686979</v>
      </c>
      <c r="S24" s="12">
        <f>SUM(C24:E24)</f>
        <v>2148293</v>
      </c>
      <c r="T24" s="12">
        <f>SUM(F24:H24)</f>
        <v>2028774</v>
      </c>
      <c r="U24" s="12">
        <f>SUM(I24:K24)</f>
        <v>2016654</v>
      </c>
      <c r="V24" s="12">
        <f>SUM(L24:N24)</f>
        <v>2050465</v>
      </c>
      <c r="W24" s="14">
        <f t="shared" ref="W24:W26" si="16">SUM(S24:V24)</f>
        <v>8244186</v>
      </c>
      <c r="X24" s="12">
        <v>4960</v>
      </c>
      <c r="Y24" s="12">
        <v>5073</v>
      </c>
      <c r="Z24" s="12">
        <v>5072</v>
      </c>
      <c r="AA24" s="12">
        <v>5069</v>
      </c>
    </row>
    <row r="25" spans="1:27" s="12" customFormat="1">
      <c r="B25" s="12" t="s">
        <v>22</v>
      </c>
      <c r="C25" s="12">
        <v>30910</v>
      </c>
      <c r="D25" s="12">
        <v>26067</v>
      </c>
      <c r="E25" s="12">
        <v>29396</v>
      </c>
      <c r="F25" s="12">
        <v>18947</v>
      </c>
      <c r="G25" s="12">
        <v>21900</v>
      </c>
      <c r="H25" s="12">
        <v>17435</v>
      </c>
      <c r="I25" s="12">
        <v>16043</v>
      </c>
      <c r="J25" s="12">
        <v>11149</v>
      </c>
      <c r="K25" s="12">
        <v>14602</v>
      </c>
      <c r="L25" s="12">
        <v>27228</v>
      </c>
      <c r="M25" s="12">
        <v>18154</v>
      </c>
      <c r="N25" s="12">
        <v>25801</v>
      </c>
      <c r="S25" s="12">
        <f t="shared" ref="S25:S26" si="17">SUM(C25:E25)</f>
        <v>86373</v>
      </c>
      <c r="T25" s="12">
        <f>SUM(F25:H25)</f>
        <v>58282</v>
      </c>
      <c r="U25" s="12">
        <f>SUM(I25:K25)</f>
        <v>41794</v>
      </c>
      <c r="V25" s="12">
        <f t="shared" ref="V25" si="18">SUM(L25:N25)</f>
        <v>71183</v>
      </c>
      <c r="W25" s="14">
        <f t="shared" si="16"/>
        <v>257632</v>
      </c>
      <c r="X25" s="12">
        <v>956</v>
      </c>
      <c r="Y25" s="12">
        <v>926</v>
      </c>
      <c r="Z25" s="12">
        <v>911</v>
      </c>
      <c r="AA25" s="12">
        <v>910</v>
      </c>
    </row>
    <row r="26" spans="1:27" s="12" customFormat="1">
      <c r="B26" s="12" t="s">
        <v>30</v>
      </c>
      <c r="C26" s="12">
        <v>124223</v>
      </c>
      <c r="D26" s="12">
        <v>124171</v>
      </c>
      <c r="E26" s="12">
        <v>125747</v>
      </c>
      <c r="F26" s="12">
        <v>127202</v>
      </c>
      <c r="G26" s="12">
        <v>110749</v>
      </c>
      <c r="H26" s="12">
        <v>135362</v>
      </c>
      <c r="I26" s="12">
        <v>116034</v>
      </c>
      <c r="J26" s="12">
        <v>111748</v>
      </c>
      <c r="K26" s="12">
        <v>104960</v>
      </c>
      <c r="L26" s="12">
        <v>103318</v>
      </c>
      <c r="M26" s="12">
        <v>90748</v>
      </c>
      <c r="N26" s="12">
        <v>93134</v>
      </c>
      <c r="S26" s="12">
        <f t="shared" si="17"/>
        <v>374141</v>
      </c>
      <c r="T26" s="12">
        <f>SUM(F26:H26)</f>
        <v>373313</v>
      </c>
      <c r="U26" s="12">
        <f>SUM(I26:K26)</f>
        <v>332742</v>
      </c>
      <c r="V26" s="12">
        <f>SUM(L26:N26)</f>
        <v>287200</v>
      </c>
      <c r="W26" s="14">
        <f t="shared" si="16"/>
        <v>1367396</v>
      </c>
      <c r="X26" s="12">
        <v>2503</v>
      </c>
      <c r="Y26" s="12">
        <v>2529</v>
      </c>
      <c r="Z26" s="12">
        <v>2504</v>
      </c>
      <c r="AA26" s="12">
        <v>2520</v>
      </c>
    </row>
    <row r="27" spans="1:27" s="12" customFormat="1" ht="57.6">
      <c r="B27" s="13"/>
      <c r="N27" s="6" t="s">
        <v>35</v>
      </c>
      <c r="O27" s="7">
        <f t="shared" ref="O27" si="19">SUM(O23:O26)</f>
        <v>0</v>
      </c>
      <c r="P27" s="7"/>
      <c r="Q27" s="7"/>
      <c r="R27" s="7"/>
      <c r="S27" s="7">
        <f>SUM(S23:S26)</f>
        <v>6295971</v>
      </c>
      <c r="T27" s="7">
        <f>SUM(T23:T26)</f>
        <v>5680153</v>
      </c>
      <c r="U27" s="7">
        <f>SUM(U23:U26)</f>
        <v>5784669</v>
      </c>
      <c r="V27" s="7">
        <f t="shared" ref="V27:W27" si="20">SUM(V23:V26)</f>
        <v>5561664</v>
      </c>
      <c r="W27" s="7">
        <f t="shared" si="20"/>
        <v>23322457</v>
      </c>
      <c r="X27" s="7">
        <f>SUM(X23:X26)</f>
        <v>19777</v>
      </c>
      <c r="Y27" s="7">
        <f t="shared" ref="Y27:AA27" si="21">SUM(Y23:Y26)</f>
        <v>20200</v>
      </c>
      <c r="Z27" s="7">
        <f>SUM(Z23:Z26)</f>
        <v>20836</v>
      </c>
      <c r="AA27" s="7">
        <f t="shared" si="21"/>
        <v>20879</v>
      </c>
    </row>
    <row r="28" spans="1:27" s="12" customFormat="1" ht="72">
      <c r="B28" s="12" t="s">
        <v>38</v>
      </c>
      <c r="N28" s="9" t="s">
        <v>34</v>
      </c>
      <c r="O28" s="10">
        <f t="shared" ref="O28:R28" si="22">SUM(O19+O27)</f>
        <v>5228989</v>
      </c>
      <c r="P28" s="10">
        <f t="shared" si="22"/>
        <v>4491747</v>
      </c>
      <c r="Q28" s="10">
        <f t="shared" si="22"/>
        <v>6685907</v>
      </c>
      <c r="R28" s="10">
        <f t="shared" si="22"/>
        <v>4631394</v>
      </c>
      <c r="S28" s="11">
        <f>SUM(S19+S27)</f>
        <v>26088247</v>
      </c>
      <c r="T28" s="11">
        <f>SUM(T19+T27)</f>
        <v>22976075</v>
      </c>
      <c r="U28" s="11">
        <f t="shared" ref="U28:V28" si="23">SUM(U19+U27)</f>
        <v>25018351</v>
      </c>
      <c r="V28" s="11">
        <f t="shared" si="23"/>
        <v>27176792</v>
      </c>
      <c r="W28" s="11">
        <f>SUM(W19+W27)</f>
        <v>101259465</v>
      </c>
      <c r="X28" s="10">
        <f>SUM(X19+X27)</f>
        <v>257147</v>
      </c>
      <c r="Y28" s="10">
        <f>SUM(Y19+Y27)</f>
        <v>258267</v>
      </c>
      <c r="Z28" s="11">
        <f>SUM(Z19+Z27)</f>
        <v>264640</v>
      </c>
      <c r="AA28" s="11">
        <f>SUM(AA19+AA27)</f>
        <v>269723</v>
      </c>
    </row>
    <row r="29" spans="1:27" s="12" customFormat="1">
      <c r="C29" s="12" t="s">
        <v>36</v>
      </c>
      <c r="D29" s="12" t="s">
        <v>37</v>
      </c>
    </row>
    <row r="30" spans="1:27" s="12" customFormat="1">
      <c r="B30" s="12" t="s">
        <v>12</v>
      </c>
      <c r="C30" s="12">
        <v>37</v>
      </c>
      <c r="D30" s="12">
        <v>63</v>
      </c>
    </row>
    <row r="31" spans="1:27" s="12" customFormat="1">
      <c r="B31" s="12" t="s">
        <v>13</v>
      </c>
      <c r="C31" s="12">
        <v>32</v>
      </c>
      <c r="D31" s="12">
        <v>68</v>
      </c>
    </row>
    <row r="32" spans="1:27" s="12" customFormat="1">
      <c r="B32" s="12" t="s">
        <v>14</v>
      </c>
      <c r="C32" s="12">
        <v>36</v>
      </c>
      <c r="D32" s="12">
        <v>64</v>
      </c>
    </row>
    <row r="33" spans="2:4" s="12" customFormat="1">
      <c r="B33" s="15" t="s">
        <v>18</v>
      </c>
      <c r="C33" s="12">
        <v>28</v>
      </c>
      <c r="D33" s="12">
        <v>72</v>
      </c>
    </row>
    <row r="34" spans="2:4" s="12" customFormat="1">
      <c r="B34" s="16" t="s">
        <v>19</v>
      </c>
      <c r="C34" s="12">
        <v>33</v>
      </c>
      <c r="D34" s="12">
        <v>67</v>
      </c>
    </row>
    <row r="35" spans="2:4" s="12" customFormat="1">
      <c r="B35" s="17" t="s">
        <v>26</v>
      </c>
      <c r="C35" s="12">
        <v>47</v>
      </c>
      <c r="D35" s="12">
        <v>53</v>
      </c>
    </row>
    <row r="36" spans="2:4" s="12" customFormat="1">
      <c r="B36" s="12" t="s">
        <v>15</v>
      </c>
      <c r="C36" s="12">
        <v>36</v>
      </c>
      <c r="D36" s="12">
        <v>64</v>
      </c>
    </row>
    <row r="37" spans="2:4" s="12" customFormat="1">
      <c r="B37" s="12" t="s">
        <v>16</v>
      </c>
      <c r="C37" s="12">
        <v>35</v>
      </c>
      <c r="D37" s="12">
        <v>65</v>
      </c>
    </row>
    <row r="38" spans="2:4" s="12" customFormat="1">
      <c r="B38" s="12" t="s">
        <v>17</v>
      </c>
      <c r="C38" s="12">
        <v>35</v>
      </c>
      <c r="D38" s="12">
        <v>65</v>
      </c>
    </row>
    <row r="39" spans="2:4" s="12" customFormat="1">
      <c r="B39" s="12" t="s">
        <v>20</v>
      </c>
      <c r="C39" s="12">
        <v>32</v>
      </c>
      <c r="D39" s="12">
        <v>68</v>
      </c>
    </row>
    <row r="40" spans="2:4" s="12" customFormat="1">
      <c r="B40" s="12" t="s">
        <v>21</v>
      </c>
      <c r="C40" s="12">
        <v>30</v>
      </c>
      <c r="D40" s="12">
        <v>70</v>
      </c>
    </row>
    <row r="41" spans="2:4" s="12" customFormat="1">
      <c r="B41" s="12" t="s">
        <v>22</v>
      </c>
      <c r="C41" s="12">
        <v>32</v>
      </c>
      <c r="D41" s="12">
        <v>68</v>
      </c>
    </row>
    <row r="42" spans="2:4" s="12" customFormat="1">
      <c r="B42" s="12" t="s">
        <v>30</v>
      </c>
      <c r="C42" s="12">
        <v>29</v>
      </c>
      <c r="D42" s="12">
        <v>71</v>
      </c>
    </row>
    <row r="43" spans="2:4" s="12" customFormat="1"/>
    <row r="44" spans="2:4" s="12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304C-5B04-40E8-9B5A-50FC3EBFCA35}">
  <dimension ref="A2:AO98"/>
  <sheetViews>
    <sheetView tabSelected="1" topLeftCell="A20" workbookViewId="0">
      <selection activeCell="I49" sqref="I49"/>
    </sheetView>
  </sheetViews>
  <sheetFormatPr defaultRowHeight="14.4"/>
  <cols>
    <col min="1" max="1" width="8.88671875" style="12"/>
    <col min="2" max="2" width="19.44140625" style="12" customWidth="1"/>
    <col min="3" max="14" width="8.88671875" style="12"/>
    <col min="15" max="15" width="11.33203125" style="12" customWidth="1"/>
    <col min="16" max="16" width="10.6640625" style="12" customWidth="1"/>
    <col min="17" max="17" width="11.21875" style="12" customWidth="1"/>
    <col min="18" max="18" width="8.88671875" style="12"/>
    <col min="19" max="19" width="13" style="10" customWidth="1"/>
    <col min="20" max="36" width="8.88671875" style="12"/>
    <col min="37" max="37" width="11.33203125" style="12" customWidth="1"/>
    <col min="38" max="38" width="10" style="12" customWidth="1"/>
    <col min="39" max="40" width="8.88671875" style="12"/>
    <col min="41" max="41" width="11.33203125" style="10" customWidth="1"/>
    <col min="42" max="16384" width="8.88671875" style="12"/>
  </cols>
  <sheetData>
    <row r="2" spans="1:41" ht="86.4">
      <c r="C2" s="12" t="s">
        <v>81</v>
      </c>
      <c r="O2" s="13" t="s">
        <v>43</v>
      </c>
      <c r="P2" s="13" t="s">
        <v>44</v>
      </c>
      <c r="Q2" s="13" t="s">
        <v>45</v>
      </c>
      <c r="R2" s="13" t="s">
        <v>46</v>
      </c>
      <c r="S2" s="9" t="s">
        <v>23</v>
      </c>
      <c r="T2" s="13" t="s">
        <v>39</v>
      </c>
      <c r="U2" s="13" t="s">
        <v>40</v>
      </c>
      <c r="V2" s="13" t="s">
        <v>41</v>
      </c>
      <c r="W2" s="13" t="s">
        <v>42</v>
      </c>
      <c r="X2" s="13"/>
      <c r="Y2" s="12" t="s">
        <v>27</v>
      </c>
      <c r="AK2" s="13" t="s">
        <v>47</v>
      </c>
      <c r="AL2" s="13" t="s">
        <v>48</v>
      </c>
      <c r="AM2" s="13" t="s">
        <v>49</v>
      </c>
      <c r="AN2" s="13" t="s">
        <v>50</v>
      </c>
      <c r="AO2" s="10" t="s">
        <v>82</v>
      </c>
    </row>
    <row r="3" spans="1:41">
      <c r="B3" s="12">
        <v>2026</v>
      </c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Y3" s="12" t="s">
        <v>0</v>
      </c>
      <c r="Z3" s="12" t="s">
        <v>1</v>
      </c>
      <c r="AA3" s="12" t="s">
        <v>2</v>
      </c>
      <c r="AB3" s="12" t="s">
        <v>3</v>
      </c>
      <c r="AC3" s="12" t="s">
        <v>4</v>
      </c>
      <c r="AD3" s="12" t="s">
        <v>5</v>
      </c>
      <c r="AE3" s="12" t="s">
        <v>6</v>
      </c>
      <c r="AF3" s="12" t="s">
        <v>7</v>
      </c>
      <c r="AG3" s="12" t="s">
        <v>8</v>
      </c>
      <c r="AH3" s="12" t="s">
        <v>9</v>
      </c>
      <c r="AI3" s="12" t="s">
        <v>10</v>
      </c>
      <c r="AJ3" s="12" t="s">
        <v>11</v>
      </c>
    </row>
    <row r="4" spans="1:41">
      <c r="A4" s="12" t="s">
        <v>31</v>
      </c>
      <c r="B4" s="12" t="s">
        <v>12</v>
      </c>
      <c r="C4" s="12">
        <v>2664063</v>
      </c>
      <c r="D4" s="12">
        <f>2497909</f>
        <v>2497909</v>
      </c>
      <c r="E4" s="12">
        <v>2743046</v>
      </c>
      <c r="F4" s="12">
        <v>2420181</v>
      </c>
      <c r="G4" s="12">
        <v>3933363</v>
      </c>
      <c r="H4" s="12">
        <v>1709643</v>
      </c>
      <c r="I4" s="12">
        <v>2049840</v>
      </c>
      <c r="O4" s="12">
        <f t="shared" ref="O4:O29" si="0">SUM(C4:E4)</f>
        <v>7905018</v>
      </c>
      <c r="P4" s="12">
        <f t="shared" ref="P4:P29" si="1">SUM(F4:H4)</f>
        <v>8063187</v>
      </c>
      <c r="Q4" s="12">
        <f>SUM(I4:K4)</f>
        <v>2049840</v>
      </c>
      <c r="R4" s="12">
        <f>SUM(L4:N4)</f>
        <v>0</v>
      </c>
      <c r="S4" s="11">
        <f>SUM(O4:R4)</f>
        <v>18018045</v>
      </c>
      <c r="T4" s="12">
        <v>87704</v>
      </c>
      <c r="U4" s="12">
        <v>86550</v>
      </c>
      <c r="V4" s="12">
        <v>87241</v>
      </c>
      <c r="X4" s="12" t="s">
        <v>12</v>
      </c>
      <c r="Y4" s="12">
        <v>559514</v>
      </c>
      <c r="Z4" s="12">
        <v>976222</v>
      </c>
      <c r="AA4" s="12">
        <v>756685</v>
      </c>
      <c r="AB4" s="12">
        <v>583023</v>
      </c>
      <c r="AC4" s="12">
        <v>463688</v>
      </c>
      <c r="AD4" s="12">
        <v>272430</v>
      </c>
      <c r="AE4" s="12">
        <v>527382</v>
      </c>
      <c r="AK4" s="12">
        <f>SUM(Y4:AA4)</f>
        <v>2292421</v>
      </c>
      <c r="AL4" s="12">
        <f>SUM(AB4:AD4)</f>
        <v>1319141</v>
      </c>
      <c r="AM4" s="12">
        <f>SUM(AE4:AG4)</f>
        <v>527382</v>
      </c>
      <c r="AN4" s="12">
        <f>SUM(AH4:AJ4)</f>
        <v>0</v>
      </c>
      <c r="AO4" s="10">
        <f>SUM(AK4:AN4)</f>
        <v>4138944</v>
      </c>
    </row>
    <row r="5" spans="1:41">
      <c r="B5" s="12" t="s">
        <v>13</v>
      </c>
      <c r="C5" s="12">
        <v>2252051</v>
      </c>
      <c r="D5" s="12">
        <v>2011371</v>
      </c>
      <c r="E5" s="12">
        <v>2162706</v>
      </c>
      <c r="F5" s="12">
        <v>2159920</v>
      </c>
      <c r="G5" s="12">
        <v>1510198</v>
      </c>
      <c r="H5" s="12">
        <v>1246123</v>
      </c>
      <c r="I5" s="12">
        <v>898912</v>
      </c>
      <c r="O5" s="12">
        <f t="shared" si="0"/>
        <v>6426128</v>
      </c>
      <c r="P5" s="12">
        <f t="shared" si="1"/>
        <v>4916241</v>
      </c>
      <c r="Q5" s="12">
        <f t="shared" ref="Q5:Q29" si="2">SUM(I5:K5)</f>
        <v>898912</v>
      </c>
      <c r="R5" s="12">
        <f t="shared" ref="R5:R48" si="3">SUM(L5:N5)</f>
        <v>0</v>
      </c>
      <c r="S5" s="11">
        <f t="shared" ref="S5:S52" si="4">SUM(O5:R5)</f>
        <v>12241281</v>
      </c>
      <c r="T5" s="12">
        <v>27616</v>
      </c>
      <c r="U5" s="12">
        <v>26056</v>
      </c>
      <c r="V5" s="12">
        <v>26139</v>
      </c>
      <c r="X5" s="12" t="s">
        <v>13</v>
      </c>
      <c r="Y5" s="12">
        <v>213097</v>
      </c>
      <c r="Z5" s="12">
        <v>195843</v>
      </c>
      <c r="AA5" s="12">
        <v>277430</v>
      </c>
      <c r="AB5" s="12">
        <v>543853</v>
      </c>
      <c r="AC5" s="12">
        <v>377656</v>
      </c>
      <c r="AD5" s="12">
        <v>204285</v>
      </c>
      <c r="AE5" s="12">
        <v>204089</v>
      </c>
      <c r="AK5" s="12">
        <f t="shared" ref="AK5:AK48" si="5">SUM(Y5:AA5)</f>
        <v>686370</v>
      </c>
      <c r="AL5" s="12">
        <f t="shared" ref="AL5:AL29" si="6">SUM(AB5:AD5)</f>
        <v>1125794</v>
      </c>
      <c r="AM5" s="12">
        <f t="shared" ref="AM5:AM29" si="7">SUM(AE5:AG5)</f>
        <v>204089</v>
      </c>
      <c r="AN5" s="12">
        <f t="shared" ref="AN5:AN29" si="8">SUM(AH5:AJ5)</f>
        <v>0</v>
      </c>
      <c r="AO5" s="10">
        <f t="shared" ref="AO5:AO48" si="9">SUM(AK5:AN5)</f>
        <v>2016253</v>
      </c>
    </row>
    <row r="6" spans="1:41">
      <c r="B6" s="12" t="s">
        <v>55</v>
      </c>
      <c r="C6" s="12">
        <v>176033</v>
      </c>
      <c r="D6" s="12">
        <v>125323</v>
      </c>
      <c r="E6" s="12">
        <v>149737</v>
      </c>
      <c r="F6" s="12">
        <v>75025</v>
      </c>
      <c r="G6" s="12">
        <v>33611</v>
      </c>
      <c r="H6" s="12">
        <v>31321</v>
      </c>
      <c r="I6" s="12">
        <v>25916</v>
      </c>
      <c r="O6" s="12">
        <f t="shared" si="0"/>
        <v>451093</v>
      </c>
      <c r="P6" s="12">
        <f t="shared" si="1"/>
        <v>139957</v>
      </c>
      <c r="Q6" s="12">
        <f t="shared" si="2"/>
        <v>25916</v>
      </c>
      <c r="R6" s="12">
        <f t="shared" si="3"/>
        <v>0</v>
      </c>
      <c r="S6" s="11">
        <f t="shared" si="4"/>
        <v>616966</v>
      </c>
      <c r="T6" s="12">
        <v>4983</v>
      </c>
      <c r="U6" s="12">
        <v>3507</v>
      </c>
      <c r="V6" s="12">
        <v>3506</v>
      </c>
      <c r="X6" s="12" t="s">
        <v>55</v>
      </c>
      <c r="Y6" s="12">
        <v>2842</v>
      </c>
      <c r="Z6" s="12">
        <v>2156</v>
      </c>
      <c r="AA6" s="12">
        <v>2296</v>
      </c>
      <c r="AB6" s="12">
        <v>2085</v>
      </c>
      <c r="AC6" s="12">
        <v>1979</v>
      </c>
      <c r="AD6" s="12">
        <v>1935</v>
      </c>
      <c r="AE6" s="12">
        <v>1532</v>
      </c>
      <c r="AK6" s="12">
        <f t="shared" si="5"/>
        <v>7294</v>
      </c>
      <c r="AL6" s="12">
        <f t="shared" si="6"/>
        <v>5999</v>
      </c>
      <c r="AM6" s="12">
        <f t="shared" si="7"/>
        <v>1532</v>
      </c>
      <c r="AN6" s="12">
        <f t="shared" si="8"/>
        <v>0</v>
      </c>
      <c r="AO6" s="10">
        <f>SUM(AK6:AN6)</f>
        <v>14825</v>
      </c>
    </row>
    <row r="7" spans="1:41">
      <c r="B7" s="12" t="s">
        <v>14</v>
      </c>
      <c r="C7" s="12">
        <v>1692564</v>
      </c>
      <c r="D7" s="12">
        <f>1725656</f>
        <v>1725656</v>
      </c>
      <c r="E7" s="12">
        <v>2463354</v>
      </c>
      <c r="F7" s="12">
        <v>2882236</v>
      </c>
      <c r="G7" s="12">
        <v>2909970</v>
      </c>
      <c r="H7" s="12">
        <v>714949</v>
      </c>
      <c r="I7" s="12">
        <v>530607</v>
      </c>
      <c r="O7" s="12">
        <f t="shared" si="0"/>
        <v>5881574</v>
      </c>
      <c r="P7" s="12">
        <f t="shared" si="1"/>
        <v>6507155</v>
      </c>
      <c r="Q7" s="12">
        <f t="shared" si="2"/>
        <v>530607</v>
      </c>
      <c r="R7" s="12">
        <f t="shared" si="3"/>
        <v>0</v>
      </c>
      <c r="S7" s="11">
        <f t="shared" si="4"/>
        <v>12919336</v>
      </c>
      <c r="T7" s="12">
        <v>24207</v>
      </c>
      <c r="U7" s="12">
        <v>22855</v>
      </c>
      <c r="V7" s="12">
        <v>22901</v>
      </c>
      <c r="X7" s="12" t="s">
        <v>14</v>
      </c>
      <c r="Y7" s="12">
        <v>144329</v>
      </c>
      <c r="Z7" s="12">
        <v>105917</v>
      </c>
      <c r="AA7" s="12">
        <v>297818</v>
      </c>
      <c r="AB7" s="12">
        <v>319785</v>
      </c>
      <c r="AC7" s="12">
        <v>260758</v>
      </c>
      <c r="AD7" s="12">
        <v>50373</v>
      </c>
      <c r="AE7" s="12">
        <v>44922</v>
      </c>
      <c r="AK7" s="12">
        <f t="shared" si="5"/>
        <v>548064</v>
      </c>
      <c r="AL7" s="12">
        <f t="shared" si="6"/>
        <v>630916</v>
      </c>
      <c r="AM7" s="12">
        <f t="shared" si="7"/>
        <v>44922</v>
      </c>
      <c r="AN7" s="12">
        <f t="shared" si="8"/>
        <v>0</v>
      </c>
      <c r="AO7" s="10">
        <f t="shared" si="9"/>
        <v>1223902</v>
      </c>
    </row>
    <row r="8" spans="1:41" s="15" customFormat="1">
      <c r="B8" s="15" t="s">
        <v>18</v>
      </c>
      <c r="C8" s="15">
        <v>56353</v>
      </c>
      <c r="D8" s="15">
        <v>100742</v>
      </c>
      <c r="E8" s="15">
        <v>79440</v>
      </c>
      <c r="F8" s="15">
        <v>145278</v>
      </c>
      <c r="G8" s="15">
        <v>484925</v>
      </c>
      <c r="H8" s="15">
        <v>601222</v>
      </c>
      <c r="I8" s="15">
        <v>268746</v>
      </c>
      <c r="O8" s="15">
        <f t="shared" si="0"/>
        <v>236535</v>
      </c>
      <c r="P8" s="15">
        <f t="shared" si="1"/>
        <v>1231425</v>
      </c>
      <c r="Q8" s="15">
        <f t="shared" si="2"/>
        <v>268746</v>
      </c>
      <c r="R8" s="15">
        <f t="shared" si="3"/>
        <v>0</v>
      </c>
      <c r="S8" s="11">
        <f t="shared" si="4"/>
        <v>1736706</v>
      </c>
      <c r="T8" s="23">
        <v>12233</v>
      </c>
      <c r="U8" s="23">
        <v>13349</v>
      </c>
      <c r="V8" s="23">
        <v>13847</v>
      </c>
      <c r="W8" s="23"/>
      <c r="X8" s="15" t="s">
        <v>18</v>
      </c>
      <c r="Y8" s="15">
        <v>74737</v>
      </c>
      <c r="Z8" s="15">
        <v>141038</v>
      </c>
      <c r="AA8" s="15">
        <v>163914</v>
      </c>
      <c r="AB8" s="15">
        <v>291678</v>
      </c>
      <c r="AC8" s="15">
        <v>814620</v>
      </c>
      <c r="AD8" s="15">
        <v>569722</v>
      </c>
      <c r="AE8" s="15">
        <v>647949</v>
      </c>
      <c r="AK8" s="15">
        <f t="shared" si="5"/>
        <v>379689</v>
      </c>
      <c r="AL8" s="15">
        <f t="shared" si="6"/>
        <v>1676020</v>
      </c>
      <c r="AM8" s="15">
        <f t="shared" si="7"/>
        <v>647949</v>
      </c>
      <c r="AN8" s="15">
        <f t="shared" si="8"/>
        <v>0</v>
      </c>
      <c r="AO8" s="10">
        <f t="shared" si="9"/>
        <v>2703658</v>
      </c>
    </row>
    <row r="9" spans="1:41" s="37" customFormat="1">
      <c r="B9" s="37" t="s">
        <v>51</v>
      </c>
      <c r="C9" s="37">
        <v>120906</v>
      </c>
      <c r="D9" s="37">
        <f>319393</f>
        <v>319393</v>
      </c>
      <c r="E9" s="37">
        <v>265820</v>
      </c>
      <c r="F9" s="37">
        <v>110521</v>
      </c>
      <c r="G9" s="37">
        <v>69076</v>
      </c>
      <c r="H9" s="37">
        <v>71731</v>
      </c>
      <c r="I9" s="37">
        <v>47262</v>
      </c>
      <c r="O9" s="37">
        <f t="shared" si="0"/>
        <v>706119</v>
      </c>
      <c r="P9" s="37">
        <f t="shared" si="1"/>
        <v>251328</v>
      </c>
      <c r="Q9" s="37">
        <f t="shared" si="2"/>
        <v>47262</v>
      </c>
      <c r="R9" s="37">
        <f t="shared" si="3"/>
        <v>0</v>
      </c>
      <c r="S9" s="11">
        <f t="shared" si="4"/>
        <v>1004709</v>
      </c>
      <c r="T9" s="42">
        <v>10840</v>
      </c>
      <c r="U9" s="42">
        <v>10554</v>
      </c>
      <c r="V9" s="42">
        <v>10601</v>
      </c>
      <c r="W9" s="42"/>
      <c r="X9" s="37" t="s">
        <v>51</v>
      </c>
      <c r="Y9" s="37">
        <v>48395</v>
      </c>
      <c r="Z9" s="37">
        <v>200004</v>
      </c>
      <c r="AA9" s="37">
        <v>171881</v>
      </c>
      <c r="AB9" s="37">
        <v>45953</v>
      </c>
      <c r="AC9" s="37">
        <v>37176</v>
      </c>
      <c r="AD9" s="37">
        <v>71096</v>
      </c>
      <c r="AE9" s="37">
        <v>95809</v>
      </c>
      <c r="AK9" s="37">
        <f t="shared" si="5"/>
        <v>420280</v>
      </c>
      <c r="AL9" s="37">
        <f t="shared" si="6"/>
        <v>154225</v>
      </c>
      <c r="AM9" s="37">
        <f t="shared" si="7"/>
        <v>95809</v>
      </c>
      <c r="AN9" s="37">
        <f t="shared" si="8"/>
        <v>0</v>
      </c>
      <c r="AO9" s="10">
        <f t="shared" si="9"/>
        <v>670314</v>
      </c>
    </row>
    <row r="10" spans="1:41" s="17" customFormat="1">
      <c r="B10" s="17" t="s">
        <v>26</v>
      </c>
      <c r="C10" s="17">
        <v>26126</v>
      </c>
      <c r="D10" s="17">
        <v>29074</v>
      </c>
      <c r="E10" s="17">
        <v>22108</v>
      </c>
      <c r="F10" s="17">
        <v>24434</v>
      </c>
      <c r="G10" s="17">
        <v>19215</v>
      </c>
      <c r="H10" s="17">
        <v>21357</v>
      </c>
      <c r="I10" s="17">
        <v>18332</v>
      </c>
      <c r="O10" s="17">
        <f t="shared" si="0"/>
        <v>77308</v>
      </c>
      <c r="P10" s="17">
        <f t="shared" si="1"/>
        <v>65006</v>
      </c>
      <c r="Q10" s="17">
        <f t="shared" si="2"/>
        <v>18332</v>
      </c>
      <c r="R10" s="17">
        <f t="shared" si="3"/>
        <v>0</v>
      </c>
      <c r="S10" s="11">
        <f t="shared" si="4"/>
        <v>160646</v>
      </c>
      <c r="T10" s="24">
        <v>8165</v>
      </c>
      <c r="U10" s="17">
        <v>7423</v>
      </c>
      <c r="V10" s="24">
        <v>7403</v>
      </c>
      <c r="W10" s="24"/>
      <c r="X10" s="17" t="s">
        <v>26</v>
      </c>
      <c r="Y10" s="17">
        <v>11527</v>
      </c>
      <c r="Z10" s="17">
        <v>6788</v>
      </c>
      <c r="AA10" s="17">
        <v>5076</v>
      </c>
      <c r="AB10" s="17">
        <v>4679</v>
      </c>
      <c r="AC10" s="17">
        <v>4043</v>
      </c>
      <c r="AD10" s="17">
        <v>4579</v>
      </c>
      <c r="AE10" s="17">
        <v>4387</v>
      </c>
      <c r="AK10" s="17">
        <f t="shared" si="5"/>
        <v>23391</v>
      </c>
      <c r="AL10" s="17">
        <f t="shared" si="6"/>
        <v>13301</v>
      </c>
      <c r="AM10" s="17">
        <f t="shared" si="7"/>
        <v>4387</v>
      </c>
      <c r="AN10" s="17">
        <f t="shared" si="8"/>
        <v>0</v>
      </c>
      <c r="AO10" s="10">
        <f t="shared" si="9"/>
        <v>41079</v>
      </c>
    </row>
    <row r="11" spans="1:41">
      <c r="B11" s="12" t="s">
        <v>52</v>
      </c>
      <c r="C11" s="12">
        <v>182698</v>
      </c>
      <c r="D11" s="12">
        <v>293863</v>
      </c>
      <c r="E11" s="12">
        <v>224400</v>
      </c>
      <c r="F11" s="12">
        <v>147493</v>
      </c>
      <c r="G11" s="12">
        <v>91280</v>
      </c>
      <c r="H11" s="12">
        <v>128075</v>
      </c>
      <c r="I11" s="12">
        <v>56124</v>
      </c>
      <c r="O11" s="12">
        <f t="shared" si="0"/>
        <v>700961</v>
      </c>
      <c r="P11" s="12">
        <f t="shared" si="1"/>
        <v>366848</v>
      </c>
      <c r="Q11" s="12">
        <f t="shared" si="2"/>
        <v>56124</v>
      </c>
      <c r="R11" s="12">
        <f t="shared" si="3"/>
        <v>0</v>
      </c>
      <c r="S11" s="11">
        <f t="shared" si="4"/>
        <v>1123933</v>
      </c>
      <c r="T11" s="14">
        <v>5963</v>
      </c>
      <c r="U11" s="12">
        <v>5518</v>
      </c>
      <c r="V11" s="14">
        <v>5581</v>
      </c>
      <c r="W11" s="14"/>
      <c r="X11" s="12" t="s">
        <v>52</v>
      </c>
      <c r="Y11" s="12">
        <v>25182</v>
      </c>
      <c r="Z11" s="12">
        <v>36249</v>
      </c>
      <c r="AA11" s="12">
        <v>28790</v>
      </c>
      <c r="AB11" s="12">
        <v>26838</v>
      </c>
      <c r="AC11" s="12">
        <v>16924</v>
      </c>
      <c r="AD11" s="12">
        <v>16862</v>
      </c>
      <c r="AE11" s="12">
        <v>14810</v>
      </c>
      <c r="AK11" s="12">
        <f t="shared" si="5"/>
        <v>90221</v>
      </c>
      <c r="AL11" s="12">
        <f t="shared" si="6"/>
        <v>60624</v>
      </c>
      <c r="AM11" s="12">
        <f t="shared" si="7"/>
        <v>14810</v>
      </c>
      <c r="AN11" s="12">
        <f t="shared" si="8"/>
        <v>0</v>
      </c>
      <c r="AO11" s="10">
        <f t="shared" si="9"/>
        <v>165655</v>
      </c>
    </row>
    <row r="12" spans="1:41">
      <c r="B12" s="27" t="s">
        <v>53</v>
      </c>
      <c r="C12" s="12">
        <v>72243</v>
      </c>
      <c r="D12" s="12">
        <v>114273</v>
      </c>
      <c r="E12" s="12">
        <v>180941</v>
      </c>
      <c r="F12" s="12">
        <v>84511</v>
      </c>
      <c r="G12" s="12">
        <v>67781</v>
      </c>
      <c r="H12" s="12">
        <v>86887</v>
      </c>
      <c r="I12" s="12">
        <v>69692</v>
      </c>
      <c r="O12" s="12">
        <f>SUM(C12:E12)</f>
        <v>367457</v>
      </c>
      <c r="P12" s="12">
        <f>SUM(F12:H12)</f>
        <v>239179</v>
      </c>
      <c r="Q12" s="12">
        <f>SUM(I12:K12)</f>
        <v>69692</v>
      </c>
      <c r="R12" s="12">
        <f>SUM(L12:N12)</f>
        <v>0</v>
      </c>
      <c r="S12" s="11">
        <f>SUM(O12:R12)</f>
        <v>676328</v>
      </c>
      <c r="T12" s="14">
        <v>2497</v>
      </c>
      <c r="U12" s="12">
        <v>2287</v>
      </c>
      <c r="V12" s="14">
        <v>2308</v>
      </c>
      <c r="W12" s="14"/>
      <c r="X12" s="27" t="s">
        <v>53</v>
      </c>
      <c r="Y12" s="12">
        <v>9078</v>
      </c>
      <c r="Z12" s="12">
        <v>15563</v>
      </c>
      <c r="AA12" s="12">
        <v>22841</v>
      </c>
      <c r="AB12" s="12">
        <v>10608</v>
      </c>
      <c r="AC12" s="12">
        <v>8835</v>
      </c>
      <c r="AD12" s="12">
        <v>9175</v>
      </c>
      <c r="AE12" s="12">
        <v>9937</v>
      </c>
      <c r="AK12" s="12">
        <f t="shared" si="5"/>
        <v>47482</v>
      </c>
      <c r="AL12" s="12">
        <f t="shared" si="6"/>
        <v>28618</v>
      </c>
      <c r="AM12" s="12">
        <f t="shared" si="7"/>
        <v>9937</v>
      </c>
      <c r="AN12" s="12">
        <f t="shared" si="8"/>
        <v>0</v>
      </c>
      <c r="AO12" s="10">
        <f t="shared" si="9"/>
        <v>86037</v>
      </c>
    </row>
    <row r="13" spans="1:41">
      <c r="B13" s="12" t="s">
        <v>54</v>
      </c>
      <c r="C13" s="12">
        <v>104121</v>
      </c>
      <c r="D13" s="12">
        <v>39866</v>
      </c>
      <c r="E13" s="12">
        <v>67220</v>
      </c>
      <c r="F13" s="12">
        <v>204220</v>
      </c>
      <c r="G13" s="12">
        <v>146243</v>
      </c>
      <c r="H13" s="12">
        <v>145741</v>
      </c>
      <c r="I13" s="12">
        <v>235248</v>
      </c>
      <c r="O13" s="12">
        <f t="shared" si="0"/>
        <v>211207</v>
      </c>
      <c r="P13" s="12">
        <f t="shared" si="1"/>
        <v>496204</v>
      </c>
      <c r="Q13" s="12">
        <f t="shared" si="2"/>
        <v>235248</v>
      </c>
      <c r="R13" s="12">
        <f t="shared" si="3"/>
        <v>0</v>
      </c>
      <c r="S13" s="11">
        <f t="shared" si="4"/>
        <v>942659</v>
      </c>
      <c r="T13" s="14">
        <v>6352</v>
      </c>
      <c r="U13" s="12">
        <v>5976</v>
      </c>
      <c r="V13" s="14">
        <v>6051</v>
      </c>
      <c r="W13" s="14"/>
      <c r="X13" s="12" t="s">
        <v>54</v>
      </c>
      <c r="Y13" s="12">
        <v>42851</v>
      </c>
      <c r="Z13" s="12">
        <v>38904</v>
      </c>
      <c r="AA13" s="12">
        <v>4055</v>
      </c>
      <c r="AB13" s="12">
        <v>88550</v>
      </c>
      <c r="AC13" s="12">
        <v>73060</v>
      </c>
      <c r="AD13" s="12">
        <v>56183</v>
      </c>
      <c r="AE13" s="12">
        <v>98088</v>
      </c>
      <c r="AK13" s="12">
        <f t="shared" si="5"/>
        <v>85810</v>
      </c>
      <c r="AL13" s="12">
        <f t="shared" si="6"/>
        <v>217793</v>
      </c>
      <c r="AM13" s="12">
        <f t="shared" si="7"/>
        <v>98088</v>
      </c>
      <c r="AN13" s="12">
        <f t="shared" si="8"/>
        <v>0</v>
      </c>
      <c r="AO13" s="10">
        <f t="shared" si="9"/>
        <v>401691</v>
      </c>
    </row>
    <row r="14" spans="1:41" s="43" customFormat="1">
      <c r="B14" s="43" t="s">
        <v>76</v>
      </c>
      <c r="C14" s="43">
        <v>1263556</v>
      </c>
      <c r="D14" s="43">
        <v>821893</v>
      </c>
      <c r="E14" s="43">
        <v>2645408</v>
      </c>
      <c r="F14" s="43">
        <v>3805848</v>
      </c>
      <c r="G14" s="43">
        <v>6247434</v>
      </c>
      <c r="H14" s="43">
        <v>488894</v>
      </c>
      <c r="I14" s="43">
        <v>347534</v>
      </c>
      <c r="O14" s="49">
        <f t="shared" si="0"/>
        <v>4730857</v>
      </c>
      <c r="P14" s="49">
        <f t="shared" si="1"/>
        <v>10542176</v>
      </c>
      <c r="Q14" s="49">
        <f t="shared" si="2"/>
        <v>347534</v>
      </c>
      <c r="R14" s="49">
        <f t="shared" si="3"/>
        <v>0</v>
      </c>
      <c r="S14" s="11">
        <f t="shared" si="4"/>
        <v>15620567</v>
      </c>
      <c r="T14" s="48">
        <v>7045</v>
      </c>
      <c r="U14" s="49">
        <v>7759</v>
      </c>
      <c r="V14" s="48">
        <v>7828</v>
      </c>
      <c r="W14" s="48"/>
      <c r="X14" s="49" t="s">
        <v>76</v>
      </c>
      <c r="Y14" s="49">
        <v>273982</v>
      </c>
      <c r="Z14" s="49">
        <v>180116</v>
      </c>
      <c r="AA14" s="49">
        <v>793139</v>
      </c>
      <c r="AB14" s="49">
        <v>492680</v>
      </c>
      <c r="AC14" s="49">
        <v>608892</v>
      </c>
      <c r="AD14" s="49">
        <v>90860</v>
      </c>
      <c r="AE14" s="49">
        <v>83627</v>
      </c>
      <c r="AF14" s="49"/>
      <c r="AG14" s="49"/>
      <c r="AH14" s="49"/>
      <c r="AI14" s="49"/>
      <c r="AJ14" s="49"/>
      <c r="AK14" s="49">
        <f t="shared" si="5"/>
        <v>1247237</v>
      </c>
      <c r="AL14" s="49">
        <f t="shared" si="6"/>
        <v>1192432</v>
      </c>
      <c r="AM14" s="49">
        <f t="shared" si="7"/>
        <v>83627</v>
      </c>
      <c r="AN14" s="49">
        <f t="shared" si="8"/>
        <v>0</v>
      </c>
      <c r="AO14" s="10">
        <f t="shared" si="9"/>
        <v>2523296</v>
      </c>
    </row>
    <row r="15" spans="1:41" s="43" customFormat="1">
      <c r="B15" s="43" t="s">
        <v>78</v>
      </c>
      <c r="C15" s="43">
        <v>97136</v>
      </c>
      <c r="D15" s="43">
        <v>26892</v>
      </c>
      <c r="E15" s="43">
        <v>37862</v>
      </c>
      <c r="F15" s="43">
        <v>39797</v>
      </c>
      <c r="G15" s="43">
        <v>16666</v>
      </c>
      <c r="H15" s="43">
        <v>13397</v>
      </c>
      <c r="I15" s="43">
        <v>12649</v>
      </c>
      <c r="O15" s="49">
        <f t="shared" si="0"/>
        <v>161890</v>
      </c>
      <c r="P15" s="49">
        <f t="shared" si="1"/>
        <v>69860</v>
      </c>
      <c r="Q15" s="49">
        <f t="shared" si="2"/>
        <v>12649</v>
      </c>
      <c r="R15" s="49">
        <f t="shared" si="3"/>
        <v>0</v>
      </c>
      <c r="S15" s="11">
        <f t="shared" si="4"/>
        <v>244399</v>
      </c>
      <c r="T15" s="48">
        <v>17605</v>
      </c>
      <c r="U15" s="49">
        <v>16758</v>
      </c>
      <c r="V15" s="48">
        <v>16740</v>
      </c>
      <c r="W15" s="48"/>
      <c r="X15" s="49" t="s">
        <v>78</v>
      </c>
      <c r="Y15" s="49">
        <v>33882</v>
      </c>
      <c r="Z15" s="49">
        <v>7251</v>
      </c>
      <c r="AA15" s="49">
        <v>9991</v>
      </c>
      <c r="AB15" s="49">
        <v>5583</v>
      </c>
      <c r="AC15" s="49">
        <v>4463</v>
      </c>
      <c r="AD15" s="49">
        <v>3483</v>
      </c>
      <c r="AE15" s="49">
        <v>12452</v>
      </c>
      <c r="AF15" s="49"/>
      <c r="AG15" s="49"/>
      <c r="AH15" s="49"/>
      <c r="AI15" s="49"/>
      <c r="AJ15" s="49"/>
      <c r="AK15" s="49">
        <f t="shared" si="5"/>
        <v>51124</v>
      </c>
      <c r="AL15" s="49">
        <f t="shared" si="6"/>
        <v>13529</v>
      </c>
      <c r="AM15" s="49">
        <f t="shared" si="7"/>
        <v>12452</v>
      </c>
      <c r="AN15" s="49">
        <f t="shared" si="8"/>
        <v>0</v>
      </c>
      <c r="AO15" s="10">
        <f t="shared" si="9"/>
        <v>77105</v>
      </c>
    </row>
    <row r="16" spans="1:41" s="43" customFormat="1">
      <c r="B16" s="43" t="s">
        <v>77</v>
      </c>
      <c r="C16" s="43">
        <v>843566</v>
      </c>
      <c r="D16" s="43">
        <v>260320</v>
      </c>
      <c r="E16" s="43">
        <v>524868</v>
      </c>
      <c r="F16" s="43">
        <v>319782</v>
      </c>
      <c r="G16" s="43">
        <v>180542</v>
      </c>
      <c r="H16" s="43">
        <v>202276</v>
      </c>
      <c r="I16" s="43">
        <v>70004</v>
      </c>
      <c r="O16" s="49">
        <f t="shared" si="0"/>
        <v>1628754</v>
      </c>
      <c r="P16" s="49">
        <f t="shared" si="1"/>
        <v>702600</v>
      </c>
      <c r="Q16" s="49">
        <f t="shared" si="2"/>
        <v>70004</v>
      </c>
      <c r="R16" s="49">
        <f t="shared" si="3"/>
        <v>0</v>
      </c>
      <c r="S16" s="11">
        <f>SUM(O16:R16)</f>
        <v>2401358</v>
      </c>
      <c r="T16" s="48">
        <v>23376</v>
      </c>
      <c r="U16" s="49">
        <v>21854</v>
      </c>
      <c r="V16" s="48">
        <v>21881</v>
      </c>
      <c r="W16" s="48"/>
      <c r="X16" s="49" t="s">
        <v>77</v>
      </c>
      <c r="Y16" s="49">
        <v>196870</v>
      </c>
      <c r="Z16" s="49">
        <v>63664</v>
      </c>
      <c r="AA16" s="49">
        <v>102847</v>
      </c>
      <c r="AB16" s="49">
        <v>28993</v>
      </c>
      <c r="AC16" s="49">
        <v>26054</v>
      </c>
      <c r="AD16" s="49">
        <v>34418</v>
      </c>
      <c r="AE16" s="49">
        <v>4045</v>
      </c>
      <c r="AF16" s="49"/>
      <c r="AG16" s="49"/>
      <c r="AH16" s="49"/>
      <c r="AI16" s="49"/>
      <c r="AJ16" s="49"/>
      <c r="AK16" s="49">
        <f t="shared" si="5"/>
        <v>363381</v>
      </c>
      <c r="AL16" s="49">
        <f t="shared" si="6"/>
        <v>89465</v>
      </c>
      <c r="AM16" s="49">
        <f t="shared" si="7"/>
        <v>4045</v>
      </c>
      <c r="AN16" s="49">
        <f t="shared" si="8"/>
        <v>0</v>
      </c>
      <c r="AO16" s="10">
        <f t="shared" si="9"/>
        <v>456891</v>
      </c>
    </row>
    <row r="17" spans="1:41" s="41" customFormat="1">
      <c r="B17" s="12" t="s">
        <v>83</v>
      </c>
      <c r="I17" s="41">
        <v>496389</v>
      </c>
      <c r="O17" s="12">
        <f t="shared" si="0"/>
        <v>0</v>
      </c>
      <c r="P17" s="12">
        <f t="shared" si="1"/>
        <v>0</v>
      </c>
      <c r="Q17" s="12">
        <f t="shared" si="2"/>
        <v>496389</v>
      </c>
      <c r="R17" s="12">
        <f t="shared" si="3"/>
        <v>0</v>
      </c>
      <c r="S17" s="11">
        <f t="shared" si="4"/>
        <v>496389</v>
      </c>
      <c r="T17" s="47"/>
      <c r="V17" s="47">
        <v>24154</v>
      </c>
      <c r="W17" s="47"/>
      <c r="X17" s="12" t="s">
        <v>83</v>
      </c>
      <c r="AE17" s="41">
        <v>69032</v>
      </c>
      <c r="AK17" s="12">
        <f t="shared" si="5"/>
        <v>0</v>
      </c>
      <c r="AL17" s="12">
        <f t="shared" si="6"/>
        <v>0</v>
      </c>
      <c r="AM17" s="12">
        <f t="shared" si="7"/>
        <v>69032</v>
      </c>
      <c r="AN17" s="12">
        <f t="shared" si="8"/>
        <v>0</v>
      </c>
      <c r="AO17" s="10">
        <f t="shared" si="9"/>
        <v>69032</v>
      </c>
    </row>
    <row r="18" spans="1:41">
      <c r="B18" s="12" t="s">
        <v>84</v>
      </c>
      <c r="I18" s="12">
        <v>1082435</v>
      </c>
      <c r="O18" s="12">
        <f t="shared" si="0"/>
        <v>0</v>
      </c>
      <c r="P18" s="12">
        <f t="shared" si="1"/>
        <v>0</v>
      </c>
      <c r="Q18" s="12">
        <f t="shared" si="2"/>
        <v>1082435</v>
      </c>
      <c r="R18" s="12">
        <f t="shared" si="3"/>
        <v>0</v>
      </c>
      <c r="S18" s="11">
        <f t="shared" si="4"/>
        <v>1082435</v>
      </c>
      <c r="V18" s="12">
        <v>21178</v>
      </c>
      <c r="X18" s="12" t="s">
        <v>84</v>
      </c>
      <c r="AE18" s="12">
        <v>214171</v>
      </c>
      <c r="AK18" s="12">
        <f t="shared" si="5"/>
        <v>0</v>
      </c>
      <c r="AL18" s="12">
        <f t="shared" si="6"/>
        <v>0</v>
      </c>
      <c r="AM18" s="12">
        <f t="shared" si="7"/>
        <v>214171</v>
      </c>
      <c r="AN18" s="12">
        <f>SUM(AH18:AJ18)</f>
        <v>0</v>
      </c>
      <c r="AO18" s="10">
        <f t="shared" si="9"/>
        <v>214171</v>
      </c>
    </row>
    <row r="19" spans="1:41">
      <c r="B19" s="12" t="s">
        <v>85</v>
      </c>
      <c r="I19" s="12">
        <v>1704922</v>
      </c>
      <c r="O19" s="12">
        <f t="shared" si="0"/>
        <v>0</v>
      </c>
      <c r="P19" s="12">
        <f t="shared" si="1"/>
        <v>0</v>
      </c>
      <c r="Q19" s="12">
        <f t="shared" si="2"/>
        <v>1704922</v>
      </c>
      <c r="R19" s="12">
        <f t="shared" si="3"/>
        <v>0</v>
      </c>
      <c r="S19" s="11">
        <f t="shared" si="4"/>
        <v>1704922</v>
      </c>
      <c r="V19" s="12">
        <v>30728</v>
      </c>
      <c r="X19" s="12" t="s">
        <v>85</v>
      </c>
      <c r="AE19" s="12">
        <v>106512</v>
      </c>
      <c r="AK19" s="12">
        <f t="shared" si="5"/>
        <v>0</v>
      </c>
      <c r="AL19" s="12">
        <f t="shared" si="6"/>
        <v>0</v>
      </c>
      <c r="AM19" s="12">
        <f t="shared" si="7"/>
        <v>106512</v>
      </c>
      <c r="AN19" s="12">
        <f t="shared" si="8"/>
        <v>0</v>
      </c>
      <c r="AO19" s="10">
        <f t="shared" si="9"/>
        <v>106512</v>
      </c>
    </row>
    <row r="20" spans="1:41">
      <c r="B20" s="12" t="s">
        <v>73</v>
      </c>
      <c r="C20" s="12">
        <v>1688047</v>
      </c>
      <c r="D20" s="12">
        <v>913976</v>
      </c>
      <c r="E20" s="12">
        <v>2526991</v>
      </c>
      <c r="F20" s="12">
        <v>1667702</v>
      </c>
      <c r="G20" s="12">
        <v>1325863</v>
      </c>
      <c r="H20" s="12">
        <v>1137152</v>
      </c>
      <c r="I20" s="12">
        <v>814289</v>
      </c>
      <c r="O20" s="12">
        <f t="shared" si="0"/>
        <v>5129014</v>
      </c>
      <c r="P20" s="12">
        <f t="shared" si="1"/>
        <v>4130717</v>
      </c>
      <c r="Q20" s="12">
        <f>SUM(I20:K20)</f>
        <v>814289</v>
      </c>
      <c r="R20" s="12">
        <f t="shared" si="3"/>
        <v>0</v>
      </c>
      <c r="S20" s="11">
        <f t="shared" si="4"/>
        <v>10074020</v>
      </c>
      <c r="T20" s="12">
        <v>21697</v>
      </c>
      <c r="U20" s="12">
        <v>21292</v>
      </c>
      <c r="V20" s="12">
        <v>21256</v>
      </c>
      <c r="X20" s="12" t="s">
        <v>73</v>
      </c>
      <c r="Y20" s="12">
        <v>462750</v>
      </c>
      <c r="Z20" s="12">
        <v>79502</v>
      </c>
      <c r="AA20" s="12">
        <v>223310</v>
      </c>
      <c r="AB20" s="12">
        <v>58579</v>
      </c>
      <c r="AC20" s="12">
        <v>34030</v>
      </c>
      <c r="AD20" s="12">
        <v>23091</v>
      </c>
      <c r="AE20" s="12">
        <v>24458</v>
      </c>
      <c r="AK20" s="12">
        <f t="shared" si="5"/>
        <v>765562</v>
      </c>
      <c r="AL20" s="12">
        <f t="shared" si="6"/>
        <v>115700</v>
      </c>
      <c r="AM20" s="12">
        <f t="shared" si="7"/>
        <v>24458</v>
      </c>
      <c r="AN20" s="12">
        <f t="shared" si="8"/>
        <v>0</v>
      </c>
      <c r="AO20" s="10">
        <f t="shared" si="9"/>
        <v>905720</v>
      </c>
    </row>
    <row r="21" spans="1:41">
      <c r="B21" s="12" t="s">
        <v>74</v>
      </c>
      <c r="C21" s="41">
        <v>3661183</v>
      </c>
      <c r="D21" s="12">
        <v>3712820</v>
      </c>
      <c r="E21" s="12">
        <v>4422381</v>
      </c>
      <c r="F21" s="12">
        <v>2960974</v>
      </c>
      <c r="G21" s="12">
        <v>2771597</v>
      </c>
      <c r="H21" s="12">
        <v>2611191</v>
      </c>
      <c r="I21" s="12">
        <v>2243645</v>
      </c>
      <c r="O21" s="12">
        <f t="shared" si="0"/>
        <v>11796384</v>
      </c>
      <c r="P21" s="12">
        <f t="shared" si="1"/>
        <v>8343762</v>
      </c>
      <c r="Q21" s="12">
        <f t="shared" si="2"/>
        <v>2243645</v>
      </c>
      <c r="R21" s="12">
        <f t="shared" si="3"/>
        <v>0</v>
      </c>
      <c r="S21" s="11">
        <f t="shared" si="4"/>
        <v>22383791</v>
      </c>
      <c r="T21" s="12">
        <v>20313</v>
      </c>
      <c r="U21" s="12">
        <v>20107</v>
      </c>
      <c r="V21" s="12">
        <v>20365</v>
      </c>
      <c r="X21" s="12" t="s">
        <v>74</v>
      </c>
      <c r="Y21" s="12">
        <v>367866</v>
      </c>
      <c r="Z21" s="12">
        <v>370494</v>
      </c>
      <c r="AA21" s="12">
        <v>443601</v>
      </c>
      <c r="AB21" s="12">
        <v>539138</v>
      </c>
      <c r="AC21" s="12">
        <v>142880</v>
      </c>
      <c r="AD21" s="12">
        <v>167372</v>
      </c>
      <c r="AE21" s="12">
        <v>476776</v>
      </c>
      <c r="AK21" s="12">
        <f t="shared" si="5"/>
        <v>1181961</v>
      </c>
      <c r="AL21" s="12">
        <f t="shared" si="6"/>
        <v>849390</v>
      </c>
      <c r="AM21" s="12">
        <f t="shared" si="7"/>
        <v>476776</v>
      </c>
      <c r="AN21" s="12">
        <f t="shared" si="8"/>
        <v>0</v>
      </c>
      <c r="AO21" s="10">
        <f>SUM(AK21:AN21)</f>
        <v>2508127</v>
      </c>
    </row>
    <row r="22" spans="1:41">
      <c r="B22" s="12" t="s">
        <v>86</v>
      </c>
      <c r="I22" s="12">
        <v>524835</v>
      </c>
      <c r="O22" s="12">
        <f t="shared" si="0"/>
        <v>0</v>
      </c>
      <c r="P22" s="12">
        <f t="shared" si="1"/>
        <v>0</v>
      </c>
      <c r="Q22" s="12">
        <f t="shared" si="2"/>
        <v>524835</v>
      </c>
      <c r="R22" s="12">
        <f t="shared" si="3"/>
        <v>0</v>
      </c>
      <c r="S22" s="11">
        <f t="shared" si="4"/>
        <v>524835</v>
      </c>
      <c r="V22" s="12">
        <v>14832</v>
      </c>
      <c r="X22" s="12" t="s">
        <v>86</v>
      </c>
      <c r="AE22" s="12">
        <v>980937</v>
      </c>
      <c r="AK22" s="12">
        <f t="shared" si="5"/>
        <v>0</v>
      </c>
      <c r="AL22" s="12">
        <f t="shared" si="6"/>
        <v>0</v>
      </c>
      <c r="AM22" s="12">
        <f t="shared" si="7"/>
        <v>980937</v>
      </c>
      <c r="AN22" s="12">
        <f t="shared" si="8"/>
        <v>0</v>
      </c>
      <c r="AO22" s="10">
        <f t="shared" si="9"/>
        <v>980937</v>
      </c>
    </row>
    <row r="23" spans="1:41">
      <c r="B23" s="12" t="s">
        <v>87</v>
      </c>
      <c r="I23" s="12">
        <v>140248</v>
      </c>
      <c r="O23" s="12">
        <f t="shared" si="0"/>
        <v>0</v>
      </c>
      <c r="P23" s="12">
        <f t="shared" si="1"/>
        <v>0</v>
      </c>
      <c r="Q23" s="12">
        <f t="shared" si="2"/>
        <v>140248</v>
      </c>
      <c r="R23" s="12">
        <f>SUM(L23:N23)</f>
        <v>0</v>
      </c>
      <c r="S23" s="11">
        <f t="shared" si="4"/>
        <v>140248</v>
      </c>
      <c r="V23" s="12">
        <v>16098</v>
      </c>
      <c r="X23" s="12" t="s">
        <v>87</v>
      </c>
      <c r="AE23" s="12">
        <v>19812</v>
      </c>
      <c r="AK23" s="12">
        <f t="shared" si="5"/>
        <v>0</v>
      </c>
      <c r="AL23" s="12">
        <f t="shared" si="6"/>
        <v>0</v>
      </c>
      <c r="AM23" s="12">
        <f t="shared" si="7"/>
        <v>19812</v>
      </c>
      <c r="AN23" s="12">
        <f t="shared" si="8"/>
        <v>0</v>
      </c>
      <c r="AO23" s="10">
        <f t="shared" si="9"/>
        <v>19812</v>
      </c>
    </row>
    <row r="24" spans="1:41">
      <c r="B24" s="12" t="s">
        <v>88</v>
      </c>
      <c r="I24" s="12">
        <v>201397</v>
      </c>
      <c r="O24" s="12">
        <f t="shared" si="0"/>
        <v>0</v>
      </c>
      <c r="P24" s="12">
        <f t="shared" si="1"/>
        <v>0</v>
      </c>
      <c r="Q24" s="12">
        <f t="shared" si="2"/>
        <v>201397</v>
      </c>
      <c r="R24" s="12">
        <f t="shared" si="3"/>
        <v>0</v>
      </c>
      <c r="S24" s="11">
        <f t="shared" si="4"/>
        <v>201397</v>
      </c>
      <c r="V24" s="12">
        <v>6139</v>
      </c>
      <c r="X24" s="12" t="s">
        <v>88</v>
      </c>
      <c r="AE24" s="12">
        <v>14092</v>
      </c>
      <c r="AK24" s="12">
        <f t="shared" si="5"/>
        <v>0</v>
      </c>
      <c r="AL24" s="12">
        <f t="shared" si="6"/>
        <v>0</v>
      </c>
      <c r="AM24" s="12">
        <f t="shared" si="7"/>
        <v>14092</v>
      </c>
      <c r="AN24" s="12">
        <f t="shared" si="8"/>
        <v>0</v>
      </c>
      <c r="AO24" s="10">
        <f t="shared" si="9"/>
        <v>14092</v>
      </c>
    </row>
    <row r="25" spans="1:41">
      <c r="B25" s="12" t="s">
        <v>75</v>
      </c>
      <c r="C25" s="12">
        <v>198411</v>
      </c>
      <c r="D25" s="12">
        <f>253117</f>
        <v>253117</v>
      </c>
      <c r="E25" s="12">
        <v>221184</v>
      </c>
      <c r="F25" s="12">
        <v>202807</v>
      </c>
      <c r="G25" s="12">
        <v>195330</v>
      </c>
      <c r="H25" s="12">
        <v>152508</v>
      </c>
      <c r="I25" s="12">
        <v>143017</v>
      </c>
      <c r="O25" s="12">
        <f t="shared" si="0"/>
        <v>672712</v>
      </c>
      <c r="P25" s="12">
        <f t="shared" si="1"/>
        <v>550645</v>
      </c>
      <c r="Q25" s="12">
        <f t="shared" si="2"/>
        <v>143017</v>
      </c>
      <c r="R25" s="12">
        <f t="shared" si="3"/>
        <v>0</v>
      </c>
      <c r="S25" s="11">
        <f t="shared" si="4"/>
        <v>1366374</v>
      </c>
      <c r="T25" s="12">
        <v>3650</v>
      </c>
      <c r="U25" s="12">
        <v>3607</v>
      </c>
      <c r="V25" s="12">
        <v>3623</v>
      </c>
      <c r="X25" s="12" t="s">
        <v>75</v>
      </c>
      <c r="Y25" s="12">
        <v>13236</v>
      </c>
      <c r="Z25" s="12">
        <v>27754</v>
      </c>
      <c r="AA25" s="12">
        <v>10044</v>
      </c>
      <c r="AB25" s="12">
        <v>8240</v>
      </c>
      <c r="AC25" s="12">
        <v>8915</v>
      </c>
      <c r="AD25" s="12">
        <v>8250</v>
      </c>
      <c r="AE25" s="12">
        <v>7146</v>
      </c>
      <c r="AK25" s="12">
        <f t="shared" si="5"/>
        <v>51034</v>
      </c>
      <c r="AL25" s="12">
        <f t="shared" si="6"/>
        <v>25405</v>
      </c>
      <c r="AM25" s="12">
        <f t="shared" si="7"/>
        <v>7146</v>
      </c>
      <c r="AN25" s="12">
        <f t="shared" si="8"/>
        <v>0</v>
      </c>
      <c r="AO25" s="10">
        <f t="shared" si="9"/>
        <v>83585</v>
      </c>
    </row>
    <row r="26" spans="1:41">
      <c r="B26" s="12" t="s">
        <v>89</v>
      </c>
      <c r="I26" s="12">
        <v>617479</v>
      </c>
      <c r="O26" s="12">
        <f t="shared" si="0"/>
        <v>0</v>
      </c>
      <c r="P26" s="12">
        <f t="shared" si="1"/>
        <v>0</v>
      </c>
      <c r="Q26" s="12">
        <f t="shared" si="2"/>
        <v>617479</v>
      </c>
      <c r="R26" s="12">
        <f t="shared" si="3"/>
        <v>0</v>
      </c>
      <c r="S26" s="11">
        <f t="shared" si="4"/>
        <v>617479</v>
      </c>
      <c r="V26" s="12">
        <v>12114</v>
      </c>
      <c r="X26" s="12" t="s">
        <v>89</v>
      </c>
      <c r="AE26" s="12">
        <v>33716</v>
      </c>
      <c r="AK26" s="12">
        <f t="shared" si="5"/>
        <v>0</v>
      </c>
      <c r="AL26" s="12">
        <f t="shared" si="6"/>
        <v>0</v>
      </c>
      <c r="AM26" s="12">
        <f t="shared" si="7"/>
        <v>33716</v>
      </c>
      <c r="AN26" s="12">
        <f t="shared" si="8"/>
        <v>0</v>
      </c>
      <c r="AO26" s="10">
        <f t="shared" si="9"/>
        <v>33716</v>
      </c>
    </row>
    <row r="27" spans="1:41">
      <c r="B27" s="12" t="s">
        <v>90</v>
      </c>
      <c r="I27" s="12">
        <v>814688</v>
      </c>
      <c r="O27" s="12">
        <f t="shared" si="0"/>
        <v>0</v>
      </c>
      <c r="P27" s="12">
        <f t="shared" si="1"/>
        <v>0</v>
      </c>
      <c r="Q27" s="12">
        <f t="shared" si="2"/>
        <v>814688</v>
      </c>
      <c r="R27" s="12">
        <f t="shared" si="3"/>
        <v>0</v>
      </c>
      <c r="S27" s="11">
        <f t="shared" si="4"/>
        <v>814688</v>
      </c>
      <c r="V27" s="12">
        <v>7720</v>
      </c>
      <c r="X27" s="12" t="s">
        <v>90</v>
      </c>
      <c r="AE27" s="12">
        <v>23365</v>
      </c>
      <c r="AK27" s="12">
        <f t="shared" si="5"/>
        <v>0</v>
      </c>
      <c r="AL27" s="12">
        <f t="shared" si="6"/>
        <v>0</v>
      </c>
      <c r="AM27" s="12">
        <f t="shared" si="7"/>
        <v>23365</v>
      </c>
      <c r="AN27" s="12">
        <f>SUM(AH27:AJ27)</f>
        <v>0</v>
      </c>
      <c r="AO27" s="10">
        <f t="shared" si="9"/>
        <v>23365</v>
      </c>
    </row>
    <row r="28" spans="1:41">
      <c r="B28" s="12" t="s">
        <v>91</v>
      </c>
      <c r="I28" s="12">
        <v>1061561</v>
      </c>
      <c r="O28" s="12">
        <f t="shared" si="0"/>
        <v>0</v>
      </c>
      <c r="P28" s="12">
        <f t="shared" si="1"/>
        <v>0</v>
      </c>
      <c r="Q28" s="12">
        <f t="shared" si="2"/>
        <v>1061561</v>
      </c>
      <c r="R28" s="12">
        <f t="shared" si="3"/>
        <v>0</v>
      </c>
      <c r="S28" s="11">
        <f t="shared" si="4"/>
        <v>1061561</v>
      </c>
      <c r="V28" s="12">
        <v>18070</v>
      </c>
      <c r="X28" s="12" t="s">
        <v>91</v>
      </c>
      <c r="AE28" s="12">
        <v>64970</v>
      </c>
      <c r="AK28" s="12">
        <f t="shared" si="5"/>
        <v>0</v>
      </c>
      <c r="AL28" s="12">
        <f t="shared" si="6"/>
        <v>0</v>
      </c>
      <c r="AM28" s="12">
        <f t="shared" si="7"/>
        <v>64970</v>
      </c>
      <c r="AN28" s="12">
        <f t="shared" si="8"/>
        <v>0</v>
      </c>
      <c r="AO28" s="10">
        <f t="shared" si="9"/>
        <v>64970</v>
      </c>
    </row>
    <row r="29" spans="1:41">
      <c r="B29" s="12" t="s">
        <v>92</v>
      </c>
      <c r="I29" s="12">
        <v>789072</v>
      </c>
      <c r="O29" s="12">
        <f t="shared" si="0"/>
        <v>0</v>
      </c>
      <c r="P29" s="12">
        <f t="shared" si="1"/>
        <v>0</v>
      </c>
      <c r="Q29" s="12">
        <f t="shared" si="2"/>
        <v>789072</v>
      </c>
      <c r="R29" s="12">
        <f t="shared" si="3"/>
        <v>0</v>
      </c>
      <c r="S29" s="11">
        <f>SUM(O29:R29)</f>
        <v>789072</v>
      </c>
      <c r="V29" s="12">
        <v>18806</v>
      </c>
      <c r="X29" s="12" t="s">
        <v>92</v>
      </c>
      <c r="AE29" s="12">
        <v>52496</v>
      </c>
      <c r="AK29" s="12">
        <f t="shared" si="5"/>
        <v>0</v>
      </c>
      <c r="AL29" s="12">
        <f t="shared" si="6"/>
        <v>0</v>
      </c>
      <c r="AM29" s="12">
        <f t="shared" si="7"/>
        <v>52496</v>
      </c>
      <c r="AN29" s="12">
        <f t="shared" si="8"/>
        <v>0</v>
      </c>
      <c r="AO29" s="10">
        <f t="shared" si="9"/>
        <v>52496</v>
      </c>
    </row>
    <row r="30" spans="1:41" s="44" customFormat="1">
      <c r="A30" s="44" t="s">
        <v>32</v>
      </c>
      <c r="B30" s="44" t="s">
        <v>15</v>
      </c>
      <c r="C30" s="44">
        <v>1025629</v>
      </c>
      <c r="D30" s="44">
        <v>752395</v>
      </c>
      <c r="E30" s="44">
        <v>1028833</v>
      </c>
      <c r="F30" s="44">
        <v>629680</v>
      </c>
      <c r="G30" s="44">
        <v>557666</v>
      </c>
      <c r="H30" s="44">
        <v>275978</v>
      </c>
      <c r="I30" s="44">
        <v>233881</v>
      </c>
      <c r="O30" s="44">
        <f>SUM(C30:E30)</f>
        <v>2806857</v>
      </c>
      <c r="P30" s="44">
        <f>SUM(F30:H30)</f>
        <v>1463324</v>
      </c>
      <c r="Q30" s="44">
        <f>SUM(I30:K30)</f>
        <v>233881</v>
      </c>
      <c r="R30" s="44">
        <f t="shared" si="3"/>
        <v>0</v>
      </c>
      <c r="S30" s="11">
        <f>SUM(O30:R30)</f>
        <v>4504062</v>
      </c>
      <c r="T30" s="44">
        <v>31921</v>
      </c>
      <c r="U30" s="44">
        <v>32204</v>
      </c>
      <c r="V30" s="44">
        <v>32291</v>
      </c>
      <c r="X30" s="44" t="s">
        <v>15</v>
      </c>
      <c r="Y30" s="44">
        <v>378251</v>
      </c>
      <c r="Z30" s="44">
        <v>215723</v>
      </c>
      <c r="AA30" s="44">
        <v>302834</v>
      </c>
      <c r="AB30" s="44">
        <v>195738</v>
      </c>
      <c r="AC30" s="44">
        <v>182443</v>
      </c>
      <c r="AD30" s="44">
        <v>110201</v>
      </c>
      <c r="AE30" s="44">
        <v>71922</v>
      </c>
      <c r="AK30" s="44">
        <f t="shared" si="5"/>
        <v>896808</v>
      </c>
      <c r="AL30" s="44">
        <f>SUM(AB30:AD30)</f>
        <v>488382</v>
      </c>
      <c r="AM30" s="44">
        <f>SUM(AE30:AG30)</f>
        <v>71922</v>
      </c>
      <c r="AN30" s="44">
        <f>SUM(AH30:AJ30)</f>
        <v>0</v>
      </c>
      <c r="AO30" s="10">
        <f t="shared" si="9"/>
        <v>1457112</v>
      </c>
    </row>
    <row r="31" spans="1:41" s="44" customFormat="1">
      <c r="B31" s="44" t="s">
        <v>16</v>
      </c>
      <c r="C31" s="44">
        <v>1420792</v>
      </c>
      <c r="D31" s="44">
        <v>1211548</v>
      </c>
      <c r="E31" s="44">
        <v>887399</v>
      </c>
      <c r="F31" s="44">
        <v>1217186</v>
      </c>
      <c r="G31" s="44">
        <v>1195003</v>
      </c>
      <c r="H31" s="44">
        <v>307134</v>
      </c>
      <c r="I31" s="44">
        <v>168154</v>
      </c>
      <c r="O31" s="44">
        <f t="shared" ref="O31:O48" si="10">SUM(C31:E31)</f>
        <v>3519739</v>
      </c>
      <c r="P31" s="44">
        <f t="shared" ref="P31:P48" si="11">SUM(F31:H31)</f>
        <v>2719323</v>
      </c>
      <c r="Q31" s="44">
        <f t="shared" ref="Q31:Q48" si="12">SUM(I31:K31)</f>
        <v>168154</v>
      </c>
      <c r="R31" s="44">
        <f t="shared" si="3"/>
        <v>0</v>
      </c>
      <c r="S31" s="11">
        <f t="shared" ref="S31:S48" si="13">SUM(O31:R31)</f>
        <v>6407216</v>
      </c>
      <c r="T31" s="44">
        <v>21521</v>
      </c>
      <c r="U31" s="44">
        <v>21725</v>
      </c>
      <c r="V31" s="44">
        <v>21731</v>
      </c>
      <c r="X31" s="44" t="s">
        <v>16</v>
      </c>
      <c r="Y31" s="44">
        <v>326077</v>
      </c>
      <c r="Z31" s="44">
        <v>288523</v>
      </c>
      <c r="AA31" s="44">
        <v>1102613</v>
      </c>
      <c r="AB31" s="44">
        <v>568723</v>
      </c>
      <c r="AC31" s="44">
        <v>264455</v>
      </c>
      <c r="AD31" s="44">
        <v>110998</v>
      </c>
      <c r="AE31" s="44">
        <v>37185</v>
      </c>
      <c r="AK31" s="44">
        <f t="shared" si="5"/>
        <v>1717213</v>
      </c>
      <c r="AL31" s="44">
        <f t="shared" ref="AL31:AL48" si="14">SUM(AB31:AD31)</f>
        <v>944176</v>
      </c>
      <c r="AM31" s="44">
        <f t="shared" ref="AM31:AM48" si="15">SUM(AE31:AG31)</f>
        <v>37185</v>
      </c>
      <c r="AN31" s="44">
        <f t="shared" ref="AN31:AN48" si="16">SUM(AH31:AJ31)</f>
        <v>0</v>
      </c>
      <c r="AO31" s="10">
        <f t="shared" si="9"/>
        <v>2698574</v>
      </c>
    </row>
    <row r="32" spans="1:41" s="44" customFormat="1">
      <c r="B32" s="44" t="s">
        <v>17</v>
      </c>
      <c r="C32" s="44">
        <v>257958</v>
      </c>
      <c r="D32" s="44">
        <v>173697</v>
      </c>
      <c r="E32" s="44">
        <v>133762</v>
      </c>
      <c r="F32" s="44">
        <v>145472</v>
      </c>
      <c r="G32" s="44">
        <v>130599</v>
      </c>
      <c r="H32" s="44">
        <v>221374</v>
      </c>
      <c r="I32" s="44">
        <v>101252</v>
      </c>
      <c r="O32" s="44">
        <f t="shared" si="10"/>
        <v>565417</v>
      </c>
      <c r="P32" s="44">
        <f t="shared" si="11"/>
        <v>497445</v>
      </c>
      <c r="Q32" s="44">
        <f t="shared" si="12"/>
        <v>101252</v>
      </c>
      <c r="R32" s="44">
        <f t="shared" si="3"/>
        <v>0</v>
      </c>
      <c r="S32" s="11">
        <f t="shared" si="13"/>
        <v>1164114</v>
      </c>
      <c r="T32" s="44">
        <v>8906</v>
      </c>
      <c r="U32" s="45">
        <v>8949</v>
      </c>
      <c r="V32" s="44">
        <v>8955</v>
      </c>
      <c r="X32" s="44" t="s">
        <v>17</v>
      </c>
      <c r="Y32" s="44">
        <v>74410</v>
      </c>
      <c r="Z32" s="44">
        <v>63974</v>
      </c>
      <c r="AA32" s="44">
        <v>26463</v>
      </c>
      <c r="AB32" s="44">
        <v>37110</v>
      </c>
      <c r="AC32" s="44">
        <v>28378</v>
      </c>
      <c r="AD32" s="44">
        <v>100893</v>
      </c>
      <c r="AE32" s="44">
        <v>28462</v>
      </c>
      <c r="AK32" s="44">
        <f t="shared" si="5"/>
        <v>164847</v>
      </c>
      <c r="AL32" s="44">
        <f t="shared" si="14"/>
        <v>166381</v>
      </c>
      <c r="AM32" s="44">
        <f t="shared" si="15"/>
        <v>28462</v>
      </c>
      <c r="AN32" s="44">
        <f t="shared" si="16"/>
        <v>0</v>
      </c>
      <c r="AO32" s="10">
        <f t="shared" si="9"/>
        <v>359690</v>
      </c>
    </row>
    <row r="33" spans="1:41" s="44" customFormat="1">
      <c r="B33" s="44" t="s">
        <v>52</v>
      </c>
      <c r="C33" s="44">
        <v>17672</v>
      </c>
      <c r="D33" s="44">
        <v>9885</v>
      </c>
      <c r="E33" s="44">
        <v>5461</v>
      </c>
      <c r="F33" s="44">
        <v>8006</v>
      </c>
      <c r="G33" s="44">
        <v>8984</v>
      </c>
      <c r="H33" s="44">
        <v>12231</v>
      </c>
      <c r="I33" s="44">
        <v>11286</v>
      </c>
      <c r="O33" s="44">
        <f t="shared" si="10"/>
        <v>33018</v>
      </c>
      <c r="P33" s="44">
        <f t="shared" si="11"/>
        <v>29221</v>
      </c>
      <c r="Q33" s="44">
        <f t="shared" si="12"/>
        <v>11286</v>
      </c>
      <c r="R33" s="44">
        <f t="shared" si="3"/>
        <v>0</v>
      </c>
      <c r="S33" s="11">
        <f t="shared" si="13"/>
        <v>73525</v>
      </c>
      <c r="T33" s="44">
        <v>827</v>
      </c>
      <c r="U33" s="45">
        <v>841</v>
      </c>
      <c r="V33" s="44">
        <v>847</v>
      </c>
      <c r="X33" s="44" t="s">
        <v>52</v>
      </c>
      <c r="Y33" s="44">
        <v>3492</v>
      </c>
      <c r="Z33" s="44">
        <v>3373</v>
      </c>
      <c r="AA33" s="44">
        <v>1888</v>
      </c>
      <c r="AB33" s="44">
        <v>1141</v>
      </c>
      <c r="AC33" s="44">
        <v>1105</v>
      </c>
      <c r="AD33" s="44">
        <v>3321</v>
      </c>
      <c r="AE33" s="44">
        <v>3317</v>
      </c>
      <c r="AK33" s="44">
        <f t="shared" si="5"/>
        <v>8753</v>
      </c>
      <c r="AL33" s="44">
        <f t="shared" si="14"/>
        <v>5567</v>
      </c>
      <c r="AM33" s="44">
        <f t="shared" si="15"/>
        <v>3317</v>
      </c>
      <c r="AN33" s="44">
        <f t="shared" si="16"/>
        <v>0</v>
      </c>
      <c r="AO33" s="10">
        <f t="shared" si="9"/>
        <v>17637</v>
      </c>
    </row>
    <row r="34" spans="1:41" s="44" customFormat="1">
      <c r="B34" s="46" t="s">
        <v>53</v>
      </c>
      <c r="C34" s="44">
        <v>8543</v>
      </c>
      <c r="D34" s="44">
        <v>5232</v>
      </c>
      <c r="E34" s="44">
        <v>9321</v>
      </c>
      <c r="F34" s="44">
        <v>12528</v>
      </c>
      <c r="G34" s="44">
        <v>13742</v>
      </c>
      <c r="H34" s="44">
        <v>26993</v>
      </c>
      <c r="I34" s="44">
        <v>20463</v>
      </c>
      <c r="O34" s="44">
        <f t="shared" si="10"/>
        <v>23096</v>
      </c>
      <c r="P34" s="44">
        <f t="shared" si="11"/>
        <v>53263</v>
      </c>
      <c r="Q34" s="44">
        <f t="shared" si="12"/>
        <v>20463</v>
      </c>
      <c r="R34" s="44">
        <f t="shared" si="3"/>
        <v>0</v>
      </c>
      <c r="S34" s="11">
        <f t="shared" si="13"/>
        <v>96822</v>
      </c>
      <c r="T34" s="44">
        <v>793</v>
      </c>
      <c r="U34" s="45">
        <v>824</v>
      </c>
      <c r="V34" s="44">
        <v>840</v>
      </c>
      <c r="X34" s="46" t="s">
        <v>53</v>
      </c>
      <c r="Y34" s="44">
        <v>3261</v>
      </c>
      <c r="Z34" s="44">
        <v>2445</v>
      </c>
      <c r="AA34" s="44">
        <v>3203</v>
      </c>
      <c r="AB34" s="44">
        <v>3735</v>
      </c>
      <c r="AC34" s="44">
        <v>4020</v>
      </c>
      <c r="AD34" s="44">
        <v>7134</v>
      </c>
      <c r="AE34" s="44">
        <v>7538</v>
      </c>
      <c r="AK34" s="44">
        <f t="shared" si="5"/>
        <v>8909</v>
      </c>
      <c r="AL34" s="44">
        <f t="shared" si="14"/>
        <v>14889</v>
      </c>
      <c r="AM34" s="44">
        <f t="shared" si="15"/>
        <v>7538</v>
      </c>
      <c r="AN34" s="44">
        <f t="shared" si="16"/>
        <v>0</v>
      </c>
      <c r="AO34" s="10">
        <f t="shared" si="9"/>
        <v>31336</v>
      </c>
    </row>
    <row r="35" spans="1:41" s="44" customFormat="1">
      <c r="B35" s="46" t="s">
        <v>76</v>
      </c>
      <c r="C35" s="44">
        <v>50327</v>
      </c>
      <c r="D35" s="44">
        <v>48955</v>
      </c>
      <c r="E35" s="44">
        <v>49836</v>
      </c>
      <c r="F35" s="44">
        <v>56128</v>
      </c>
      <c r="G35" s="44">
        <v>53734</v>
      </c>
      <c r="H35" s="44">
        <v>40554</v>
      </c>
      <c r="I35" s="44">
        <v>42144</v>
      </c>
      <c r="O35" s="44">
        <f t="shared" si="10"/>
        <v>149118</v>
      </c>
      <c r="P35" s="44">
        <f t="shared" si="11"/>
        <v>150416</v>
      </c>
      <c r="Q35" s="44">
        <f t="shared" si="12"/>
        <v>42144</v>
      </c>
      <c r="R35" s="44">
        <f t="shared" si="3"/>
        <v>0</v>
      </c>
      <c r="S35" s="11">
        <f t="shared" si="13"/>
        <v>341678</v>
      </c>
      <c r="T35" s="44">
        <v>4773</v>
      </c>
      <c r="U35" s="45">
        <v>4795</v>
      </c>
      <c r="V35" s="44">
        <v>4806</v>
      </c>
      <c r="X35" s="46" t="s">
        <v>76</v>
      </c>
      <c r="Y35" s="44">
        <v>2895</v>
      </c>
      <c r="Z35" s="44">
        <v>761</v>
      </c>
      <c r="AA35" s="44">
        <v>607</v>
      </c>
      <c r="AB35" s="44">
        <v>601</v>
      </c>
      <c r="AC35" s="44">
        <v>817</v>
      </c>
      <c r="AD35" s="44">
        <v>417</v>
      </c>
      <c r="AE35" s="44">
        <v>666</v>
      </c>
      <c r="AK35" s="44">
        <f t="shared" si="5"/>
        <v>4263</v>
      </c>
      <c r="AL35" s="44">
        <f t="shared" si="14"/>
        <v>1835</v>
      </c>
      <c r="AM35" s="44">
        <f t="shared" si="15"/>
        <v>666</v>
      </c>
      <c r="AN35" s="44">
        <f t="shared" si="16"/>
        <v>0</v>
      </c>
      <c r="AO35" s="10">
        <f t="shared" si="9"/>
        <v>6764</v>
      </c>
    </row>
    <row r="36" spans="1:41" s="44" customFormat="1">
      <c r="B36" s="44" t="s">
        <v>83</v>
      </c>
      <c r="I36" s="44">
        <v>0</v>
      </c>
      <c r="O36" s="44">
        <f t="shared" si="10"/>
        <v>0</v>
      </c>
      <c r="P36" s="44">
        <f t="shared" si="11"/>
        <v>0</v>
      </c>
      <c r="Q36" s="44">
        <f t="shared" si="12"/>
        <v>0</v>
      </c>
      <c r="R36" s="44">
        <f t="shared" si="3"/>
        <v>0</v>
      </c>
      <c r="S36" s="11">
        <f t="shared" si="13"/>
        <v>0</v>
      </c>
      <c r="U36" s="45"/>
      <c r="V36" s="44">
        <v>86</v>
      </c>
      <c r="X36" s="44" t="s">
        <v>83</v>
      </c>
      <c r="AE36" s="44">
        <v>0</v>
      </c>
      <c r="AK36" s="44">
        <f t="shared" si="5"/>
        <v>0</v>
      </c>
      <c r="AL36" s="44">
        <f t="shared" si="14"/>
        <v>0</v>
      </c>
      <c r="AM36" s="44">
        <f t="shared" si="15"/>
        <v>0</v>
      </c>
      <c r="AN36" s="44">
        <f t="shared" si="16"/>
        <v>0</v>
      </c>
      <c r="AO36" s="10">
        <f t="shared" si="9"/>
        <v>0</v>
      </c>
    </row>
    <row r="37" spans="1:41" s="44" customFormat="1">
      <c r="B37" s="44" t="s">
        <v>84</v>
      </c>
      <c r="I37" s="44">
        <v>47149</v>
      </c>
      <c r="O37" s="44">
        <f t="shared" si="10"/>
        <v>0</v>
      </c>
      <c r="P37" s="44">
        <f t="shared" si="11"/>
        <v>0</v>
      </c>
      <c r="Q37" s="44">
        <f t="shared" si="12"/>
        <v>47149</v>
      </c>
      <c r="R37" s="44">
        <f t="shared" si="3"/>
        <v>0</v>
      </c>
      <c r="S37" s="11">
        <f t="shared" si="13"/>
        <v>47149</v>
      </c>
      <c r="U37" s="45"/>
      <c r="V37" s="44">
        <v>1929</v>
      </c>
      <c r="X37" s="44" t="s">
        <v>84</v>
      </c>
      <c r="AE37" s="44">
        <v>2691</v>
      </c>
      <c r="AK37" s="44">
        <f t="shared" si="5"/>
        <v>0</v>
      </c>
      <c r="AL37" s="44">
        <f t="shared" si="14"/>
        <v>0</v>
      </c>
      <c r="AM37" s="44">
        <f t="shared" si="15"/>
        <v>2691</v>
      </c>
      <c r="AN37" s="44">
        <f t="shared" si="16"/>
        <v>0</v>
      </c>
      <c r="AO37" s="10">
        <f t="shared" si="9"/>
        <v>2691</v>
      </c>
    </row>
    <row r="38" spans="1:41" s="44" customFormat="1">
      <c r="B38" s="44" t="s">
        <v>85</v>
      </c>
      <c r="I38" s="44">
        <v>203359</v>
      </c>
      <c r="O38" s="44">
        <f t="shared" si="10"/>
        <v>0</v>
      </c>
      <c r="P38" s="44">
        <f t="shared" si="11"/>
        <v>0</v>
      </c>
      <c r="Q38" s="44">
        <f t="shared" si="12"/>
        <v>203359</v>
      </c>
      <c r="R38" s="44">
        <f t="shared" si="3"/>
        <v>0</v>
      </c>
      <c r="S38" s="11">
        <f t="shared" si="13"/>
        <v>203359</v>
      </c>
      <c r="U38" s="45"/>
      <c r="V38" s="44">
        <v>5865</v>
      </c>
      <c r="X38" s="44" t="s">
        <v>85</v>
      </c>
      <c r="AE38" s="44">
        <v>13258</v>
      </c>
      <c r="AK38" s="44">
        <f t="shared" si="5"/>
        <v>0</v>
      </c>
      <c r="AL38" s="44">
        <f t="shared" si="14"/>
        <v>0</v>
      </c>
      <c r="AM38" s="44">
        <f t="shared" si="15"/>
        <v>13258</v>
      </c>
      <c r="AN38" s="44">
        <f t="shared" si="16"/>
        <v>0</v>
      </c>
      <c r="AO38" s="10">
        <f t="shared" si="9"/>
        <v>13258</v>
      </c>
    </row>
    <row r="39" spans="1:41" s="44" customFormat="1">
      <c r="B39" s="44" t="s">
        <v>73</v>
      </c>
      <c r="C39" s="44">
        <v>4364</v>
      </c>
      <c r="D39" s="44">
        <v>169809</v>
      </c>
      <c r="E39" s="44">
        <v>174230</v>
      </c>
      <c r="F39" s="44">
        <v>97594</v>
      </c>
      <c r="G39" s="44">
        <v>46586</v>
      </c>
      <c r="H39" s="44">
        <v>32602</v>
      </c>
      <c r="I39" s="44">
        <v>55727</v>
      </c>
      <c r="O39" s="44">
        <f t="shared" si="10"/>
        <v>348403</v>
      </c>
      <c r="P39" s="44">
        <f t="shared" si="11"/>
        <v>176782</v>
      </c>
      <c r="Q39" s="44">
        <f t="shared" si="12"/>
        <v>55727</v>
      </c>
      <c r="R39" s="44">
        <f t="shared" si="3"/>
        <v>0</v>
      </c>
      <c r="S39" s="11">
        <f t="shared" si="13"/>
        <v>580912</v>
      </c>
      <c r="T39" s="44">
        <v>3184</v>
      </c>
      <c r="U39" s="44">
        <v>3211</v>
      </c>
      <c r="V39" s="44">
        <v>3225</v>
      </c>
      <c r="X39" s="44" t="s">
        <v>73</v>
      </c>
      <c r="Y39" s="44">
        <v>844</v>
      </c>
      <c r="Z39" s="44">
        <v>78753</v>
      </c>
      <c r="AA39" s="44">
        <v>288387</v>
      </c>
      <c r="AB39" s="44">
        <v>47941</v>
      </c>
      <c r="AC39" s="44">
        <v>3870</v>
      </c>
      <c r="AD39" s="44">
        <v>2621</v>
      </c>
      <c r="AE39" s="44">
        <v>8249</v>
      </c>
      <c r="AK39" s="44">
        <f t="shared" si="5"/>
        <v>367984</v>
      </c>
      <c r="AL39" s="44">
        <f t="shared" si="14"/>
        <v>54432</v>
      </c>
      <c r="AM39" s="44">
        <f t="shared" si="15"/>
        <v>8249</v>
      </c>
      <c r="AN39" s="44">
        <f t="shared" si="16"/>
        <v>0</v>
      </c>
      <c r="AO39" s="10">
        <f t="shared" si="9"/>
        <v>430665</v>
      </c>
    </row>
    <row r="40" spans="1:41" s="44" customFormat="1">
      <c r="B40" s="44" t="s">
        <v>74</v>
      </c>
      <c r="C40" s="44">
        <v>25370</v>
      </c>
      <c r="D40" s="44">
        <v>36024</v>
      </c>
      <c r="E40" s="44">
        <v>114605</v>
      </c>
      <c r="F40" s="44">
        <v>138040</v>
      </c>
      <c r="G40" s="44">
        <v>54202</v>
      </c>
      <c r="H40" s="44">
        <v>53509</v>
      </c>
      <c r="I40" s="44">
        <v>57087</v>
      </c>
      <c r="O40" s="44">
        <f t="shared" si="10"/>
        <v>175999</v>
      </c>
      <c r="P40" s="44">
        <f t="shared" si="11"/>
        <v>245751</v>
      </c>
      <c r="Q40" s="44">
        <f t="shared" si="12"/>
        <v>57087</v>
      </c>
      <c r="R40" s="44">
        <f t="shared" si="3"/>
        <v>0</v>
      </c>
      <c r="S40" s="11">
        <f t="shared" si="13"/>
        <v>478837</v>
      </c>
      <c r="T40" s="44">
        <v>1539</v>
      </c>
      <c r="U40" s="45">
        <v>1670</v>
      </c>
      <c r="V40" s="44">
        <v>1683</v>
      </c>
      <c r="X40" s="44" t="s">
        <v>74</v>
      </c>
      <c r="Y40" s="44">
        <v>1584</v>
      </c>
      <c r="Z40" s="44">
        <v>2767</v>
      </c>
      <c r="AA40" s="44">
        <v>53693</v>
      </c>
      <c r="AB40" s="44">
        <v>29527</v>
      </c>
      <c r="AC40" s="44">
        <v>40125</v>
      </c>
      <c r="AD40" s="44">
        <v>22108</v>
      </c>
      <c r="AE40" s="44">
        <v>10071</v>
      </c>
      <c r="AK40" s="44">
        <f t="shared" si="5"/>
        <v>58044</v>
      </c>
      <c r="AL40" s="44">
        <f t="shared" si="14"/>
        <v>91760</v>
      </c>
      <c r="AM40" s="44">
        <f t="shared" si="15"/>
        <v>10071</v>
      </c>
      <c r="AN40" s="44">
        <f t="shared" si="16"/>
        <v>0</v>
      </c>
      <c r="AO40" s="10">
        <f t="shared" si="9"/>
        <v>159875</v>
      </c>
    </row>
    <row r="41" spans="1:41" s="44" customFormat="1">
      <c r="B41" s="44" t="s">
        <v>86</v>
      </c>
      <c r="I41" s="44">
        <v>14551</v>
      </c>
      <c r="O41" s="44">
        <f t="shared" si="10"/>
        <v>0</v>
      </c>
      <c r="P41" s="44">
        <f t="shared" si="11"/>
        <v>0</v>
      </c>
      <c r="Q41" s="44">
        <f t="shared" si="12"/>
        <v>14551</v>
      </c>
      <c r="R41" s="44">
        <f t="shared" si="3"/>
        <v>0</v>
      </c>
      <c r="S41" s="11">
        <f t="shared" si="13"/>
        <v>14551</v>
      </c>
      <c r="U41" s="45"/>
      <c r="V41" s="44">
        <v>220</v>
      </c>
      <c r="X41" s="44" t="s">
        <v>86</v>
      </c>
      <c r="AE41" s="44">
        <v>746</v>
      </c>
      <c r="AK41" s="44">
        <f t="shared" si="5"/>
        <v>0</v>
      </c>
      <c r="AL41" s="44">
        <f t="shared" si="14"/>
        <v>0</v>
      </c>
      <c r="AM41" s="44">
        <f t="shared" si="15"/>
        <v>746</v>
      </c>
      <c r="AN41" s="44">
        <f t="shared" si="16"/>
        <v>0</v>
      </c>
      <c r="AO41" s="10">
        <f t="shared" si="9"/>
        <v>746</v>
      </c>
    </row>
    <row r="42" spans="1:41" s="44" customFormat="1">
      <c r="B42" s="44" t="s">
        <v>87</v>
      </c>
      <c r="I42" s="44">
        <v>0</v>
      </c>
      <c r="O42" s="44">
        <f t="shared" si="10"/>
        <v>0</v>
      </c>
      <c r="P42" s="44">
        <f t="shared" si="11"/>
        <v>0</v>
      </c>
      <c r="Q42" s="44">
        <f t="shared" si="12"/>
        <v>0</v>
      </c>
      <c r="R42" s="44">
        <f t="shared" si="3"/>
        <v>0</v>
      </c>
      <c r="S42" s="11">
        <f t="shared" si="13"/>
        <v>0</v>
      </c>
      <c r="U42" s="45"/>
      <c r="V42" s="44">
        <v>4944</v>
      </c>
      <c r="X42" s="44" t="s">
        <v>87</v>
      </c>
      <c r="AE42" s="44">
        <v>0</v>
      </c>
      <c r="AK42" s="44">
        <f t="shared" si="5"/>
        <v>0</v>
      </c>
      <c r="AL42" s="44">
        <f t="shared" si="14"/>
        <v>0</v>
      </c>
      <c r="AM42" s="44">
        <f t="shared" si="15"/>
        <v>0</v>
      </c>
      <c r="AN42" s="44">
        <f t="shared" si="16"/>
        <v>0</v>
      </c>
      <c r="AO42" s="10">
        <f t="shared" si="9"/>
        <v>0</v>
      </c>
    </row>
    <row r="43" spans="1:41" s="44" customFormat="1">
      <c r="B43" s="44" t="s">
        <v>88</v>
      </c>
      <c r="I43" s="44">
        <v>54602</v>
      </c>
      <c r="O43" s="44">
        <f t="shared" si="10"/>
        <v>0</v>
      </c>
      <c r="P43" s="44">
        <f t="shared" si="11"/>
        <v>0</v>
      </c>
      <c r="Q43" s="44">
        <f t="shared" si="12"/>
        <v>54602</v>
      </c>
      <c r="R43" s="44">
        <f t="shared" si="3"/>
        <v>0</v>
      </c>
      <c r="S43" s="11">
        <f t="shared" si="13"/>
        <v>54602</v>
      </c>
      <c r="U43" s="45"/>
      <c r="V43" s="44">
        <v>3516</v>
      </c>
      <c r="X43" s="44" t="s">
        <v>88</v>
      </c>
      <c r="AE43" s="44">
        <v>3009</v>
      </c>
      <c r="AK43" s="44">
        <f t="shared" si="5"/>
        <v>0</v>
      </c>
      <c r="AL43" s="44">
        <f>SUM(AB43:AD43)</f>
        <v>0</v>
      </c>
      <c r="AM43" s="44">
        <f t="shared" si="15"/>
        <v>3009</v>
      </c>
      <c r="AN43" s="44">
        <f t="shared" si="16"/>
        <v>0</v>
      </c>
      <c r="AO43" s="10">
        <f t="shared" si="9"/>
        <v>3009</v>
      </c>
    </row>
    <row r="44" spans="1:41" s="44" customFormat="1">
      <c r="B44" s="44" t="s">
        <v>75</v>
      </c>
      <c r="C44" s="44">
        <v>19001</v>
      </c>
      <c r="D44" s="44">
        <v>26093</v>
      </c>
      <c r="E44" s="44">
        <v>236478</v>
      </c>
      <c r="F44" s="44">
        <v>37440</v>
      </c>
      <c r="G44" s="44">
        <v>40349</v>
      </c>
      <c r="H44" s="44">
        <v>36527</v>
      </c>
      <c r="I44" s="44">
        <v>51214</v>
      </c>
      <c r="O44" s="44">
        <f t="shared" si="10"/>
        <v>281572</v>
      </c>
      <c r="P44" s="44">
        <f t="shared" si="11"/>
        <v>114316</v>
      </c>
      <c r="Q44" s="44">
        <f t="shared" si="12"/>
        <v>51214</v>
      </c>
      <c r="R44" s="44">
        <f t="shared" si="3"/>
        <v>0</v>
      </c>
      <c r="S44" s="11">
        <f t="shared" si="13"/>
        <v>447102</v>
      </c>
      <c r="T44" s="44">
        <v>550</v>
      </c>
      <c r="U44" s="45">
        <v>601</v>
      </c>
      <c r="V44" s="44">
        <v>617</v>
      </c>
      <c r="X44" s="44" t="s">
        <v>75</v>
      </c>
      <c r="Y44" s="44">
        <v>1210</v>
      </c>
      <c r="Z44" s="44">
        <v>1844</v>
      </c>
      <c r="AA44" s="44">
        <v>68292</v>
      </c>
      <c r="AB44" s="44">
        <v>5766</v>
      </c>
      <c r="AC44" s="44">
        <v>5115</v>
      </c>
      <c r="AD44" s="44">
        <v>4052</v>
      </c>
      <c r="AE44" s="44">
        <v>6636</v>
      </c>
      <c r="AK44" s="44">
        <f t="shared" si="5"/>
        <v>71346</v>
      </c>
      <c r="AL44" s="44">
        <f t="shared" si="14"/>
        <v>14933</v>
      </c>
      <c r="AM44" s="44">
        <f t="shared" si="15"/>
        <v>6636</v>
      </c>
      <c r="AN44" s="44">
        <f t="shared" si="16"/>
        <v>0</v>
      </c>
      <c r="AO44" s="10">
        <f t="shared" si="9"/>
        <v>92915</v>
      </c>
    </row>
    <row r="45" spans="1:41" s="44" customFormat="1">
      <c r="B45" s="44" t="s">
        <v>89</v>
      </c>
      <c r="I45" s="44">
        <v>24249</v>
      </c>
      <c r="O45" s="44">
        <f t="shared" si="10"/>
        <v>0</v>
      </c>
      <c r="P45" s="44">
        <f t="shared" si="11"/>
        <v>0</v>
      </c>
      <c r="Q45" s="44">
        <f t="shared" si="12"/>
        <v>24249</v>
      </c>
      <c r="R45" s="44">
        <f t="shared" si="3"/>
        <v>0</v>
      </c>
      <c r="S45" s="11">
        <f t="shared" si="13"/>
        <v>24249</v>
      </c>
      <c r="U45" s="45"/>
      <c r="V45" s="44">
        <v>1941</v>
      </c>
      <c r="X45" s="44" t="s">
        <v>89</v>
      </c>
      <c r="AE45" s="44">
        <v>2371</v>
      </c>
      <c r="AK45" s="44">
        <f t="shared" si="5"/>
        <v>0</v>
      </c>
      <c r="AL45" s="44">
        <f t="shared" si="14"/>
        <v>0</v>
      </c>
      <c r="AM45" s="44">
        <f t="shared" si="15"/>
        <v>2371</v>
      </c>
      <c r="AN45" s="44">
        <f t="shared" si="16"/>
        <v>0</v>
      </c>
      <c r="AO45" s="10">
        <f t="shared" si="9"/>
        <v>2371</v>
      </c>
    </row>
    <row r="46" spans="1:41" s="44" customFormat="1">
      <c r="B46" s="44" t="s">
        <v>90</v>
      </c>
      <c r="I46" s="44">
        <v>70890</v>
      </c>
      <c r="O46" s="44">
        <f t="shared" si="10"/>
        <v>0</v>
      </c>
      <c r="P46" s="44">
        <f t="shared" si="11"/>
        <v>0</v>
      </c>
      <c r="Q46" s="44">
        <f t="shared" si="12"/>
        <v>70890</v>
      </c>
      <c r="R46" s="44">
        <f t="shared" si="3"/>
        <v>0</v>
      </c>
      <c r="S46" s="11">
        <f t="shared" si="13"/>
        <v>70890</v>
      </c>
      <c r="U46" s="45"/>
      <c r="V46" s="44">
        <v>4872</v>
      </c>
      <c r="X46" s="44" t="s">
        <v>90</v>
      </c>
      <c r="AE46" s="44">
        <v>6227</v>
      </c>
      <c r="AK46" s="44">
        <f t="shared" si="5"/>
        <v>0</v>
      </c>
      <c r="AL46" s="44">
        <f t="shared" si="14"/>
        <v>0</v>
      </c>
      <c r="AM46" s="44">
        <f t="shared" si="15"/>
        <v>6227</v>
      </c>
      <c r="AN46" s="44">
        <f t="shared" si="16"/>
        <v>0</v>
      </c>
      <c r="AO46" s="10">
        <f t="shared" si="9"/>
        <v>6227</v>
      </c>
    </row>
    <row r="47" spans="1:41" s="44" customFormat="1">
      <c r="B47" s="44" t="s">
        <v>91</v>
      </c>
      <c r="I47" s="44">
        <v>140583</v>
      </c>
      <c r="O47" s="44">
        <f t="shared" si="10"/>
        <v>0</v>
      </c>
      <c r="P47" s="44">
        <f t="shared" si="11"/>
        <v>0</v>
      </c>
      <c r="Q47" s="44">
        <f t="shared" si="12"/>
        <v>140583</v>
      </c>
      <c r="R47" s="44">
        <f t="shared" si="3"/>
        <v>0</v>
      </c>
      <c r="S47" s="11">
        <f t="shared" si="13"/>
        <v>140583</v>
      </c>
      <c r="U47" s="45"/>
      <c r="V47" s="44">
        <v>3697</v>
      </c>
      <c r="X47" s="44" t="s">
        <v>91</v>
      </c>
      <c r="AE47" s="44">
        <v>1850</v>
      </c>
      <c r="AK47" s="44">
        <f t="shared" si="5"/>
        <v>0</v>
      </c>
      <c r="AL47" s="44">
        <f t="shared" si="14"/>
        <v>0</v>
      </c>
      <c r="AM47" s="44">
        <f t="shared" si="15"/>
        <v>1850</v>
      </c>
      <c r="AN47" s="44">
        <f t="shared" si="16"/>
        <v>0</v>
      </c>
      <c r="AO47" s="10">
        <f t="shared" si="9"/>
        <v>1850</v>
      </c>
    </row>
    <row r="48" spans="1:41">
      <c r="A48" s="44"/>
      <c r="B48" s="44" t="s">
        <v>92</v>
      </c>
      <c r="C48" s="44"/>
      <c r="D48" s="44"/>
      <c r="E48" s="44"/>
      <c r="F48" s="44"/>
      <c r="G48" s="44"/>
      <c r="H48" s="44"/>
      <c r="I48" s="44">
        <v>82378</v>
      </c>
      <c r="J48" s="44"/>
      <c r="K48" s="44"/>
      <c r="L48" s="44"/>
      <c r="M48" s="44"/>
      <c r="N48" s="44"/>
      <c r="O48" s="44">
        <f t="shared" si="10"/>
        <v>0</v>
      </c>
      <c r="P48" s="44">
        <f t="shared" si="11"/>
        <v>0</v>
      </c>
      <c r="Q48" s="44">
        <f t="shared" si="12"/>
        <v>82378</v>
      </c>
      <c r="R48" s="44">
        <f t="shared" si="3"/>
        <v>0</v>
      </c>
      <c r="S48" s="11">
        <f t="shared" si="13"/>
        <v>82378</v>
      </c>
      <c r="T48" s="44"/>
      <c r="U48" s="44"/>
      <c r="V48" s="44">
        <v>4480</v>
      </c>
      <c r="W48" s="44"/>
      <c r="X48" s="44" t="s">
        <v>92</v>
      </c>
      <c r="Y48" s="44"/>
      <c r="Z48" s="44"/>
      <c r="AA48" s="44"/>
      <c r="AB48" s="44"/>
      <c r="AC48" s="44"/>
      <c r="AD48" s="44"/>
      <c r="AE48" s="44">
        <v>12128</v>
      </c>
      <c r="AF48" s="44"/>
      <c r="AG48" s="44"/>
      <c r="AH48" s="44"/>
      <c r="AI48" s="44"/>
      <c r="AJ48" s="44"/>
      <c r="AK48" s="44">
        <f t="shared" si="5"/>
        <v>0</v>
      </c>
      <c r="AL48" s="44">
        <f t="shared" si="14"/>
        <v>0</v>
      </c>
      <c r="AM48" s="44">
        <f t="shared" si="15"/>
        <v>12128</v>
      </c>
      <c r="AN48" s="44">
        <f t="shared" si="16"/>
        <v>0</v>
      </c>
      <c r="AO48" s="10">
        <f t="shared" si="9"/>
        <v>12128</v>
      </c>
    </row>
    <row r="49" spans="1:41" ht="51.6" customHeight="1">
      <c r="N49" s="6" t="s">
        <v>33</v>
      </c>
      <c r="O49" s="7">
        <f>SUM(O4:O48)</f>
        <v>54986230</v>
      </c>
      <c r="P49" s="7">
        <f t="shared" ref="P49:R49" si="17">SUM(P4:P48)</f>
        <v>52066131</v>
      </c>
      <c r="Q49" s="7">
        <f t="shared" si="17"/>
        <v>16643812</v>
      </c>
      <c r="R49" s="7">
        <f t="shared" si="17"/>
        <v>0</v>
      </c>
      <c r="S49" s="8">
        <f>SUM(S4:S48)</f>
        <v>123696173</v>
      </c>
      <c r="T49" s="7">
        <f t="shared" ref="T49" si="18">SUM(T4:T48)</f>
        <v>358260</v>
      </c>
      <c r="U49" s="7">
        <f t="shared" ref="U49" si="19">SUM(U4:U48)</f>
        <v>350272</v>
      </c>
      <c r="V49" s="7">
        <f>SUM(V4:V48)</f>
        <v>553655</v>
      </c>
      <c r="W49" s="7">
        <f t="shared" ref="W49" si="20">SUM(W4:W48)</f>
        <v>0</v>
      </c>
      <c r="X49" s="7"/>
      <c r="Y49" s="7">
        <f>SUM(Y4:Y48)</f>
        <v>3272162</v>
      </c>
      <c r="Z49" s="7">
        <f>SUM(Z4:Z48)</f>
        <v>3105628</v>
      </c>
      <c r="AA49" s="7">
        <f t="shared" ref="AA49" si="21">SUM(AA4:AA48)</f>
        <v>5161698</v>
      </c>
      <c r="AB49" s="7">
        <f t="shared" ref="AB49" si="22">SUM(AB4:AB48)</f>
        <v>3940547</v>
      </c>
      <c r="AC49" s="7">
        <f>SUM(AC4:AC48)</f>
        <v>3414301</v>
      </c>
      <c r="AD49" s="7">
        <f>SUM(AD4:AD48)</f>
        <v>1945859</v>
      </c>
      <c r="AE49" s="7">
        <f t="shared" ref="AE49:AI49" si="23">SUM(AE4:AE48)</f>
        <v>4052838</v>
      </c>
      <c r="AF49" s="7">
        <f t="shared" si="23"/>
        <v>0</v>
      </c>
      <c r="AG49" s="7">
        <f t="shared" si="23"/>
        <v>0</v>
      </c>
      <c r="AH49" s="7">
        <f t="shared" si="23"/>
        <v>0</v>
      </c>
      <c r="AI49" s="7">
        <f t="shared" si="23"/>
        <v>0</v>
      </c>
      <c r="AJ49" s="7">
        <f>SUM(AJ4:AJ48)</f>
        <v>0</v>
      </c>
      <c r="AK49" s="8">
        <f>SUM(AK4:AK48)</f>
        <v>11539488</v>
      </c>
      <c r="AL49" s="8">
        <f t="shared" ref="AL49:AM49" si="24">SUM(AL4:AL48)</f>
        <v>9300707</v>
      </c>
      <c r="AM49" s="8">
        <f t="shared" si="24"/>
        <v>4052838</v>
      </c>
      <c r="AN49" s="8">
        <f>SUM(AN4:AN48)</f>
        <v>0</v>
      </c>
      <c r="AO49" s="8">
        <f>SUM(AO4:AO48)</f>
        <v>24893033</v>
      </c>
    </row>
    <row r="50" spans="1:41">
      <c r="S50" s="11">
        <f t="shared" si="4"/>
        <v>0</v>
      </c>
    </row>
    <row r="51" spans="1:41">
      <c r="I51" s="14"/>
      <c r="S51" s="11">
        <f t="shared" si="4"/>
        <v>0</v>
      </c>
    </row>
    <row r="52" spans="1:41" ht="72">
      <c r="B52" s="12">
        <v>2026</v>
      </c>
      <c r="C52" s="12" t="s">
        <v>0</v>
      </c>
      <c r="D52" s="12" t="s">
        <v>1</v>
      </c>
      <c r="E52" s="12" t="s">
        <v>2</v>
      </c>
      <c r="F52" s="12" t="s">
        <v>3</v>
      </c>
      <c r="G52" s="12" t="s">
        <v>4</v>
      </c>
      <c r="H52" s="12" t="s">
        <v>5</v>
      </c>
      <c r="I52" s="12" t="s">
        <v>6</v>
      </c>
      <c r="J52" s="12" t="s">
        <v>7</v>
      </c>
      <c r="K52" s="12" t="s">
        <v>8</v>
      </c>
      <c r="L52" s="12" t="s">
        <v>9</v>
      </c>
      <c r="M52" s="12" t="s">
        <v>10</v>
      </c>
      <c r="N52" s="12" t="s">
        <v>11</v>
      </c>
      <c r="O52" s="13" t="s">
        <v>43</v>
      </c>
      <c r="P52" s="13" t="s">
        <v>44</v>
      </c>
      <c r="Q52" s="13" t="s">
        <v>45</v>
      </c>
      <c r="R52" s="13" t="s">
        <v>46</v>
      </c>
      <c r="S52" s="11">
        <f t="shared" si="4"/>
        <v>0</v>
      </c>
      <c r="T52" s="13" t="s">
        <v>39</v>
      </c>
      <c r="U52" s="13" t="s">
        <v>40</v>
      </c>
      <c r="V52" s="13" t="s">
        <v>41</v>
      </c>
      <c r="W52" s="13" t="s">
        <v>42</v>
      </c>
      <c r="X52" s="13"/>
    </row>
    <row r="53" spans="1:41">
      <c r="A53" s="12" t="s">
        <v>57</v>
      </c>
      <c r="B53" s="12" t="s">
        <v>20</v>
      </c>
      <c r="C53" s="12">
        <v>886252</v>
      </c>
      <c r="D53" s="12">
        <v>789101</v>
      </c>
      <c r="E53" s="12">
        <v>676127</v>
      </c>
      <c r="F53" s="12">
        <v>328622</v>
      </c>
      <c r="G53" s="12">
        <v>238177</v>
      </c>
      <c r="H53" s="12">
        <v>230988</v>
      </c>
      <c r="I53" s="12">
        <v>237921</v>
      </c>
      <c r="O53" s="12">
        <f t="shared" ref="O53:O72" si="25">SUM(C53:E53)</f>
        <v>2351480</v>
      </c>
      <c r="P53" s="12">
        <f t="shared" ref="P53:P72" si="26">SUM(F53:H53)</f>
        <v>797787</v>
      </c>
      <c r="Q53" s="12">
        <f>SUM(I53:K53)</f>
        <v>237921</v>
      </c>
      <c r="R53" s="12">
        <f>SUM(L53:N53)</f>
        <v>0</v>
      </c>
      <c r="S53" s="11">
        <f>SUM(O53:R53)</f>
        <v>3387188</v>
      </c>
      <c r="T53" s="12">
        <v>12289</v>
      </c>
      <c r="U53" s="12">
        <v>11870</v>
      </c>
      <c r="V53" s="12">
        <v>11835</v>
      </c>
      <c r="X53" s="12" t="s">
        <v>20</v>
      </c>
    </row>
    <row r="54" spans="1:41">
      <c r="B54" s="12" t="s">
        <v>21</v>
      </c>
      <c r="C54" s="12">
        <v>575206</v>
      </c>
      <c r="D54" s="12">
        <v>516211</v>
      </c>
      <c r="E54" s="12">
        <v>467208</v>
      </c>
      <c r="F54" s="12">
        <v>211786</v>
      </c>
      <c r="G54" s="12">
        <v>140545</v>
      </c>
      <c r="H54" s="12">
        <v>174925</v>
      </c>
      <c r="I54" s="12">
        <v>170004</v>
      </c>
      <c r="O54" s="12">
        <f t="shared" si="25"/>
        <v>1558625</v>
      </c>
      <c r="P54" s="12">
        <f t="shared" si="26"/>
        <v>527256</v>
      </c>
      <c r="Q54" s="12">
        <f t="shared" ref="Q54:Q72" si="27">SUM(I54:K54)</f>
        <v>170004</v>
      </c>
      <c r="R54" s="12">
        <f t="shared" ref="R54:R72" si="28">SUM(L54:N54)</f>
        <v>0</v>
      </c>
      <c r="S54" s="11">
        <f t="shared" ref="S54:S72" si="29">SUM(O54:R54)</f>
        <v>2255885</v>
      </c>
      <c r="T54" s="12">
        <v>4949</v>
      </c>
      <c r="U54" s="12">
        <v>4879</v>
      </c>
      <c r="V54" s="12">
        <v>4845</v>
      </c>
      <c r="X54" s="12" t="s">
        <v>21</v>
      </c>
    </row>
    <row r="55" spans="1:41">
      <c r="B55" s="12" t="s">
        <v>22</v>
      </c>
      <c r="C55" s="12">
        <v>20484</v>
      </c>
      <c r="D55" s="12">
        <v>25482</v>
      </c>
      <c r="E55" s="12">
        <v>51901</v>
      </c>
      <c r="F55" s="12">
        <v>7240</v>
      </c>
      <c r="G55" s="12">
        <v>7440</v>
      </c>
      <c r="H55" s="12">
        <v>6074</v>
      </c>
      <c r="I55" s="12">
        <v>9204</v>
      </c>
      <c r="O55" s="12">
        <f t="shared" si="25"/>
        <v>97867</v>
      </c>
      <c r="P55" s="12">
        <f t="shared" si="26"/>
        <v>20754</v>
      </c>
      <c r="Q55" s="12">
        <f t="shared" si="27"/>
        <v>9204</v>
      </c>
      <c r="R55" s="12">
        <f t="shared" si="28"/>
        <v>0</v>
      </c>
      <c r="S55" s="11">
        <f t="shared" si="29"/>
        <v>127825</v>
      </c>
      <c r="T55" s="12">
        <v>906</v>
      </c>
      <c r="U55" s="12">
        <v>880</v>
      </c>
      <c r="V55" s="12">
        <v>875</v>
      </c>
      <c r="X55" s="12" t="s">
        <v>22</v>
      </c>
    </row>
    <row r="56" spans="1:41">
      <c r="B56" s="12" t="s">
        <v>30</v>
      </c>
      <c r="C56" s="12">
        <v>69447</v>
      </c>
      <c r="D56" s="12">
        <v>92927</v>
      </c>
      <c r="E56" s="12">
        <v>75985</v>
      </c>
      <c r="F56" s="12">
        <v>48906</v>
      </c>
      <c r="G56" s="12">
        <v>34918</v>
      </c>
      <c r="H56" s="12">
        <v>47358</v>
      </c>
      <c r="I56" s="12">
        <v>34295</v>
      </c>
      <c r="O56" s="12">
        <f t="shared" si="25"/>
        <v>238359</v>
      </c>
      <c r="P56" s="12">
        <f t="shared" si="26"/>
        <v>131182</v>
      </c>
      <c r="Q56" s="12">
        <f t="shared" si="27"/>
        <v>34295</v>
      </c>
      <c r="R56" s="12">
        <f t="shared" si="28"/>
        <v>0</v>
      </c>
      <c r="S56" s="11">
        <f t="shared" si="29"/>
        <v>403836</v>
      </c>
      <c r="T56" s="12">
        <v>2498</v>
      </c>
      <c r="U56" s="12">
        <v>2498</v>
      </c>
      <c r="V56" s="12">
        <v>2504</v>
      </c>
      <c r="X56" s="12" t="s">
        <v>30</v>
      </c>
    </row>
    <row r="57" spans="1:41">
      <c r="B57" s="12" t="s">
        <v>76</v>
      </c>
      <c r="C57" s="12">
        <v>51759</v>
      </c>
      <c r="D57" s="12">
        <v>84475</v>
      </c>
      <c r="E57" s="12">
        <v>66502</v>
      </c>
      <c r="F57" s="12">
        <v>35132</v>
      </c>
      <c r="G57" s="12">
        <v>31558</v>
      </c>
      <c r="H57" s="12">
        <v>25021</v>
      </c>
      <c r="I57" s="12">
        <v>20844</v>
      </c>
      <c r="O57" s="12">
        <f t="shared" si="25"/>
        <v>202736</v>
      </c>
      <c r="P57" s="12">
        <f t="shared" si="26"/>
        <v>91711</v>
      </c>
      <c r="Q57" s="12">
        <f t="shared" si="27"/>
        <v>20844</v>
      </c>
      <c r="R57" s="12">
        <f t="shared" si="28"/>
        <v>0</v>
      </c>
      <c r="S57" s="11">
        <f t="shared" si="29"/>
        <v>315291</v>
      </c>
      <c r="T57" s="12">
        <v>727</v>
      </c>
      <c r="U57" s="12">
        <v>699</v>
      </c>
      <c r="V57" s="12">
        <v>697</v>
      </c>
      <c r="X57" s="12" t="s">
        <v>76</v>
      </c>
    </row>
    <row r="58" spans="1:41">
      <c r="B58" s="12" t="s">
        <v>79</v>
      </c>
      <c r="C58" s="12">
        <v>90227</v>
      </c>
      <c r="D58" s="12">
        <v>74687</v>
      </c>
      <c r="E58" s="12">
        <v>53276</v>
      </c>
      <c r="F58" s="12">
        <v>49483</v>
      </c>
      <c r="G58" s="12">
        <v>55183</v>
      </c>
      <c r="H58" s="12">
        <v>36539</v>
      </c>
      <c r="I58" s="12">
        <v>135069</v>
      </c>
      <c r="O58" s="12">
        <f t="shared" si="25"/>
        <v>218190</v>
      </c>
      <c r="P58" s="12">
        <f t="shared" si="26"/>
        <v>141205</v>
      </c>
      <c r="Q58" s="12">
        <f t="shared" si="27"/>
        <v>135069</v>
      </c>
      <c r="R58" s="12">
        <f t="shared" si="28"/>
        <v>0</v>
      </c>
      <c r="S58" s="11">
        <f t="shared" si="29"/>
        <v>494464</v>
      </c>
      <c r="T58" s="12">
        <v>16681</v>
      </c>
      <c r="U58" s="12">
        <v>14419</v>
      </c>
      <c r="V58" s="12">
        <v>14061</v>
      </c>
      <c r="X58" s="12" t="s">
        <v>79</v>
      </c>
    </row>
    <row r="59" spans="1:41">
      <c r="B59" s="12" t="s">
        <v>80</v>
      </c>
      <c r="C59" s="12">
        <v>51950</v>
      </c>
      <c r="D59" s="12">
        <v>14556</v>
      </c>
      <c r="E59" s="12">
        <v>9726</v>
      </c>
      <c r="F59" s="12">
        <v>55707</v>
      </c>
      <c r="G59" s="12">
        <v>35416</v>
      </c>
      <c r="H59" s="12">
        <v>3698</v>
      </c>
      <c r="I59" s="12">
        <v>16029</v>
      </c>
      <c r="O59" s="12">
        <f t="shared" si="25"/>
        <v>76232</v>
      </c>
      <c r="P59" s="12">
        <f t="shared" si="26"/>
        <v>94821</v>
      </c>
      <c r="Q59" s="12">
        <f t="shared" si="27"/>
        <v>16029</v>
      </c>
      <c r="R59" s="12">
        <f t="shared" si="28"/>
        <v>0</v>
      </c>
      <c r="S59" s="11">
        <f t="shared" si="29"/>
        <v>187082</v>
      </c>
      <c r="T59" s="12">
        <v>10663</v>
      </c>
      <c r="U59" s="12">
        <v>8889</v>
      </c>
      <c r="V59" s="12">
        <v>8768</v>
      </c>
      <c r="X59" s="12" t="s">
        <v>80</v>
      </c>
    </row>
    <row r="60" spans="1:41">
      <c r="B60" s="12" t="s">
        <v>83</v>
      </c>
      <c r="I60" s="12">
        <v>269960</v>
      </c>
      <c r="O60" s="12">
        <f t="shared" si="25"/>
        <v>0</v>
      </c>
      <c r="P60" s="12">
        <f t="shared" si="26"/>
        <v>0</v>
      </c>
      <c r="Q60" s="12">
        <f t="shared" si="27"/>
        <v>269960</v>
      </c>
      <c r="R60" s="12">
        <f t="shared" si="28"/>
        <v>0</v>
      </c>
      <c r="S60" s="11">
        <f t="shared" si="29"/>
        <v>269960</v>
      </c>
      <c r="V60" s="12">
        <v>10898</v>
      </c>
      <c r="X60" s="12" t="s">
        <v>83</v>
      </c>
    </row>
    <row r="61" spans="1:41">
      <c r="B61" s="12" t="s">
        <v>84</v>
      </c>
      <c r="I61" s="12">
        <v>105173</v>
      </c>
      <c r="O61" s="12">
        <f t="shared" si="25"/>
        <v>0</v>
      </c>
      <c r="P61" s="12">
        <f t="shared" si="26"/>
        <v>0</v>
      </c>
      <c r="Q61" s="12">
        <f t="shared" si="27"/>
        <v>105173</v>
      </c>
      <c r="R61" s="12">
        <f t="shared" si="28"/>
        <v>0</v>
      </c>
      <c r="S61" s="11">
        <f t="shared" si="29"/>
        <v>105173</v>
      </c>
      <c r="V61" s="12">
        <v>4182</v>
      </c>
      <c r="X61" s="12" t="s">
        <v>84</v>
      </c>
    </row>
    <row r="62" spans="1:41">
      <c r="B62" s="12" t="s">
        <v>85</v>
      </c>
      <c r="I62" s="12">
        <v>183372</v>
      </c>
      <c r="O62" s="12">
        <f t="shared" si="25"/>
        <v>0</v>
      </c>
      <c r="P62" s="12">
        <f t="shared" si="26"/>
        <v>0</v>
      </c>
      <c r="Q62" s="12">
        <f t="shared" si="27"/>
        <v>183372</v>
      </c>
      <c r="R62" s="12">
        <f t="shared" si="28"/>
        <v>0</v>
      </c>
      <c r="S62" s="11">
        <f t="shared" si="29"/>
        <v>183372</v>
      </c>
      <c r="V62" s="12">
        <v>5593</v>
      </c>
      <c r="X62" s="12" t="s">
        <v>85</v>
      </c>
    </row>
    <row r="63" spans="1:41">
      <c r="B63" s="12" t="s">
        <v>73</v>
      </c>
      <c r="C63" s="12">
        <v>973820</v>
      </c>
      <c r="D63" s="12">
        <v>813071</v>
      </c>
      <c r="E63" s="12">
        <v>761476</v>
      </c>
      <c r="F63" s="12">
        <v>378182</v>
      </c>
      <c r="G63" s="12">
        <v>387642</v>
      </c>
      <c r="H63" s="12">
        <v>332255</v>
      </c>
      <c r="I63" s="12">
        <v>266604</v>
      </c>
      <c r="O63" s="12">
        <f t="shared" si="25"/>
        <v>2548367</v>
      </c>
      <c r="P63" s="12">
        <f t="shared" si="26"/>
        <v>1098079</v>
      </c>
      <c r="Q63" s="12">
        <f t="shared" si="27"/>
        <v>266604</v>
      </c>
      <c r="R63" s="12">
        <f t="shared" si="28"/>
        <v>0</v>
      </c>
      <c r="S63" s="11">
        <f t="shared" si="29"/>
        <v>3913050</v>
      </c>
      <c r="T63" s="12">
        <v>11009</v>
      </c>
      <c r="U63" s="12">
        <v>10554</v>
      </c>
      <c r="V63" s="12">
        <v>10528</v>
      </c>
      <c r="X63" s="12" t="s">
        <v>73</v>
      </c>
    </row>
    <row r="64" spans="1:41">
      <c r="B64" s="12" t="s">
        <v>74</v>
      </c>
      <c r="C64" s="12">
        <v>305837</v>
      </c>
      <c r="D64" s="12">
        <v>262569</v>
      </c>
      <c r="E64" s="12">
        <v>250159</v>
      </c>
      <c r="F64" s="12">
        <v>107422</v>
      </c>
      <c r="G64" s="12">
        <v>95404</v>
      </c>
      <c r="H64" s="12">
        <v>77715</v>
      </c>
      <c r="I64" s="12">
        <v>67312</v>
      </c>
      <c r="O64" s="12">
        <f t="shared" si="25"/>
        <v>818565</v>
      </c>
      <c r="P64" s="12">
        <f t="shared" si="26"/>
        <v>280541</v>
      </c>
      <c r="Q64" s="12">
        <f t="shared" si="27"/>
        <v>67312</v>
      </c>
      <c r="R64" s="12">
        <f t="shared" si="28"/>
        <v>0</v>
      </c>
      <c r="S64" s="11">
        <f t="shared" si="29"/>
        <v>1166418</v>
      </c>
      <c r="T64" s="12">
        <v>2448</v>
      </c>
      <c r="U64" s="12">
        <v>2360</v>
      </c>
      <c r="V64" s="12">
        <v>2341</v>
      </c>
      <c r="X64" s="12" t="s">
        <v>74</v>
      </c>
    </row>
    <row r="65" spans="1:24">
      <c r="B65" s="12" t="s">
        <v>86</v>
      </c>
      <c r="I65" s="12">
        <v>27928</v>
      </c>
      <c r="O65" s="12">
        <f t="shared" si="25"/>
        <v>0</v>
      </c>
      <c r="P65" s="12">
        <f t="shared" si="26"/>
        <v>0</v>
      </c>
      <c r="Q65" s="12">
        <f t="shared" si="27"/>
        <v>27928</v>
      </c>
      <c r="R65" s="12">
        <f t="shared" si="28"/>
        <v>0</v>
      </c>
      <c r="S65" s="11">
        <f t="shared" si="29"/>
        <v>27928</v>
      </c>
      <c r="V65" s="12">
        <v>1390</v>
      </c>
      <c r="X65" s="12" t="s">
        <v>86</v>
      </c>
    </row>
    <row r="66" spans="1:24">
      <c r="B66" s="12" t="s">
        <v>87</v>
      </c>
      <c r="I66" s="12">
        <v>101565</v>
      </c>
      <c r="O66" s="12">
        <f t="shared" si="25"/>
        <v>0</v>
      </c>
      <c r="P66" s="12">
        <f t="shared" si="26"/>
        <v>0</v>
      </c>
      <c r="Q66" s="12">
        <f>SUM(I66:K66)</f>
        <v>101565</v>
      </c>
      <c r="R66" s="12">
        <f t="shared" si="28"/>
        <v>0</v>
      </c>
      <c r="S66" s="11">
        <f t="shared" si="29"/>
        <v>101565</v>
      </c>
      <c r="V66" s="12">
        <v>5761</v>
      </c>
      <c r="X66" s="12" t="s">
        <v>87</v>
      </c>
    </row>
    <row r="67" spans="1:24">
      <c r="B67" s="12" t="s">
        <v>88</v>
      </c>
      <c r="I67" s="12">
        <v>24189</v>
      </c>
      <c r="O67" s="12">
        <f t="shared" si="25"/>
        <v>0</v>
      </c>
      <c r="P67" s="12">
        <f t="shared" si="26"/>
        <v>0</v>
      </c>
      <c r="Q67" s="12">
        <f t="shared" si="27"/>
        <v>24189</v>
      </c>
      <c r="R67" s="12">
        <f t="shared" si="28"/>
        <v>0</v>
      </c>
      <c r="S67" s="11">
        <f t="shared" si="29"/>
        <v>24189</v>
      </c>
      <c r="V67" s="12">
        <v>1850</v>
      </c>
      <c r="X67" s="12" t="s">
        <v>88</v>
      </c>
    </row>
    <row r="68" spans="1:24">
      <c r="B68" s="12" t="s">
        <v>75</v>
      </c>
      <c r="C68" s="12">
        <v>57810</v>
      </c>
      <c r="D68" s="12">
        <v>56473</v>
      </c>
      <c r="E68" s="12">
        <v>46525</v>
      </c>
      <c r="F68" s="12">
        <v>23176</v>
      </c>
      <c r="G68" s="12">
        <v>20591</v>
      </c>
      <c r="H68" s="12">
        <v>17899</v>
      </c>
      <c r="I68" s="12">
        <v>14823</v>
      </c>
      <c r="O68" s="12">
        <f t="shared" si="25"/>
        <v>160808</v>
      </c>
      <c r="P68" s="12">
        <f t="shared" si="26"/>
        <v>61666</v>
      </c>
      <c r="Q68" s="12">
        <f t="shared" si="27"/>
        <v>14823</v>
      </c>
      <c r="R68" s="12">
        <f t="shared" si="28"/>
        <v>0</v>
      </c>
      <c r="S68" s="11">
        <f t="shared" si="29"/>
        <v>237297</v>
      </c>
      <c r="T68" s="12">
        <v>919</v>
      </c>
      <c r="U68" s="12">
        <v>889</v>
      </c>
      <c r="V68" s="12">
        <v>883</v>
      </c>
      <c r="X68" s="12" t="s">
        <v>75</v>
      </c>
    </row>
    <row r="69" spans="1:24">
      <c r="B69" s="12" t="s">
        <v>89</v>
      </c>
      <c r="I69" s="12">
        <v>15606</v>
      </c>
      <c r="O69" s="12">
        <f t="shared" si="25"/>
        <v>0</v>
      </c>
      <c r="P69" s="12">
        <f>SUM(F69:H69)</f>
        <v>0</v>
      </c>
      <c r="Q69" s="12">
        <f t="shared" si="27"/>
        <v>15606</v>
      </c>
      <c r="R69" s="12">
        <f t="shared" si="28"/>
        <v>0</v>
      </c>
      <c r="S69" s="11">
        <f t="shared" si="29"/>
        <v>15606</v>
      </c>
      <c r="V69" s="12">
        <v>880</v>
      </c>
      <c r="X69" s="12" t="s">
        <v>89</v>
      </c>
    </row>
    <row r="70" spans="1:24">
      <c r="B70" s="12" t="s">
        <v>90</v>
      </c>
      <c r="I70" s="12">
        <v>27311</v>
      </c>
      <c r="O70" s="12">
        <f t="shared" si="25"/>
        <v>0</v>
      </c>
      <c r="P70" s="12">
        <f t="shared" si="26"/>
        <v>0</v>
      </c>
      <c r="Q70" s="12">
        <f t="shared" si="27"/>
        <v>27311</v>
      </c>
      <c r="R70" s="12">
        <f t="shared" si="28"/>
        <v>0</v>
      </c>
      <c r="S70" s="11">
        <f t="shared" si="29"/>
        <v>27311</v>
      </c>
      <c r="V70" s="12">
        <v>1189</v>
      </c>
      <c r="X70" s="12" t="s">
        <v>90</v>
      </c>
    </row>
    <row r="71" spans="1:24">
      <c r="B71" s="12" t="s">
        <v>91</v>
      </c>
      <c r="I71" s="12">
        <v>98745</v>
      </c>
      <c r="O71" s="12">
        <f t="shared" si="25"/>
        <v>0</v>
      </c>
      <c r="P71" s="12">
        <f t="shared" si="26"/>
        <v>0</v>
      </c>
      <c r="Q71" s="12">
        <f t="shared" si="27"/>
        <v>98745</v>
      </c>
      <c r="R71" s="12">
        <f t="shared" si="28"/>
        <v>0</v>
      </c>
      <c r="S71" s="11">
        <f t="shared" si="29"/>
        <v>98745</v>
      </c>
      <c r="V71" s="12">
        <v>4471</v>
      </c>
      <c r="X71" s="12" t="s">
        <v>91</v>
      </c>
    </row>
    <row r="72" spans="1:24">
      <c r="B72" s="12" t="s">
        <v>92</v>
      </c>
      <c r="I72" s="12">
        <v>179856</v>
      </c>
      <c r="O72" s="12">
        <f t="shared" si="25"/>
        <v>0</v>
      </c>
      <c r="P72" s="12">
        <f t="shared" si="26"/>
        <v>0</v>
      </c>
      <c r="Q72" s="12">
        <f t="shared" si="27"/>
        <v>179856</v>
      </c>
      <c r="R72" s="12">
        <f t="shared" si="28"/>
        <v>0</v>
      </c>
      <c r="S72" s="11">
        <f t="shared" si="29"/>
        <v>179856</v>
      </c>
      <c r="V72" s="12">
        <v>5692</v>
      </c>
      <c r="X72" s="12" t="s">
        <v>92</v>
      </c>
    </row>
    <row r="73" spans="1:24" ht="57.6">
      <c r="B73" s="13"/>
      <c r="N73" s="6" t="s">
        <v>35</v>
      </c>
      <c r="O73" s="7">
        <f>SUM(O53:O72)</f>
        <v>8271229</v>
      </c>
      <c r="P73" s="7">
        <f t="shared" ref="P73:R73" si="30">SUM(P53:P72)</f>
        <v>3245002</v>
      </c>
      <c r="Q73" s="7">
        <f t="shared" si="30"/>
        <v>2005810</v>
      </c>
      <c r="R73" s="7">
        <f t="shared" si="30"/>
        <v>0</v>
      </c>
      <c r="S73" s="11">
        <f>SUM(O73:R73)</f>
        <v>13522041</v>
      </c>
      <c r="T73" s="7">
        <f>SUM(T53:T72)</f>
        <v>63089</v>
      </c>
      <c r="U73" s="7">
        <f t="shared" ref="U73:W73" si="31">SUM(U53:U72)</f>
        <v>57937</v>
      </c>
      <c r="V73" s="7">
        <f>SUM(V53:V72)</f>
        <v>99243</v>
      </c>
      <c r="W73" s="7">
        <f t="shared" si="31"/>
        <v>0</v>
      </c>
      <c r="X73" s="7"/>
    </row>
    <row r="74" spans="1:24" ht="72">
      <c r="B74" s="41"/>
      <c r="C74" s="41"/>
      <c r="D74" s="41"/>
      <c r="N74" s="9" t="s">
        <v>34</v>
      </c>
      <c r="O74" s="11">
        <f>SUM(O73+O49)</f>
        <v>63257459</v>
      </c>
      <c r="P74" s="11">
        <f>SUM(P73+P49)</f>
        <v>55311133</v>
      </c>
      <c r="Q74" s="11">
        <f>SUM(Q73+Q49)</f>
        <v>18649622</v>
      </c>
      <c r="R74" s="11">
        <f>SUM(R73+R49)</f>
        <v>0</v>
      </c>
      <c r="S74" s="11">
        <f>SUM(O74:R74)</f>
        <v>137218214</v>
      </c>
      <c r="T74" s="11">
        <f>SUM(T49+T73)</f>
        <v>421349</v>
      </c>
      <c r="U74" s="11">
        <f>SUM(U49+U73)</f>
        <v>408209</v>
      </c>
      <c r="V74" s="11">
        <f>SUM(V49+V73)</f>
        <v>652898</v>
      </c>
      <c r="W74" s="11">
        <f>SUM(W49+W73)</f>
        <v>0</v>
      </c>
      <c r="X74" s="11"/>
    </row>
    <row r="75" spans="1:24">
      <c r="B75" s="41"/>
      <c r="C75" s="41"/>
      <c r="D75" s="41"/>
    </row>
    <row r="76" spans="1:24" ht="72">
      <c r="A76" s="12" t="s">
        <v>93</v>
      </c>
      <c r="B76" s="12">
        <v>2026</v>
      </c>
      <c r="C76" s="12" t="s">
        <v>0</v>
      </c>
      <c r="D76" s="12" t="s">
        <v>1</v>
      </c>
      <c r="E76" s="12" t="s">
        <v>2</v>
      </c>
      <c r="F76" s="12" t="s">
        <v>3</v>
      </c>
      <c r="G76" s="12" t="s">
        <v>4</v>
      </c>
      <c r="H76" s="12" t="s">
        <v>5</v>
      </c>
      <c r="I76" s="12" t="s">
        <v>6</v>
      </c>
      <c r="J76" s="12" t="s">
        <v>7</v>
      </c>
      <c r="K76" s="12" t="s">
        <v>8</v>
      </c>
      <c r="L76" s="12" t="s">
        <v>9</v>
      </c>
      <c r="M76" s="12" t="s">
        <v>10</v>
      </c>
      <c r="N76" s="12" t="s">
        <v>11</v>
      </c>
      <c r="O76" s="13" t="s">
        <v>43</v>
      </c>
      <c r="P76" s="13" t="s">
        <v>44</v>
      </c>
      <c r="Q76" s="13" t="s">
        <v>45</v>
      </c>
      <c r="R76" s="13" t="s">
        <v>46</v>
      </c>
      <c r="S76" s="11">
        <f t="shared" ref="S76" si="32">SUM(O76:R76)</f>
        <v>0</v>
      </c>
      <c r="T76" s="13" t="s">
        <v>39</v>
      </c>
      <c r="U76" s="13" t="s">
        <v>40</v>
      </c>
      <c r="V76" s="13" t="s">
        <v>41</v>
      </c>
      <c r="W76" s="13" t="s">
        <v>42</v>
      </c>
      <c r="X76" s="13"/>
    </row>
    <row r="77" spans="1:24">
      <c r="B77" s="12" t="s">
        <v>20</v>
      </c>
      <c r="O77" s="12">
        <f>SUM(C77:E77)</f>
        <v>0</v>
      </c>
      <c r="P77" s="12">
        <f t="shared" ref="P77:P92" si="33">SUM(F77:H77)</f>
        <v>0</v>
      </c>
      <c r="Q77" s="12">
        <f>SUM(I77:K77)</f>
        <v>0</v>
      </c>
      <c r="R77" s="12">
        <f>SUM(L77:N77)</f>
        <v>0</v>
      </c>
      <c r="S77" s="11">
        <f>SUM(O77:R77)</f>
        <v>0</v>
      </c>
      <c r="X77" s="12" t="s">
        <v>20</v>
      </c>
    </row>
    <row r="78" spans="1:24">
      <c r="B78" s="12" t="s">
        <v>21</v>
      </c>
      <c r="O78" s="12">
        <f t="shared" ref="O78:O96" si="34">SUM(C78:E78)</f>
        <v>0</v>
      </c>
      <c r="P78" s="12">
        <f t="shared" si="33"/>
        <v>0</v>
      </c>
      <c r="Q78" s="12">
        <f t="shared" ref="Q78:Q89" si="35">SUM(I78:K78)</f>
        <v>0</v>
      </c>
      <c r="R78" s="12">
        <f t="shared" ref="R78:R96" si="36">SUM(L78:N78)</f>
        <v>0</v>
      </c>
      <c r="S78" s="11">
        <f t="shared" ref="S78:S96" si="37">SUM(O78:R78)</f>
        <v>0</v>
      </c>
      <c r="X78" s="12" t="s">
        <v>21</v>
      </c>
    </row>
    <row r="79" spans="1:24">
      <c r="B79" s="12" t="s">
        <v>22</v>
      </c>
      <c r="O79" s="12">
        <f t="shared" si="34"/>
        <v>0</v>
      </c>
      <c r="P79" s="12">
        <f t="shared" si="33"/>
        <v>0</v>
      </c>
      <c r="Q79" s="12">
        <f t="shared" si="35"/>
        <v>0</v>
      </c>
      <c r="R79" s="12">
        <f t="shared" si="36"/>
        <v>0</v>
      </c>
      <c r="S79" s="11">
        <f t="shared" si="37"/>
        <v>0</v>
      </c>
      <c r="X79" s="12" t="s">
        <v>22</v>
      </c>
    </row>
    <row r="80" spans="1:24">
      <c r="B80" s="12" t="s">
        <v>30</v>
      </c>
      <c r="O80" s="12">
        <f t="shared" si="34"/>
        <v>0</v>
      </c>
      <c r="P80" s="12">
        <f t="shared" si="33"/>
        <v>0</v>
      </c>
      <c r="Q80" s="12">
        <f t="shared" si="35"/>
        <v>0</v>
      </c>
      <c r="R80" s="12">
        <f t="shared" si="36"/>
        <v>0</v>
      </c>
      <c r="S80" s="11">
        <f t="shared" si="37"/>
        <v>0</v>
      </c>
      <c r="X80" s="12" t="s">
        <v>30</v>
      </c>
    </row>
    <row r="81" spans="2:24">
      <c r="B81" s="12" t="s">
        <v>76</v>
      </c>
      <c r="O81" s="12">
        <f t="shared" si="34"/>
        <v>0</v>
      </c>
      <c r="P81" s="12">
        <f t="shared" si="33"/>
        <v>0</v>
      </c>
      <c r="Q81" s="12">
        <f t="shared" si="35"/>
        <v>0</v>
      </c>
      <c r="R81" s="12">
        <f t="shared" si="36"/>
        <v>0</v>
      </c>
      <c r="S81" s="11">
        <f t="shared" si="37"/>
        <v>0</v>
      </c>
      <c r="X81" s="12" t="s">
        <v>76</v>
      </c>
    </row>
    <row r="82" spans="2:24">
      <c r="B82" s="12" t="s">
        <v>79</v>
      </c>
      <c r="O82" s="12">
        <f t="shared" si="34"/>
        <v>0</v>
      </c>
      <c r="P82" s="12">
        <f t="shared" si="33"/>
        <v>0</v>
      </c>
      <c r="Q82" s="12">
        <f t="shared" si="35"/>
        <v>0</v>
      </c>
      <c r="R82" s="12">
        <f t="shared" si="36"/>
        <v>0</v>
      </c>
      <c r="S82" s="11">
        <f t="shared" si="37"/>
        <v>0</v>
      </c>
      <c r="X82" s="12" t="s">
        <v>79</v>
      </c>
    </row>
    <row r="83" spans="2:24">
      <c r="B83" s="12" t="s">
        <v>80</v>
      </c>
      <c r="O83" s="12">
        <f t="shared" si="34"/>
        <v>0</v>
      </c>
      <c r="P83" s="12">
        <f t="shared" si="33"/>
        <v>0</v>
      </c>
      <c r="Q83" s="12">
        <f t="shared" si="35"/>
        <v>0</v>
      </c>
      <c r="R83" s="12">
        <f t="shared" si="36"/>
        <v>0</v>
      </c>
      <c r="S83" s="11">
        <f t="shared" si="37"/>
        <v>0</v>
      </c>
      <c r="X83" s="12" t="s">
        <v>80</v>
      </c>
    </row>
    <row r="84" spans="2:24">
      <c r="B84" s="12" t="s">
        <v>83</v>
      </c>
      <c r="O84" s="12">
        <f t="shared" si="34"/>
        <v>0</v>
      </c>
      <c r="P84" s="12">
        <f t="shared" si="33"/>
        <v>0</v>
      </c>
      <c r="Q84" s="12">
        <f t="shared" si="35"/>
        <v>0</v>
      </c>
      <c r="R84" s="12">
        <f t="shared" si="36"/>
        <v>0</v>
      </c>
      <c r="S84" s="11">
        <f t="shared" si="37"/>
        <v>0</v>
      </c>
      <c r="X84" s="12" t="s">
        <v>83</v>
      </c>
    </row>
    <row r="85" spans="2:24">
      <c r="B85" s="12" t="s">
        <v>84</v>
      </c>
      <c r="O85" s="12">
        <f t="shared" si="34"/>
        <v>0</v>
      </c>
      <c r="P85" s="12">
        <f t="shared" si="33"/>
        <v>0</v>
      </c>
      <c r="Q85" s="12">
        <f t="shared" si="35"/>
        <v>0</v>
      </c>
      <c r="R85" s="12">
        <f t="shared" si="36"/>
        <v>0</v>
      </c>
      <c r="S85" s="11">
        <f t="shared" si="37"/>
        <v>0</v>
      </c>
      <c r="X85" s="12" t="s">
        <v>84</v>
      </c>
    </row>
    <row r="86" spans="2:24">
      <c r="B86" s="12" t="s">
        <v>85</v>
      </c>
      <c r="O86" s="12">
        <f t="shared" si="34"/>
        <v>0</v>
      </c>
      <c r="P86" s="12">
        <f t="shared" si="33"/>
        <v>0</v>
      </c>
      <c r="Q86" s="12">
        <f t="shared" si="35"/>
        <v>0</v>
      </c>
      <c r="R86" s="12">
        <f t="shared" si="36"/>
        <v>0</v>
      </c>
      <c r="S86" s="11">
        <f t="shared" si="37"/>
        <v>0</v>
      </c>
      <c r="X86" s="12" t="s">
        <v>85</v>
      </c>
    </row>
    <row r="87" spans="2:24">
      <c r="B87" s="12" t="s">
        <v>73</v>
      </c>
      <c r="O87" s="12">
        <f t="shared" si="34"/>
        <v>0</v>
      </c>
      <c r="P87" s="12">
        <f t="shared" si="33"/>
        <v>0</v>
      </c>
      <c r="Q87" s="12">
        <f t="shared" si="35"/>
        <v>0</v>
      </c>
      <c r="R87" s="12">
        <f t="shared" si="36"/>
        <v>0</v>
      </c>
      <c r="S87" s="11">
        <f t="shared" si="37"/>
        <v>0</v>
      </c>
      <c r="X87" s="12" t="s">
        <v>73</v>
      </c>
    </row>
    <row r="88" spans="2:24">
      <c r="B88" s="12" t="s">
        <v>74</v>
      </c>
      <c r="O88" s="12">
        <f t="shared" si="34"/>
        <v>0</v>
      </c>
      <c r="P88" s="12">
        <f t="shared" si="33"/>
        <v>0</v>
      </c>
      <c r="Q88" s="12">
        <f t="shared" si="35"/>
        <v>0</v>
      </c>
      <c r="R88" s="12">
        <f t="shared" si="36"/>
        <v>0</v>
      </c>
      <c r="S88" s="11">
        <f t="shared" si="37"/>
        <v>0</v>
      </c>
      <c r="X88" s="12" t="s">
        <v>74</v>
      </c>
    </row>
    <row r="89" spans="2:24">
      <c r="B89" s="12" t="s">
        <v>86</v>
      </c>
      <c r="O89" s="12">
        <f t="shared" si="34"/>
        <v>0</v>
      </c>
      <c r="P89" s="12">
        <f t="shared" si="33"/>
        <v>0</v>
      </c>
      <c r="Q89" s="12">
        <f t="shared" si="35"/>
        <v>0</v>
      </c>
      <c r="R89" s="12">
        <f t="shared" si="36"/>
        <v>0</v>
      </c>
      <c r="S89" s="11">
        <f t="shared" si="37"/>
        <v>0</v>
      </c>
      <c r="X89" s="12" t="s">
        <v>86</v>
      </c>
    </row>
    <row r="90" spans="2:24">
      <c r="B90" s="12" t="s">
        <v>87</v>
      </c>
      <c r="O90" s="12">
        <f t="shared" si="34"/>
        <v>0</v>
      </c>
      <c r="P90" s="12">
        <f t="shared" si="33"/>
        <v>0</v>
      </c>
      <c r="Q90" s="12">
        <f>SUM(I90:K90)</f>
        <v>0</v>
      </c>
      <c r="R90" s="12">
        <f t="shared" si="36"/>
        <v>0</v>
      </c>
      <c r="S90" s="11">
        <f t="shared" si="37"/>
        <v>0</v>
      </c>
      <c r="X90" s="12" t="s">
        <v>87</v>
      </c>
    </row>
    <row r="91" spans="2:24">
      <c r="B91" s="12" t="s">
        <v>88</v>
      </c>
      <c r="O91" s="12">
        <f t="shared" si="34"/>
        <v>0</v>
      </c>
      <c r="P91" s="12">
        <f t="shared" si="33"/>
        <v>0</v>
      </c>
      <c r="Q91" s="12">
        <f t="shared" ref="Q91:Q96" si="38">SUM(I91:K91)</f>
        <v>0</v>
      </c>
      <c r="R91" s="12">
        <f t="shared" si="36"/>
        <v>0</v>
      </c>
      <c r="S91" s="11">
        <f t="shared" si="37"/>
        <v>0</v>
      </c>
      <c r="X91" s="12" t="s">
        <v>88</v>
      </c>
    </row>
    <row r="92" spans="2:24">
      <c r="B92" s="12" t="s">
        <v>75</v>
      </c>
      <c r="O92" s="12">
        <f t="shared" si="34"/>
        <v>0</v>
      </c>
      <c r="P92" s="12">
        <f t="shared" si="33"/>
        <v>0</v>
      </c>
      <c r="Q92" s="12">
        <f t="shared" si="38"/>
        <v>0</v>
      </c>
      <c r="R92" s="12">
        <f t="shared" si="36"/>
        <v>0</v>
      </c>
      <c r="S92" s="11">
        <f t="shared" si="37"/>
        <v>0</v>
      </c>
      <c r="X92" s="12" t="s">
        <v>75</v>
      </c>
    </row>
    <row r="93" spans="2:24">
      <c r="B93" s="12" t="s">
        <v>89</v>
      </c>
      <c r="O93" s="12">
        <f t="shared" si="34"/>
        <v>0</v>
      </c>
      <c r="P93" s="12">
        <f>SUM(F93:H93)</f>
        <v>0</v>
      </c>
      <c r="Q93" s="12">
        <f t="shared" si="38"/>
        <v>0</v>
      </c>
      <c r="R93" s="12">
        <f t="shared" si="36"/>
        <v>0</v>
      </c>
      <c r="S93" s="11">
        <f t="shared" si="37"/>
        <v>0</v>
      </c>
      <c r="X93" s="12" t="s">
        <v>89</v>
      </c>
    </row>
    <row r="94" spans="2:24">
      <c r="B94" s="12" t="s">
        <v>90</v>
      </c>
      <c r="O94" s="12">
        <f t="shared" si="34"/>
        <v>0</v>
      </c>
      <c r="P94" s="12">
        <f t="shared" ref="P94:P96" si="39">SUM(F94:H94)</f>
        <v>0</v>
      </c>
      <c r="Q94" s="12">
        <f t="shared" si="38"/>
        <v>0</v>
      </c>
      <c r="R94" s="12">
        <f t="shared" si="36"/>
        <v>0</v>
      </c>
      <c r="S94" s="11">
        <f t="shared" si="37"/>
        <v>0</v>
      </c>
      <c r="X94" s="12" t="s">
        <v>90</v>
      </c>
    </row>
    <row r="95" spans="2:24">
      <c r="B95" s="12" t="s">
        <v>91</v>
      </c>
      <c r="O95" s="12">
        <f t="shared" si="34"/>
        <v>0</v>
      </c>
      <c r="P95" s="12">
        <f t="shared" si="39"/>
        <v>0</v>
      </c>
      <c r="Q95" s="12">
        <f t="shared" si="38"/>
        <v>0</v>
      </c>
      <c r="R95" s="12">
        <f t="shared" si="36"/>
        <v>0</v>
      </c>
      <c r="S95" s="11">
        <f t="shared" si="37"/>
        <v>0</v>
      </c>
      <c r="X95" s="12" t="s">
        <v>91</v>
      </c>
    </row>
    <row r="96" spans="2:24">
      <c r="B96" s="12" t="s">
        <v>92</v>
      </c>
      <c r="O96" s="12">
        <f t="shared" si="34"/>
        <v>0</v>
      </c>
      <c r="P96" s="12">
        <f t="shared" si="39"/>
        <v>0</v>
      </c>
      <c r="Q96" s="12">
        <f t="shared" si="38"/>
        <v>0</v>
      </c>
      <c r="R96" s="12">
        <f t="shared" si="36"/>
        <v>0</v>
      </c>
      <c r="S96" s="11">
        <f t="shared" si="37"/>
        <v>0</v>
      </c>
      <c r="X96" s="12" t="s">
        <v>92</v>
      </c>
    </row>
    <row r="97" spans="2:24" ht="28.8">
      <c r="B97" s="13"/>
      <c r="N97" s="6" t="s">
        <v>94</v>
      </c>
      <c r="O97" s="7">
        <f>SUM(O77:O96)</f>
        <v>0</v>
      </c>
      <c r="P97" s="7">
        <f t="shared" ref="P97:R97" si="40">SUM(P77:P96)</f>
        <v>0</v>
      </c>
      <c r="Q97" s="7">
        <f t="shared" si="40"/>
        <v>0</v>
      </c>
      <c r="R97" s="7">
        <f t="shared" si="40"/>
        <v>0</v>
      </c>
      <c r="S97" s="11">
        <f>SUM(O97:R97)</f>
        <v>0</v>
      </c>
      <c r="T97" s="7">
        <f>SUM(T77:T96)</f>
        <v>0</v>
      </c>
      <c r="U97" s="7">
        <f t="shared" ref="U97" si="41">SUM(U77:U96)</f>
        <v>0</v>
      </c>
      <c r="V97" s="7">
        <f>SUM(V77:V96)</f>
        <v>0</v>
      </c>
      <c r="W97" s="7">
        <f t="shared" ref="W97" si="42">SUM(W77:W96)</f>
        <v>0</v>
      </c>
      <c r="X97" s="7"/>
    </row>
    <row r="98" spans="2:24" ht="72">
      <c r="B98" s="41"/>
      <c r="C98" s="41"/>
      <c r="D98" s="41"/>
      <c r="N98" s="9" t="s">
        <v>34</v>
      </c>
      <c r="O98" s="11">
        <f>SUM(O97+O74)</f>
        <v>63257459</v>
      </c>
      <c r="P98" s="11">
        <f>SUM(P97+P74)</f>
        <v>55311133</v>
      </c>
      <c r="Q98" s="11">
        <f>SUM(Q97+Q74)</f>
        <v>18649622</v>
      </c>
      <c r="R98" s="11">
        <f>SUM(R97+R74)</f>
        <v>0</v>
      </c>
      <c r="S98" s="11">
        <f>SUM(O98:R98)</f>
        <v>137218214</v>
      </c>
      <c r="T98" s="11">
        <f>SUM(T74+T97)</f>
        <v>421349</v>
      </c>
      <c r="U98" s="11">
        <f>SUM(U74+U97)</f>
        <v>408209</v>
      </c>
      <c r="V98" s="11">
        <f>SUM(V74+V97)</f>
        <v>652898</v>
      </c>
      <c r="W98" s="11">
        <f>SUM(W74+W97)</f>
        <v>0</v>
      </c>
      <c r="X98" s="1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4160-72FC-4564-86D4-74639A52F333}">
  <dimension ref="A1:AA44"/>
  <sheetViews>
    <sheetView workbookViewId="0">
      <selection activeCell="A20" sqref="A20"/>
    </sheetView>
  </sheetViews>
  <sheetFormatPr defaultRowHeight="14.4"/>
  <cols>
    <col min="1" max="1" width="8.88671875" style="12"/>
    <col min="2" max="2" width="18" style="12" customWidth="1"/>
    <col min="3" max="3" width="10.109375" style="12" bestFit="1" customWidth="1"/>
    <col min="4" max="4" width="10.109375" bestFit="1" customWidth="1"/>
    <col min="5" max="5" width="8.88671875" style="12"/>
    <col min="6" max="6" width="10.21875" style="30" bestFit="1" customWidth="1"/>
    <col min="7" max="7" width="9.21875" style="12" customWidth="1"/>
    <col min="8" max="9" width="8.88671875" style="12"/>
    <col min="10" max="10" width="11.6640625" style="12" customWidth="1"/>
    <col min="11" max="15" width="8.88671875" style="12"/>
    <col min="16" max="19" width="17.109375" style="12" customWidth="1"/>
    <col min="20" max="20" width="16.44140625" style="12" customWidth="1"/>
    <col min="21" max="21" width="14.109375" style="12" customWidth="1"/>
    <col min="22" max="22" width="9.88671875" style="12" bestFit="1" customWidth="1"/>
    <col min="23" max="23" width="9.6640625" style="12" customWidth="1"/>
    <col min="24" max="24" width="9.88671875" style="12" bestFit="1" customWidth="1"/>
    <col min="25" max="27" width="8.88671875" style="12"/>
  </cols>
  <sheetData>
    <row r="1" spans="1:27">
      <c r="D1" s="12"/>
    </row>
    <row r="2" spans="1:27" ht="72">
      <c r="C2" s="29">
        <v>45657</v>
      </c>
      <c r="D2" s="29">
        <v>45870</v>
      </c>
      <c r="E2" s="13" t="s">
        <v>68</v>
      </c>
      <c r="F2" s="35" t="s">
        <v>69</v>
      </c>
      <c r="G2" s="13" t="s">
        <v>70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>
      <c r="D3" s="12"/>
    </row>
    <row r="4" spans="1:27">
      <c r="A4" s="12" t="s">
        <v>31</v>
      </c>
      <c r="B4" s="12" t="s">
        <v>12</v>
      </c>
      <c r="C4" s="12">
        <v>77967</v>
      </c>
      <c r="D4" s="12">
        <v>80879</v>
      </c>
      <c r="E4" s="12">
        <f>D4-C4</f>
        <v>2912</v>
      </c>
      <c r="F4" s="30">
        <f>(D4*100/C4)-100</f>
        <v>3.7349134890402382</v>
      </c>
      <c r="G4" s="30">
        <f>E4/D4*100</f>
        <v>3.6004401637013315</v>
      </c>
      <c r="T4" s="14"/>
      <c r="U4" s="14"/>
      <c r="W4" s="14"/>
      <c r="X4" s="14"/>
    </row>
    <row r="5" spans="1:27">
      <c r="B5" s="12" t="s">
        <v>13</v>
      </c>
      <c r="C5" s="12">
        <v>25016</v>
      </c>
      <c r="D5" s="12">
        <v>26693</v>
      </c>
      <c r="E5" s="12">
        <f t="shared" ref="E5:E18" si="0">D5-C5</f>
        <v>1677</v>
      </c>
      <c r="F5" s="30">
        <f t="shared" ref="F5:F33" si="1">(D5*100/C5)-100</f>
        <v>6.7037096258394655</v>
      </c>
      <c r="G5" s="30">
        <f t="shared" ref="G5:G18" si="2">E5/D5*100</f>
        <v>6.2825459858389845</v>
      </c>
      <c r="T5" s="14"/>
      <c r="U5" s="14"/>
      <c r="W5" s="14"/>
      <c r="X5" s="14"/>
    </row>
    <row r="6" spans="1:27">
      <c r="B6" s="12" t="s">
        <v>55</v>
      </c>
      <c r="C6" s="12">
        <v>4996</v>
      </c>
      <c r="D6" s="12">
        <v>4994</v>
      </c>
      <c r="E6" s="12">
        <f t="shared" si="0"/>
        <v>-2</v>
      </c>
      <c r="F6" s="30">
        <f t="shared" si="1"/>
        <v>-4.0032025620490685E-2</v>
      </c>
      <c r="G6" s="30">
        <f t="shared" si="2"/>
        <v>-4.0048057669203045E-2</v>
      </c>
      <c r="T6" s="14"/>
      <c r="U6" s="14"/>
      <c r="W6" s="14"/>
      <c r="X6" s="14"/>
    </row>
    <row r="7" spans="1:27">
      <c r="B7" s="12" t="s">
        <v>14</v>
      </c>
      <c r="C7" s="12">
        <v>23221</v>
      </c>
      <c r="D7" s="12">
        <v>23389</v>
      </c>
      <c r="E7" s="12">
        <f t="shared" si="0"/>
        <v>168</v>
      </c>
      <c r="F7" s="30">
        <f t="shared" si="1"/>
        <v>0.72348305413203207</v>
      </c>
      <c r="G7" s="30">
        <f t="shared" si="2"/>
        <v>0.71828637393646588</v>
      </c>
      <c r="T7" s="14"/>
      <c r="U7" s="14"/>
      <c r="W7" s="14"/>
      <c r="X7" s="14"/>
    </row>
    <row r="8" spans="1:27">
      <c r="A8" s="15"/>
      <c r="B8" s="15" t="s">
        <v>18</v>
      </c>
      <c r="C8" s="23">
        <v>10303</v>
      </c>
      <c r="D8" s="23">
        <v>11458</v>
      </c>
      <c r="E8" s="15">
        <f t="shared" si="0"/>
        <v>1155</v>
      </c>
      <c r="F8" s="36">
        <f t="shared" si="1"/>
        <v>11.210327089197321</v>
      </c>
      <c r="G8" s="36">
        <f t="shared" si="2"/>
        <v>10.080293244894396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23"/>
      <c r="U8" s="23"/>
      <c r="V8" s="15"/>
      <c r="W8" s="23"/>
      <c r="X8" s="23"/>
      <c r="Y8" s="23"/>
      <c r="Z8" s="23"/>
      <c r="AA8" s="23"/>
    </row>
    <row r="9" spans="1:27">
      <c r="A9" s="25"/>
      <c r="B9" s="25" t="s">
        <v>51</v>
      </c>
      <c r="C9" s="26">
        <v>7946</v>
      </c>
      <c r="D9" s="26">
        <v>9870</v>
      </c>
      <c r="E9" s="37">
        <f t="shared" si="0"/>
        <v>1924</v>
      </c>
      <c r="F9" s="38">
        <f t="shared" si="1"/>
        <v>24.213440724893033</v>
      </c>
      <c r="G9" s="38">
        <f t="shared" si="2"/>
        <v>19.493414387031407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/>
      <c r="U9" s="26"/>
      <c r="V9" s="25"/>
      <c r="W9" s="26"/>
      <c r="X9" s="26"/>
      <c r="Y9" s="26"/>
      <c r="Z9" s="26"/>
      <c r="AA9" s="26"/>
    </row>
    <row r="10" spans="1:27">
      <c r="A10" s="17"/>
      <c r="B10" s="17" t="s">
        <v>26</v>
      </c>
      <c r="C10" s="24">
        <v>7705</v>
      </c>
      <c r="D10" s="24">
        <v>8136</v>
      </c>
      <c r="E10" s="17">
        <f t="shared" si="0"/>
        <v>431</v>
      </c>
      <c r="F10" s="39">
        <f t="shared" si="1"/>
        <v>5.5937702790395889</v>
      </c>
      <c r="G10" s="39">
        <f t="shared" si="2"/>
        <v>5.2974434611602756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4"/>
      <c r="U10" s="24"/>
      <c r="V10" s="17"/>
      <c r="W10" s="24"/>
      <c r="X10" s="24"/>
      <c r="Y10" s="24"/>
      <c r="Z10" s="17"/>
      <c r="AA10" s="24"/>
    </row>
    <row r="11" spans="1:27">
      <c r="B11" s="12" t="s">
        <v>52</v>
      </c>
      <c r="C11" s="14">
        <v>4764</v>
      </c>
      <c r="D11" s="14">
        <v>5504</v>
      </c>
      <c r="E11" s="12">
        <f t="shared" si="0"/>
        <v>740</v>
      </c>
      <c r="F11" s="30">
        <f t="shared" si="1"/>
        <v>15.533165407220821</v>
      </c>
      <c r="G11" s="30">
        <f t="shared" si="2"/>
        <v>13.444767441860463</v>
      </c>
      <c r="T11" s="14"/>
      <c r="U11" s="14"/>
      <c r="W11" s="14"/>
      <c r="X11" s="14"/>
      <c r="Y11" s="14"/>
      <c r="AA11" s="14"/>
    </row>
    <row r="12" spans="1:27">
      <c r="B12" s="18" t="s">
        <v>53</v>
      </c>
      <c r="C12" s="14">
        <v>1953</v>
      </c>
      <c r="D12" s="14">
        <v>2215</v>
      </c>
      <c r="E12" s="12">
        <f t="shared" si="0"/>
        <v>262</v>
      </c>
      <c r="F12" s="30">
        <f t="shared" si="1"/>
        <v>13.415258576548894</v>
      </c>
      <c r="G12" s="30">
        <f t="shared" si="2"/>
        <v>11.82844243792325</v>
      </c>
      <c r="T12" s="14"/>
      <c r="U12" s="14"/>
      <c r="W12" s="14"/>
      <c r="X12" s="14"/>
      <c r="Y12" s="14"/>
      <c r="AA12" s="14"/>
    </row>
    <row r="13" spans="1:27">
      <c r="B13" s="12" t="s">
        <v>54</v>
      </c>
      <c r="C13" s="14">
        <v>4019</v>
      </c>
      <c r="D13" s="14">
        <v>5346</v>
      </c>
      <c r="E13" s="12">
        <f t="shared" si="0"/>
        <v>1327</v>
      </c>
      <c r="F13" s="30">
        <f t="shared" si="1"/>
        <v>33.018163722318974</v>
      </c>
      <c r="G13" s="30">
        <f t="shared" si="2"/>
        <v>24.822297044519267</v>
      </c>
      <c r="T13" s="14"/>
      <c r="U13" s="14"/>
      <c r="W13" s="14"/>
      <c r="X13" s="14"/>
      <c r="Y13" s="14"/>
      <c r="AA13" s="14"/>
    </row>
    <row r="14" spans="1:27">
      <c r="A14" s="19" t="s">
        <v>32</v>
      </c>
      <c r="B14" s="19" t="s">
        <v>15</v>
      </c>
      <c r="C14" s="19">
        <v>29266</v>
      </c>
      <c r="D14" s="19">
        <v>30571</v>
      </c>
      <c r="E14" s="19">
        <f t="shared" si="0"/>
        <v>1305</v>
      </c>
      <c r="F14" s="40">
        <f t="shared" si="1"/>
        <v>4.4590992961115319</v>
      </c>
      <c r="G14" s="40">
        <f t="shared" si="2"/>
        <v>4.2687514310948282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0"/>
      <c r="U14" s="20"/>
      <c r="V14" s="20"/>
      <c r="W14" s="20"/>
      <c r="X14" s="20"/>
      <c r="Y14" s="19"/>
      <c r="Z14" s="19"/>
      <c r="AA14" s="19"/>
    </row>
    <row r="15" spans="1:27">
      <c r="A15" s="19"/>
      <c r="B15" s="19" t="s">
        <v>16</v>
      </c>
      <c r="C15" s="19">
        <v>19818</v>
      </c>
      <c r="D15" s="19">
        <v>20749</v>
      </c>
      <c r="E15" s="19">
        <f t="shared" si="0"/>
        <v>931</v>
      </c>
      <c r="F15" s="40">
        <f t="shared" si="1"/>
        <v>4.6977495206377995</v>
      </c>
      <c r="G15" s="40">
        <f t="shared" si="2"/>
        <v>4.4869632271434767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  <c r="U15" s="20"/>
      <c r="V15" s="20"/>
      <c r="W15" s="20"/>
      <c r="X15" s="20"/>
      <c r="Y15" s="19"/>
      <c r="Z15" s="19"/>
      <c r="AA15" s="19"/>
    </row>
    <row r="16" spans="1:27">
      <c r="A16" s="19"/>
      <c r="B16" s="19" t="s">
        <v>17</v>
      </c>
      <c r="C16" s="19">
        <v>8292</v>
      </c>
      <c r="D16" s="19">
        <v>8620</v>
      </c>
      <c r="E16" s="19">
        <f t="shared" si="0"/>
        <v>328</v>
      </c>
      <c r="F16" s="40">
        <f t="shared" si="1"/>
        <v>3.9556198745779056</v>
      </c>
      <c r="G16" s="40">
        <f t="shared" si="2"/>
        <v>3.8051044083526686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0"/>
      <c r="U16" s="21"/>
      <c r="V16" s="20"/>
      <c r="W16" s="20"/>
      <c r="X16" s="20"/>
      <c r="Y16" s="19"/>
      <c r="Z16" s="20"/>
      <c r="AA16" s="19"/>
    </row>
    <row r="17" spans="1:27">
      <c r="A17" s="19"/>
      <c r="B17" s="19" t="s">
        <v>52</v>
      </c>
      <c r="C17" s="19">
        <v>694</v>
      </c>
      <c r="D17" s="19">
        <v>774</v>
      </c>
      <c r="E17" s="19">
        <f t="shared" si="0"/>
        <v>80</v>
      </c>
      <c r="F17" s="40">
        <f t="shared" si="1"/>
        <v>11.527377521613829</v>
      </c>
      <c r="G17" s="40">
        <f t="shared" si="2"/>
        <v>10.335917312661499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20"/>
      <c r="U17" s="21"/>
      <c r="V17" s="20"/>
      <c r="W17" s="20"/>
      <c r="X17" s="20"/>
      <c r="Y17" s="19"/>
      <c r="Z17" s="20"/>
      <c r="AA17" s="19"/>
    </row>
    <row r="18" spans="1:27">
      <c r="A18" s="19"/>
      <c r="B18" s="22" t="s">
        <v>53</v>
      </c>
      <c r="C18" s="19">
        <v>703</v>
      </c>
      <c r="D18" s="19">
        <v>740</v>
      </c>
      <c r="E18" s="19">
        <f t="shared" si="0"/>
        <v>37</v>
      </c>
      <c r="F18" s="40">
        <f t="shared" si="1"/>
        <v>5.2631578947368354</v>
      </c>
      <c r="G18" s="40">
        <f t="shared" si="2"/>
        <v>5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0"/>
      <c r="U18" s="21"/>
      <c r="V18" s="20"/>
      <c r="W18" s="20"/>
      <c r="X18" s="20"/>
      <c r="Y18" s="19"/>
      <c r="Z18" s="20"/>
      <c r="AA18" s="19"/>
    </row>
    <row r="19" spans="1:27">
      <c r="A19" s="12" t="s">
        <v>71</v>
      </c>
      <c r="B19" s="12" t="s">
        <v>20</v>
      </c>
      <c r="C19" s="12">
        <v>10694</v>
      </c>
      <c r="D19" s="12">
        <v>11827</v>
      </c>
      <c r="E19" s="12">
        <f t="shared" ref="E19:E24" si="3">D19-C19</f>
        <v>1133</v>
      </c>
      <c r="F19" s="30">
        <f t="shared" si="1"/>
        <v>10.594726014587621</v>
      </c>
      <c r="G19" s="30">
        <f t="shared" ref="G19:G24" si="4">E19/D19*100</f>
        <v>9.5797750908937171</v>
      </c>
    </row>
    <row r="20" spans="1:27">
      <c r="B20" s="12" t="s">
        <v>21</v>
      </c>
      <c r="C20" s="12">
        <v>4772</v>
      </c>
      <c r="D20" s="12">
        <v>5014</v>
      </c>
      <c r="E20" s="12">
        <f t="shared" si="3"/>
        <v>242</v>
      </c>
      <c r="F20" s="30">
        <f t="shared" si="1"/>
        <v>5.0712489522212962</v>
      </c>
      <c r="G20" s="30">
        <f t="shared" si="4"/>
        <v>4.8264858396489831</v>
      </c>
      <c r="J20" s="14"/>
    </row>
    <row r="21" spans="1:27">
      <c r="B21" s="12" t="s">
        <v>22</v>
      </c>
      <c r="C21" s="12">
        <v>957</v>
      </c>
      <c r="D21" s="12">
        <v>915</v>
      </c>
      <c r="E21" s="12">
        <f t="shared" si="3"/>
        <v>-42</v>
      </c>
      <c r="F21" s="30">
        <f t="shared" si="1"/>
        <v>-4.3887147335423151</v>
      </c>
      <c r="G21" s="30">
        <f t="shared" si="4"/>
        <v>-4.5901639344262293</v>
      </c>
      <c r="J21" s="14"/>
      <c r="T21" s="13"/>
      <c r="U21" s="13"/>
      <c r="V21" s="13"/>
      <c r="W21" s="13"/>
      <c r="X21" s="13"/>
      <c r="Y21" s="13"/>
      <c r="Z21" s="13"/>
      <c r="AA21" s="13"/>
    </row>
    <row r="22" spans="1:27">
      <c r="B22" s="12" t="s">
        <v>30</v>
      </c>
      <c r="C22" s="12">
        <v>2519</v>
      </c>
      <c r="D22" s="12">
        <v>2537</v>
      </c>
      <c r="E22" s="12">
        <f t="shared" si="3"/>
        <v>18</v>
      </c>
      <c r="F22" s="30">
        <f t="shared" si="1"/>
        <v>0.714569273521235</v>
      </c>
      <c r="G22" s="30">
        <f t="shared" si="4"/>
        <v>0.70949940875049267</v>
      </c>
      <c r="X22" s="14"/>
    </row>
    <row r="23" spans="1:27">
      <c r="A23" s="33" t="s">
        <v>59</v>
      </c>
      <c r="B23" s="33" t="s">
        <v>58</v>
      </c>
      <c r="C23" s="33">
        <f>D23-2252</f>
        <v>3182</v>
      </c>
      <c r="D23" s="33">
        <v>5434</v>
      </c>
      <c r="E23" s="33">
        <f t="shared" si="3"/>
        <v>2252</v>
      </c>
      <c r="F23" s="34">
        <f t="shared" si="1"/>
        <v>70.773098680075435</v>
      </c>
      <c r="G23" s="34">
        <f t="shared" si="4"/>
        <v>41.442767758557231</v>
      </c>
    </row>
    <row r="24" spans="1:27">
      <c r="A24" s="33"/>
      <c r="B24" s="33" t="s">
        <v>62</v>
      </c>
      <c r="C24" s="33">
        <v>1161</v>
      </c>
      <c r="D24" s="33">
        <v>1531</v>
      </c>
      <c r="E24" s="33">
        <f t="shared" si="3"/>
        <v>370</v>
      </c>
      <c r="F24" s="34">
        <f t="shared" si="1"/>
        <v>31.869078380706299</v>
      </c>
      <c r="G24" s="34">
        <f t="shared" si="4"/>
        <v>24.167210973220119</v>
      </c>
      <c r="X24" s="14"/>
    </row>
    <row r="25" spans="1:27">
      <c r="A25" s="12" t="s">
        <v>61</v>
      </c>
      <c r="B25" s="13" t="s">
        <v>62</v>
      </c>
      <c r="C25" s="12">
        <v>99386</v>
      </c>
      <c r="D25" s="12">
        <v>109163</v>
      </c>
      <c r="E25" s="12">
        <f t="shared" ref="E25:E32" si="5">D25-C25</f>
        <v>9777</v>
      </c>
      <c r="F25" s="30">
        <f t="shared" si="1"/>
        <v>9.8374016461070966</v>
      </c>
      <c r="G25" s="30">
        <f t="shared" ref="G25:G33" si="6">E25/D25*100</f>
        <v>8.9563313576944559</v>
      </c>
      <c r="X25" s="14"/>
    </row>
    <row r="26" spans="1:27">
      <c r="B26" s="13" t="s">
        <v>63</v>
      </c>
      <c r="C26" s="12">
        <v>225714</v>
      </c>
      <c r="D26" s="12">
        <v>233998</v>
      </c>
      <c r="E26" s="12">
        <f t="shared" si="5"/>
        <v>8284</v>
      </c>
      <c r="F26" s="30">
        <f t="shared" si="1"/>
        <v>3.6701312280142133</v>
      </c>
      <c r="G26" s="30">
        <f t="shared" si="6"/>
        <v>3.5402011983008399</v>
      </c>
      <c r="X26" s="14"/>
    </row>
    <row r="27" spans="1:27">
      <c r="B27" s="13" t="s">
        <v>64</v>
      </c>
      <c r="C27" s="12">
        <v>89608</v>
      </c>
      <c r="D27" s="12">
        <v>91175</v>
      </c>
      <c r="E27" s="12">
        <f t="shared" si="5"/>
        <v>1567</v>
      </c>
      <c r="F27" s="30">
        <f t="shared" si="1"/>
        <v>1.7487277921614179</v>
      </c>
      <c r="G27" s="30">
        <f t="shared" si="6"/>
        <v>1.7186728818206745</v>
      </c>
      <c r="O27" s="13"/>
    </row>
    <row r="28" spans="1:27" ht="28.8">
      <c r="B28" s="13" t="s">
        <v>65</v>
      </c>
      <c r="C28" s="12">
        <v>1</v>
      </c>
      <c r="D28" s="12">
        <v>42922</v>
      </c>
      <c r="E28" s="12">
        <f t="shared" si="5"/>
        <v>42921</v>
      </c>
      <c r="F28" s="30">
        <f t="shared" si="1"/>
        <v>4292100</v>
      </c>
      <c r="G28" s="30">
        <f t="shared" si="6"/>
        <v>99.997670192442101</v>
      </c>
      <c r="O28" s="13"/>
      <c r="T28" s="14"/>
      <c r="U28" s="14"/>
      <c r="V28" s="14"/>
      <c r="W28" s="14"/>
      <c r="X28" s="14"/>
      <c r="AA28" s="14"/>
    </row>
    <row r="29" spans="1:27">
      <c r="A29" s="31" t="s">
        <v>66</v>
      </c>
      <c r="B29" s="31" t="s">
        <v>64</v>
      </c>
      <c r="C29" s="31">
        <v>8264</v>
      </c>
      <c r="D29" s="31">
        <v>8488</v>
      </c>
      <c r="E29" s="31">
        <f t="shared" si="5"/>
        <v>224</v>
      </c>
      <c r="F29" s="32">
        <f t="shared" si="1"/>
        <v>2.710551790900297</v>
      </c>
      <c r="G29" s="32">
        <f t="shared" si="6"/>
        <v>2.6390197926484449</v>
      </c>
    </row>
    <row r="30" spans="1:27">
      <c r="A30" s="31"/>
      <c r="B30" s="31" t="s">
        <v>67</v>
      </c>
      <c r="C30" s="31">
        <v>22796</v>
      </c>
      <c r="D30" s="31">
        <v>29090</v>
      </c>
      <c r="E30" s="31">
        <f t="shared" si="5"/>
        <v>6294</v>
      </c>
      <c r="F30" s="32">
        <f t="shared" si="1"/>
        <v>27.610107036322162</v>
      </c>
      <c r="G30" s="32">
        <f t="shared" si="6"/>
        <v>21.636301134410452</v>
      </c>
    </row>
    <row r="31" spans="1:27">
      <c r="A31" s="31"/>
      <c r="B31" s="31" t="s">
        <v>58</v>
      </c>
      <c r="C31" s="31">
        <v>54739</v>
      </c>
      <c r="D31" s="31">
        <v>72763</v>
      </c>
      <c r="E31" s="31">
        <f t="shared" si="5"/>
        <v>18024</v>
      </c>
      <c r="F31" s="32">
        <f t="shared" si="1"/>
        <v>32.927163448364041</v>
      </c>
      <c r="G31" s="32">
        <f t="shared" si="6"/>
        <v>24.770831329109573</v>
      </c>
    </row>
    <row r="32" spans="1:27">
      <c r="A32" s="31"/>
      <c r="B32" s="31" t="s">
        <v>63</v>
      </c>
      <c r="C32" s="31">
        <v>7131</v>
      </c>
      <c r="D32" s="31">
        <v>7910</v>
      </c>
      <c r="E32" s="31">
        <f t="shared" si="5"/>
        <v>779</v>
      </c>
      <c r="F32" s="32">
        <f t="shared" si="1"/>
        <v>10.924134062543828</v>
      </c>
      <c r="G32" s="32">
        <f t="shared" si="6"/>
        <v>9.8482932996207335</v>
      </c>
    </row>
    <row r="33" spans="2:7">
      <c r="B33" s="12" t="s">
        <v>60</v>
      </c>
      <c r="C33" s="12">
        <f>SUM(C4:C32)</f>
        <v>757587</v>
      </c>
      <c r="D33" s="12">
        <f>SUM(D4:D32)</f>
        <v>862705</v>
      </c>
      <c r="E33" s="12">
        <f>SUM(E4:E32)</f>
        <v>105118</v>
      </c>
      <c r="F33" s="30">
        <f t="shared" si="1"/>
        <v>13.875370089507868</v>
      </c>
      <c r="G33" s="30">
        <f t="shared" si="6"/>
        <v>12.184698129719893</v>
      </c>
    </row>
    <row r="34" spans="2:7">
      <c r="D34" s="12"/>
    </row>
    <row r="35" spans="2:7">
      <c r="D35" s="12"/>
    </row>
    <row r="36" spans="2:7">
      <c r="D36" s="12"/>
    </row>
    <row r="37" spans="2:7">
      <c r="D37" s="12"/>
    </row>
    <row r="38" spans="2:7">
      <c r="D38" s="12"/>
    </row>
    <row r="39" spans="2:7">
      <c r="D39" s="12"/>
    </row>
    <row r="40" spans="2:7">
      <c r="D40" s="12"/>
    </row>
    <row r="41" spans="2:7">
      <c r="D41" s="12"/>
    </row>
    <row r="42" spans="2:7">
      <c r="D42" s="12"/>
    </row>
    <row r="43" spans="2:7">
      <c r="D43" s="12"/>
    </row>
    <row r="44" spans="2:7">
      <c r="D4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2023</vt:lpstr>
      <vt:lpstr>2024</vt:lpstr>
      <vt:lpstr>2025</vt:lpstr>
      <vt:lpstr>2026</vt:lpstr>
      <vt:lpstr>Рост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Зубков</dc:creator>
  <cp:lastModifiedBy>Дмитрий Зубков</cp:lastModifiedBy>
  <dcterms:created xsi:type="dcterms:W3CDTF">2023-12-27T04:57:57Z</dcterms:created>
  <dcterms:modified xsi:type="dcterms:W3CDTF">2026-08-04T22:28:52Z</dcterms:modified>
</cp:coreProperties>
</file>