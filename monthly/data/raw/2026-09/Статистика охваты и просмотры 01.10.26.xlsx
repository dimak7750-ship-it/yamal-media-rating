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1000" yWindow="690" windowWidth="19650" windowHeight="14970" tabRatio="600" firstSheet="0" activeTab="3" autoFilterDateGrouping="1"/>
  </bookViews>
  <sheets>
    <sheet xmlns:r="http://schemas.openxmlformats.org/officeDocument/2006/relationships" name="2023" sheetId="1" state="visible" r:id="rId1"/>
    <sheet xmlns:r="http://schemas.openxmlformats.org/officeDocument/2006/relationships" name="2024" sheetId="2" state="visible" r:id="rId2"/>
    <sheet xmlns:r="http://schemas.openxmlformats.org/officeDocument/2006/relationships" name="2025" sheetId="3" state="visible" r:id="rId3"/>
    <sheet xmlns:r="http://schemas.openxmlformats.org/officeDocument/2006/relationships" name="2026" sheetId="4" state="visible" r:id="rId4"/>
    <sheet xmlns:r="http://schemas.openxmlformats.org/officeDocument/2006/relationships" name="Рост 25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harset val="204"/>
      <family val="2"/>
      <color theme="1"/>
      <sz val="11"/>
      <scheme val="minor"/>
    </font>
    <font>
      <name val="Arial"/>
      <charset val="204"/>
      <family val="2"/>
      <sz val="10"/>
    </font>
    <font>
      <name val="Docs-Calibri"/>
      <color rgb="FF000000"/>
      <sz val="11"/>
    </font>
    <font>
      <name val="Calibri"/>
      <charset val="204"/>
      <family val="2"/>
      <color rgb="FF000000"/>
      <sz val="11"/>
      <scheme val="minor"/>
    </font>
  </fonts>
  <fills count="1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349986266670735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wrapText="1"/>
    </xf>
    <xf numFmtId="0" fontId="0" fillId="4" borderId="0" pivotButton="0" quotePrefix="0" xfId="0"/>
    <xf numFmtId="3" fontId="0" fillId="0" borderId="0" pivotButton="0" quotePrefix="0" xfId="0"/>
    <xf numFmtId="0" fontId="0" fillId="5" borderId="1" applyAlignment="1" pivotButton="0" quotePrefix="0" xfId="0">
      <alignment wrapText="1"/>
    </xf>
    <xf numFmtId="0" fontId="0" fillId="5" borderId="1" pivotButton="0" quotePrefix="0" xfId="0"/>
    <xf numFmtId="3" fontId="0" fillId="5" borderId="1" pivotButton="0" quotePrefix="0" xfId="0"/>
    <xf numFmtId="0" fontId="0" fillId="6" borderId="1" applyAlignment="1" pivotButton="0" quotePrefix="0" xfId="0">
      <alignment wrapText="1"/>
    </xf>
    <xf numFmtId="0" fontId="0" fillId="6" borderId="1" pivotButton="0" quotePrefix="0" xfId="0"/>
    <xf numFmtId="3" fontId="0" fillId="6" borderId="1" pivotButton="0" quotePrefix="0" xfId="0"/>
    <xf numFmtId="0" fontId="0" fillId="0" borderId="1" applyAlignment="1" pivotButton="0" quotePrefix="0" xfId="0">
      <alignment wrapText="1"/>
    </xf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2" fillId="0" borderId="1" pivotButton="0" quotePrefix="0" xfId="0"/>
    <xf numFmtId="0" fontId="0" fillId="7" borderId="1" pivotButton="0" quotePrefix="0" xfId="0"/>
    <xf numFmtId="3" fontId="0" fillId="7" borderId="1" pivotButton="0" quotePrefix="0" xfId="0"/>
    <xf numFmtId="0" fontId="1" fillId="7" borderId="1" pivotButton="0" quotePrefix="0" xfId="0"/>
    <xf numFmtId="0" fontId="2" fillId="7" borderId="1" pivotButton="0" quotePrefix="0" xfId="0"/>
    <xf numFmtId="3" fontId="0" fillId="2" borderId="1" pivotButton="0" quotePrefix="0" xfId="0"/>
    <xf numFmtId="3" fontId="0" fillId="4" borderId="1" pivotButton="0" quotePrefix="0" xfId="0"/>
    <xf numFmtId="0" fontId="0" fillId="8" borderId="1" pivotButton="0" quotePrefix="0" xfId="0"/>
    <xf numFmtId="3" fontId="0" fillId="8" borderId="1" pivotButton="0" quotePrefix="0" xfId="0"/>
    <xf numFmtId="0" fontId="3" fillId="0" borderId="1" pivotButton="0" quotePrefix="0" xfId="0"/>
    <xf numFmtId="0" fontId="3" fillId="7" borderId="1" pivotButton="0" quotePrefix="0" xfId="0"/>
    <xf numFmtId="14" fontId="0" fillId="0" borderId="1" applyAlignment="1" pivotButton="0" quotePrefix="0" xfId="0">
      <alignment wrapText="1"/>
    </xf>
    <xf numFmtId="2" fontId="0" fillId="0" borderId="1" pivotButton="0" quotePrefix="0" xfId="0"/>
    <xf numFmtId="0" fontId="0" fillId="9" borderId="1" pivotButton="0" quotePrefix="0" xfId="0"/>
    <xf numFmtId="2" fontId="0" fillId="9" borderId="1" pivotButton="0" quotePrefix="0" xfId="0"/>
    <xf numFmtId="0" fontId="0" fillId="10" borderId="1" pivotButton="0" quotePrefix="0" xfId="0"/>
    <xf numFmtId="2" fontId="0" fillId="10" borderId="1" pivotButton="0" quotePrefix="0" xfId="0"/>
    <xf numFmtId="2" fontId="0" fillId="0" borderId="1" applyAlignment="1" pivotButton="0" quotePrefix="0" xfId="0">
      <alignment wrapText="1"/>
    </xf>
    <xf numFmtId="2" fontId="0" fillId="2" borderId="1" pivotButton="0" quotePrefix="0" xfId="0"/>
    <xf numFmtId="0" fontId="0" fillId="11" borderId="1" pivotButton="0" quotePrefix="0" xfId="0"/>
    <xf numFmtId="2" fontId="0" fillId="11" borderId="1" pivotButton="0" quotePrefix="0" xfId="0"/>
    <xf numFmtId="2" fontId="0" fillId="4" borderId="1" pivotButton="0" quotePrefix="0" xfId="0"/>
    <xf numFmtId="2" fontId="0" fillId="7" borderId="1" pivotButton="0" quotePrefix="0" xfId="0"/>
    <xf numFmtId="0" fontId="0" fillId="0" borderId="1" pivotButton="0" quotePrefix="0" xfId="0"/>
    <xf numFmtId="3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3" fontId="0" fillId="13" borderId="1" pivotButton="0" quotePrefix="0" xfId="0"/>
    <xf numFmtId="0" fontId="3" fillId="13" borderId="1" pivotButton="0" quotePrefix="0" xfId="0"/>
    <xf numFmtId="3" fontId="0" fillId="0" borderId="1" pivotButton="0" quotePrefix="0" xfId="0"/>
    <xf numFmtId="3" fontId="0" fillId="14" borderId="1" pivotButton="0" quotePrefix="0" xfId="0"/>
    <xf numFmtId="0" fontId="0" fillId="14" borderId="1" pivotButton="0" quotePrefix="0" xfId="0"/>
    <xf numFmtId="0" fontId="0" fillId="5" borderId="1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36"/>
  <sheetViews>
    <sheetView workbookViewId="0">
      <selection activeCell="N12" sqref="N12"/>
    </sheetView>
  </sheetViews>
  <sheetFormatPr baseColWidth="8" defaultRowHeight="14.25"/>
  <cols>
    <col width="18" customWidth="1" min="2" max="2"/>
    <col width="9.1328125" customWidth="1" min="9" max="9"/>
    <col width="22.265625" customWidth="1" min="15" max="15"/>
    <col width="18.86328125" customWidth="1" min="16" max="16"/>
    <col width="14.1328125" customWidth="1" min="17" max="17"/>
  </cols>
  <sheetData>
    <row r="2" ht="28.9" customHeight="1">
      <c r="C2" t="inlineStr">
        <is>
          <t>Охваты</t>
        </is>
      </c>
      <c r="O2" s="3" t="inlineStr">
        <is>
          <t>сумма месячных охватов</t>
        </is>
      </c>
      <c r="P2" s="3" t="inlineStr">
        <is>
          <t>Сумма просмотров за год</t>
        </is>
      </c>
      <c r="Q2" s="3" t="inlineStr">
        <is>
          <t>Количество подписчиков</t>
        </is>
      </c>
    </row>
    <row r="3">
      <c r="B3" t="n">
        <v>2023</v>
      </c>
      <c r="C3" t="inlineStr">
        <is>
          <t>январь</t>
        </is>
      </c>
      <c r="D3" t="inlineStr">
        <is>
          <t>февраль</t>
        </is>
      </c>
      <c r="E3" t="inlineStr">
        <is>
          <t>март</t>
        </is>
      </c>
      <c r="F3" t="inlineStr">
        <is>
          <t>апрель</t>
        </is>
      </c>
      <c r="G3" t="inlineStr">
        <is>
          <t>май</t>
        </is>
      </c>
      <c r="H3" t="inlineStr">
        <is>
          <t>июнь</t>
        </is>
      </c>
      <c r="I3" t="inlineStr">
        <is>
          <t>июль</t>
        </is>
      </c>
      <c r="J3" t="inlineStr">
        <is>
          <t>август</t>
        </is>
      </c>
      <c r="K3" t="inlineStr">
        <is>
          <t>сентябрь</t>
        </is>
      </c>
      <c r="L3" t="inlineStr">
        <is>
          <t>октябрь</t>
        </is>
      </c>
      <c r="M3" t="inlineStr">
        <is>
          <t>ноябрь</t>
        </is>
      </c>
      <c r="N3" t="inlineStr">
        <is>
          <t>декабрь</t>
        </is>
      </c>
    </row>
    <row r="4">
      <c r="A4" t="inlineStr">
        <is>
          <t>ВК</t>
        </is>
      </c>
      <c r="B4" t="inlineStr">
        <is>
          <t>Ям вк</t>
        </is>
      </c>
      <c r="C4" t="n">
        <v>295607</v>
      </c>
      <c r="D4" t="n">
        <v>272012</v>
      </c>
      <c r="E4" t="n">
        <v>322803</v>
      </c>
      <c r="F4" t="n">
        <v>529055</v>
      </c>
      <c r="G4" t="n">
        <v>331821</v>
      </c>
      <c r="H4" t="n">
        <v>295453</v>
      </c>
      <c r="I4" t="n">
        <v>434171</v>
      </c>
      <c r="J4" t="n">
        <v>249525</v>
      </c>
      <c r="K4" t="n">
        <v>464305</v>
      </c>
      <c r="L4" t="n">
        <v>258046</v>
      </c>
      <c r="M4" t="n">
        <v>221303</v>
      </c>
      <c r="N4" t="n">
        <v>280860</v>
      </c>
      <c r="O4">
        <f>SUM(C4:N4)</f>
        <v/>
      </c>
      <c r="P4" s="5" t="n">
        <v>31913074</v>
      </c>
      <c r="Q4" t="n">
        <v>68940</v>
      </c>
    </row>
    <row r="5">
      <c r="B5" t="inlineStr">
        <is>
          <t>СП вк</t>
        </is>
      </c>
      <c r="C5" t="n">
        <v>81050</v>
      </c>
      <c r="D5" t="n">
        <v>58574</v>
      </c>
      <c r="E5" t="n">
        <v>100655</v>
      </c>
      <c r="F5" t="n">
        <v>170312</v>
      </c>
      <c r="G5" t="n">
        <v>107902</v>
      </c>
      <c r="H5" t="n">
        <v>92830</v>
      </c>
      <c r="I5" t="n">
        <v>74241</v>
      </c>
      <c r="J5" t="n">
        <v>127970</v>
      </c>
      <c r="K5" t="n">
        <v>81870</v>
      </c>
      <c r="L5" t="n">
        <v>95839</v>
      </c>
      <c r="M5" t="n">
        <v>126733</v>
      </c>
      <c r="N5" t="n">
        <v>91106</v>
      </c>
      <c r="O5">
        <f>SUM(C5:N5)</f>
        <v/>
      </c>
      <c r="P5" s="5" t="n">
        <v>9582160</v>
      </c>
      <c r="Q5" t="n">
        <v>22185</v>
      </c>
    </row>
    <row r="6">
      <c r="B6" t="inlineStr">
        <is>
          <t>КС вк</t>
        </is>
      </c>
      <c r="C6" t="n">
        <v>83202</v>
      </c>
      <c r="D6" t="n">
        <v>55186</v>
      </c>
      <c r="E6" t="n">
        <v>81989</v>
      </c>
      <c r="F6" t="n">
        <v>115786</v>
      </c>
      <c r="G6" t="n">
        <v>80487</v>
      </c>
      <c r="H6" t="n">
        <v>63576</v>
      </c>
      <c r="I6" t="n">
        <v>55062</v>
      </c>
      <c r="J6" t="n">
        <v>77863</v>
      </c>
      <c r="K6" t="n">
        <v>114678</v>
      </c>
      <c r="L6" t="n">
        <v>80984</v>
      </c>
      <c r="M6" t="n">
        <v>75158</v>
      </c>
      <c r="N6" t="n">
        <v>63649</v>
      </c>
      <c r="O6">
        <f>SUM(C6:N6)</f>
        <v/>
      </c>
      <c r="P6" s="5" t="n">
        <v>5964357</v>
      </c>
      <c r="Q6" t="n">
        <v>21046</v>
      </c>
    </row>
    <row r="7" customFormat="1" s="1">
      <c r="B7" s="1" t="inlineStr">
        <is>
          <t xml:space="preserve">Неолени </t>
        </is>
      </c>
      <c r="C7" s="1" t="n">
        <v>566</v>
      </c>
      <c r="D7" s="1" t="n">
        <v>17966</v>
      </c>
      <c r="E7" s="1" t="n">
        <v>32164</v>
      </c>
      <c r="F7" s="1" t="n">
        <v>64889</v>
      </c>
      <c r="G7" s="1" t="n">
        <v>70111</v>
      </c>
      <c r="H7" s="1" t="n">
        <v>29338</v>
      </c>
      <c r="I7" s="1" t="n">
        <v>29277</v>
      </c>
      <c r="J7" s="1" t="n">
        <v>38036</v>
      </c>
      <c r="K7" s="1" t="n">
        <v>41475</v>
      </c>
      <c r="L7" s="1" t="n">
        <v>55769</v>
      </c>
      <c r="M7" s="1" t="n">
        <v>64228</v>
      </c>
      <c r="N7" s="1" t="n">
        <v>73847</v>
      </c>
      <c r="O7">
        <f>SUM(C7:N7)</f>
        <v/>
      </c>
      <c r="P7" s="5" t="n">
        <v>2151225</v>
      </c>
      <c r="Q7" s="5" t="n">
        <v>8033</v>
      </c>
    </row>
    <row r="8" customFormat="1" s="2">
      <c r="B8" s="2" t="inlineStr">
        <is>
          <t>этогноарктика</t>
        </is>
      </c>
      <c r="C8" s="2" t="n">
        <v>33283</v>
      </c>
      <c r="D8" s="2" t="n">
        <v>90388</v>
      </c>
      <c r="E8" s="2" t="n">
        <v>68759</v>
      </c>
      <c r="F8" s="2" t="n">
        <v>61531</v>
      </c>
      <c r="G8" s="2" t="n">
        <v>43979</v>
      </c>
      <c r="H8" s="2" t="n">
        <v>23024</v>
      </c>
      <c r="I8" s="2" t="n">
        <v>55982</v>
      </c>
      <c r="J8" s="2" t="n">
        <v>41793</v>
      </c>
      <c r="K8" s="2" t="n">
        <v>35880</v>
      </c>
      <c r="L8" s="2" t="n">
        <v>32824</v>
      </c>
      <c r="M8" s="2" t="n">
        <v>55542</v>
      </c>
      <c r="N8" s="2" t="n">
        <v>44142</v>
      </c>
      <c r="O8">
        <f>SUM(C8:N8)</f>
        <v/>
      </c>
      <c r="P8" s="5" t="n">
        <v>1448411</v>
      </c>
      <c r="Q8" s="5" t="n">
        <v>5475</v>
      </c>
    </row>
    <row r="9" customFormat="1" s="4">
      <c r="B9" s="4" t="inlineStr">
        <is>
          <t>ЗажгиФАкел</t>
        </is>
      </c>
      <c r="C9" s="4" t="n">
        <v>46397</v>
      </c>
      <c r="D9" s="4" t="n">
        <v>61561</v>
      </c>
      <c r="E9" s="4" t="n">
        <v>42486</v>
      </c>
      <c r="F9" s="4" t="n">
        <v>48502</v>
      </c>
      <c r="G9" s="4" t="n">
        <v>40852</v>
      </c>
      <c r="H9" s="4" t="n">
        <v>37072</v>
      </c>
      <c r="I9" s="4" t="n">
        <v>34028</v>
      </c>
      <c r="J9" s="4" t="n">
        <v>19577</v>
      </c>
      <c r="K9" s="4" t="n">
        <v>26532</v>
      </c>
      <c r="L9" s="4" t="n">
        <v>34006</v>
      </c>
      <c r="M9" s="4" t="n">
        <v>27023</v>
      </c>
      <c r="N9" s="4" t="n">
        <v>17827</v>
      </c>
      <c r="O9">
        <f>SUM(C9:N9)</f>
        <v/>
      </c>
      <c r="P9" s="5" t="n">
        <v>1853396</v>
      </c>
      <c r="Q9" s="5" t="n">
        <v>7569</v>
      </c>
    </row>
    <row r="10">
      <c r="A10" t="inlineStr">
        <is>
          <t>ОК</t>
        </is>
      </c>
      <c r="B10" t="inlineStr">
        <is>
          <t>ЯМ ок</t>
        </is>
      </c>
      <c r="C10" t="n">
        <v>291927</v>
      </c>
      <c r="D10" t="n">
        <v>233315</v>
      </c>
      <c r="E10" t="n">
        <v>159766</v>
      </c>
      <c r="F10" t="n">
        <v>196357</v>
      </c>
      <c r="G10" t="n">
        <v>185810</v>
      </c>
      <c r="H10" t="n">
        <v>151715</v>
      </c>
      <c r="I10" t="n">
        <v>609490</v>
      </c>
      <c r="J10" t="n">
        <v>277264</v>
      </c>
      <c r="K10" t="n">
        <v>209634</v>
      </c>
      <c r="L10" t="n">
        <v>186958</v>
      </c>
      <c r="M10" t="n">
        <v>181797</v>
      </c>
      <c r="N10" t="n">
        <v>247928</v>
      </c>
      <c r="O10">
        <f>SUM(C10:N10)</f>
        <v/>
      </c>
      <c r="P10">
        <f>1875280+1610432+1505419+1535201+1598100+1164553+1928136+1124037+999147+1007339+952852+1092437</f>
        <v/>
      </c>
      <c r="Q10" t="n">
        <v>27175</v>
      </c>
    </row>
    <row r="11">
      <c r="B11" t="inlineStr">
        <is>
          <t>СП ок</t>
        </is>
      </c>
      <c r="C11" t="n">
        <v>228800</v>
      </c>
      <c r="D11" t="n">
        <v>222318</v>
      </c>
      <c r="E11" t="n">
        <v>178322</v>
      </c>
      <c r="F11" t="n">
        <v>158291</v>
      </c>
      <c r="G11" t="n">
        <v>125298</v>
      </c>
      <c r="H11" t="n">
        <v>50152</v>
      </c>
      <c r="I11" t="n">
        <v>50732</v>
      </c>
      <c r="J11" t="n">
        <v>188492</v>
      </c>
      <c r="K11" t="n">
        <v>208251</v>
      </c>
      <c r="L11" t="n">
        <v>169941</v>
      </c>
      <c r="M11" t="n">
        <v>230180</v>
      </c>
      <c r="N11" t="n">
        <v>223749</v>
      </c>
      <c r="O11">
        <f>SUM(C11:N11)</f>
        <v/>
      </c>
      <c r="P11">
        <f>2488358+1174841+86084+945610+783293+642105+1393433+898630+867422+891282+685384</f>
        <v/>
      </c>
      <c r="Q11" t="n">
        <v>18138</v>
      </c>
    </row>
    <row r="12">
      <c r="B12" t="inlineStr">
        <is>
          <t>Кс ок</t>
        </is>
      </c>
      <c r="C12" t="n">
        <v>170337</v>
      </c>
      <c r="D12" t="n">
        <v>122230</v>
      </c>
      <c r="E12" t="n">
        <v>144307</v>
      </c>
      <c r="F12" t="n">
        <v>174331</v>
      </c>
      <c r="G12" t="n">
        <v>136888</v>
      </c>
      <c r="H12" t="n">
        <v>46114</v>
      </c>
      <c r="I12" t="n">
        <v>109172</v>
      </c>
      <c r="J12" t="n">
        <v>176783</v>
      </c>
      <c r="K12" t="n">
        <v>213119</v>
      </c>
      <c r="L12" t="n">
        <v>152198</v>
      </c>
      <c r="M12" t="n">
        <v>157363</v>
      </c>
      <c r="N12" t="n">
        <v>284894</v>
      </c>
      <c r="O12">
        <f>SUM(C12:N12)</f>
        <v/>
      </c>
      <c r="P12">
        <f>1467739+1274296+765420+1172621+1003232+663939+850699</f>
        <v/>
      </c>
      <c r="Q12" t="n">
        <v>7145</v>
      </c>
    </row>
    <row r="13" ht="51.6" customHeight="1">
      <c r="N13" s="6" t="inlineStr">
        <is>
          <t>сумма по соцсетям</t>
        </is>
      </c>
      <c r="O13" s="48">
        <f>SUM(O4:O12)</f>
        <v/>
      </c>
      <c r="P13" s="8">
        <f>SUM(P4:P12)</f>
        <v/>
      </c>
      <c r="Q13" s="48">
        <f>SUM(Q4:Q12)</f>
        <v/>
      </c>
    </row>
    <row r="16" ht="43.15" customHeight="1">
      <c r="A16" t="n">
        <v>2023</v>
      </c>
      <c r="B16" s="3" t="inlineStr">
        <is>
          <t>телеграм 2023 Сумма просмотров за месяц</t>
        </is>
      </c>
      <c r="P16" s="3" t="inlineStr">
        <is>
          <t>сумма просмотров за год</t>
        </is>
      </c>
    </row>
    <row r="17">
      <c r="B17" t="inlineStr">
        <is>
          <t>ЯМ тг</t>
        </is>
      </c>
      <c r="C17" t="n">
        <v>1102952</v>
      </c>
      <c r="D17" t="n">
        <v>908328</v>
      </c>
      <c r="E17" t="n">
        <v>1098524</v>
      </c>
      <c r="F17" t="n">
        <v>974237</v>
      </c>
      <c r="G17" t="n">
        <v>1181013</v>
      </c>
      <c r="H17" t="n">
        <v>1188780</v>
      </c>
      <c r="I17" t="n">
        <v>1127245</v>
      </c>
      <c r="J17" t="n">
        <v>1178770</v>
      </c>
      <c r="K17" t="n">
        <v>1212604</v>
      </c>
      <c r="L17" t="n">
        <v>1337019</v>
      </c>
      <c r="M17" t="n">
        <v>1230673</v>
      </c>
      <c r="N17" t="n">
        <v>1299035</v>
      </c>
      <c r="P17">
        <f>SUM(C17:N17)</f>
        <v/>
      </c>
      <c r="Q17" t="n">
        <v>7846</v>
      </c>
    </row>
    <row r="18">
      <c r="B18" t="inlineStr">
        <is>
          <t>Сп тг</t>
        </is>
      </c>
      <c r="C18" t="n">
        <v>651026</v>
      </c>
      <c r="D18" t="n">
        <v>700936</v>
      </c>
      <c r="E18" t="n">
        <v>684767</v>
      </c>
      <c r="F18" t="n">
        <v>823026</v>
      </c>
      <c r="G18" t="n">
        <v>898987</v>
      </c>
      <c r="H18" t="n">
        <v>705358</v>
      </c>
      <c r="I18" t="n">
        <v>541605</v>
      </c>
      <c r="J18" t="n">
        <v>738399</v>
      </c>
      <c r="K18" t="n">
        <v>659890</v>
      </c>
      <c r="L18" t="n">
        <v>599988</v>
      </c>
      <c r="M18" t="n">
        <v>578257</v>
      </c>
      <c r="N18" t="n">
        <v>604599</v>
      </c>
      <c r="P18">
        <f>SUM(C18:N18)</f>
        <v/>
      </c>
      <c r="Q18" t="n">
        <v>4164</v>
      </c>
    </row>
    <row r="19">
      <c r="B19" t="inlineStr">
        <is>
          <t>КС тг</t>
        </is>
      </c>
      <c r="C19" t="n">
        <v>95865</v>
      </c>
      <c r="D19" t="n">
        <v>64765</v>
      </c>
      <c r="E19" t="n">
        <v>63251</v>
      </c>
      <c r="F19" t="n">
        <v>65608</v>
      </c>
      <c r="G19" t="n">
        <v>72548</v>
      </c>
      <c r="H19" t="n">
        <v>66274</v>
      </c>
      <c r="I19" t="n">
        <v>77447</v>
      </c>
      <c r="J19" t="n">
        <v>106188</v>
      </c>
      <c r="K19" t="n">
        <v>54069</v>
      </c>
      <c r="L19" t="n">
        <v>39815</v>
      </c>
      <c r="M19" t="n">
        <v>70944</v>
      </c>
      <c r="N19" t="n">
        <v>67722</v>
      </c>
      <c r="P19">
        <f>SUM(C19:N19)</f>
        <v/>
      </c>
      <c r="Q19" t="n">
        <v>886</v>
      </c>
    </row>
    <row r="20">
      <c r="B20" t="inlineStr">
        <is>
          <t>НеОлениПишут тг</t>
        </is>
      </c>
      <c r="C20" t="n">
        <v>34366</v>
      </c>
      <c r="D20" t="n">
        <v>69157</v>
      </c>
      <c r="E20" t="n">
        <v>79796</v>
      </c>
      <c r="F20" t="n">
        <v>76826</v>
      </c>
      <c r="G20" t="n">
        <v>73788</v>
      </c>
      <c r="H20" t="n">
        <v>89127</v>
      </c>
      <c r="I20" t="n">
        <v>76389</v>
      </c>
      <c r="J20" t="n">
        <v>87847</v>
      </c>
      <c r="K20" t="n">
        <v>89343</v>
      </c>
      <c r="L20" t="n">
        <v>94148</v>
      </c>
      <c r="M20" t="n">
        <v>89853</v>
      </c>
      <c r="N20" t="n">
        <v>112835</v>
      </c>
      <c r="P20">
        <f>SUM(C20:N20)</f>
        <v/>
      </c>
      <c r="Q20" t="n">
        <v>1491</v>
      </c>
    </row>
    <row r="21" ht="57.6" customHeight="1">
      <c r="B21" s="3" t="n"/>
      <c r="N21" s="6" t="inlineStr">
        <is>
          <t>сумма по телеграму</t>
        </is>
      </c>
      <c r="O21" s="48">
        <f>SUM(O17:O20)</f>
        <v/>
      </c>
      <c r="P21" s="48">
        <f>SUM(P17:P20)</f>
        <v/>
      </c>
      <c r="Q21" s="48">
        <f>SUM(Q17:Q20)</f>
        <v/>
      </c>
    </row>
    <row r="22" ht="72" customHeight="1">
      <c r="B22" t="inlineStr">
        <is>
          <t>распределение по полу</t>
        </is>
      </c>
      <c r="N22" s="9" t="inlineStr">
        <is>
          <t>общие показатели с телеграмом</t>
        </is>
      </c>
      <c r="O22" s="10">
        <f>SUM(O13+O21)</f>
        <v/>
      </c>
      <c r="P22" s="10">
        <f>SUM(P13+P21)</f>
        <v/>
      </c>
      <c r="Q22" s="10">
        <f>SUM(Q13+Q21)</f>
        <v/>
      </c>
    </row>
    <row r="23">
      <c r="C23" t="inlineStr">
        <is>
          <t>М %</t>
        </is>
      </c>
      <c r="D23" t="inlineStr">
        <is>
          <t>Ж %</t>
        </is>
      </c>
    </row>
    <row r="24">
      <c r="B24" t="inlineStr">
        <is>
          <t>Ям вк</t>
        </is>
      </c>
      <c r="C24" t="n">
        <v>37</v>
      </c>
      <c r="D24" t="n">
        <v>63</v>
      </c>
    </row>
    <row r="25">
      <c r="B25" t="inlineStr">
        <is>
          <t>СП вк</t>
        </is>
      </c>
      <c r="C25" t="n">
        <v>32</v>
      </c>
      <c r="D25" t="n">
        <v>68</v>
      </c>
    </row>
    <row r="26">
      <c r="B26" t="inlineStr">
        <is>
          <t>КС вк</t>
        </is>
      </c>
      <c r="C26" t="n">
        <v>36</v>
      </c>
      <c r="D26" t="n">
        <v>64</v>
      </c>
    </row>
    <row r="27">
      <c r="B27" s="1" t="inlineStr">
        <is>
          <t xml:space="preserve">Неолени </t>
        </is>
      </c>
      <c r="C27" t="n">
        <v>28</v>
      </c>
      <c r="D27" t="n">
        <v>72</v>
      </c>
    </row>
    <row r="28">
      <c r="B28" s="2" t="inlineStr">
        <is>
          <t>этогноарктика</t>
        </is>
      </c>
      <c r="C28" t="n">
        <v>33</v>
      </c>
      <c r="D28" t="n">
        <v>67</v>
      </c>
    </row>
    <row r="29">
      <c r="B29" s="4" t="inlineStr">
        <is>
          <t>ЗажгиФАкел</t>
        </is>
      </c>
      <c r="C29" t="n">
        <v>47</v>
      </c>
      <c r="D29" t="n">
        <v>53</v>
      </c>
    </row>
    <row r="30">
      <c r="B30" t="inlineStr">
        <is>
          <t>ЯМ ок</t>
        </is>
      </c>
      <c r="C30" t="n">
        <v>36</v>
      </c>
      <c r="D30" t="n">
        <v>64</v>
      </c>
    </row>
    <row r="31">
      <c r="B31" t="inlineStr">
        <is>
          <t>СП ок</t>
        </is>
      </c>
      <c r="C31" t="n">
        <v>35</v>
      </c>
      <c r="D31" t="n">
        <v>65</v>
      </c>
    </row>
    <row r="32">
      <c r="B32" t="inlineStr">
        <is>
          <t>Кс ок</t>
        </is>
      </c>
      <c r="C32" t="n">
        <v>35</v>
      </c>
      <c r="D32" t="n">
        <v>65</v>
      </c>
    </row>
    <row r="33">
      <c r="B33" t="inlineStr">
        <is>
          <t>ЯМ тг</t>
        </is>
      </c>
      <c r="C33" t="n">
        <v>32</v>
      </c>
      <c r="D33" t="n">
        <v>68</v>
      </c>
    </row>
    <row r="34">
      <c r="B34" t="inlineStr">
        <is>
          <t>Сп тг</t>
        </is>
      </c>
      <c r="C34" t="n">
        <v>30</v>
      </c>
      <c r="D34" t="n">
        <v>70</v>
      </c>
    </row>
    <row r="35">
      <c r="B35" t="inlineStr">
        <is>
          <t>КС тг</t>
        </is>
      </c>
      <c r="C35" t="n">
        <v>32</v>
      </c>
      <c r="D35" t="n">
        <v>68</v>
      </c>
    </row>
    <row r="36">
      <c r="B36" t="inlineStr">
        <is>
          <t>НеОлениПишут тг</t>
        </is>
      </c>
      <c r="C36" t="n">
        <v>29</v>
      </c>
      <c r="D36" t="n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A42"/>
  <sheetViews>
    <sheetView workbookViewId="0">
      <selection activeCell="B23" sqref="B23"/>
    </sheetView>
  </sheetViews>
  <sheetFormatPr baseColWidth="8" defaultColWidth="8.86328125" defaultRowHeight="14.25"/>
  <cols>
    <col width="8.86328125" customWidth="1" style="39" min="1" max="1"/>
    <col width="18" customWidth="1" style="39" min="2" max="2"/>
    <col width="8.86328125" customWidth="1" style="39" min="3" max="8"/>
    <col width="11.73046875" customWidth="1" style="39" min="9" max="9"/>
    <col width="8.86328125" customWidth="1" style="39" min="10" max="14"/>
    <col width="17.1328125" customWidth="1" style="39" min="15" max="18"/>
    <col width="16.3984375" customWidth="1" style="39" min="19" max="19"/>
    <col width="14.1328125" customWidth="1" style="39" min="20" max="20"/>
    <col width="9.86328125" bestFit="1" customWidth="1" style="39" min="21" max="21"/>
    <col width="9.73046875" customWidth="1" style="39" min="22" max="22"/>
    <col width="9.86328125" bestFit="1" customWidth="1" style="39" min="23" max="23"/>
    <col width="8.86328125" customWidth="1" style="39" min="24" max="25"/>
    <col width="8.86328125" customWidth="1" style="39" min="26" max="16384"/>
  </cols>
  <sheetData>
    <row r="2" ht="72" customHeight="1">
      <c r="C2" s="39" t="inlineStr">
        <is>
          <t>Охваты</t>
        </is>
      </c>
      <c r="O2" s="12" t="inlineStr">
        <is>
          <t>сумма месячных охватов 1  квартал</t>
        </is>
      </c>
      <c r="P2" s="12" t="inlineStr">
        <is>
          <t>сумма месячных охватов 2  квартал</t>
        </is>
      </c>
      <c r="Q2" s="12" t="inlineStr">
        <is>
          <t>сумма месячных охватов 3  квартал</t>
        </is>
      </c>
      <c r="R2" s="12" t="inlineStr">
        <is>
          <t>сумма месячных охватов 4  квартал</t>
        </is>
      </c>
      <c r="S2" s="12" t="inlineStr">
        <is>
          <t>Сумма просмотров за 1 квартал</t>
        </is>
      </c>
      <c r="T2" s="12" t="inlineStr">
        <is>
          <t>Сумма просмотров за 2 квартал</t>
        </is>
      </c>
      <c r="U2" s="12" t="inlineStr">
        <is>
          <t>Сумма просмотров за 3 квартал</t>
        </is>
      </c>
      <c r="V2" s="12" t="inlineStr">
        <is>
          <t>Сумма просмотров за 4 квартал</t>
        </is>
      </c>
      <c r="W2" s="12" t="inlineStr">
        <is>
          <t>сумма просмотров за год</t>
        </is>
      </c>
      <c r="X2" s="12" t="inlineStr">
        <is>
          <t>Количество подписчиков 1 квартал</t>
        </is>
      </c>
      <c r="Y2" s="12" t="inlineStr">
        <is>
          <t>Количество подписчиков 2 квартал</t>
        </is>
      </c>
      <c r="Z2" s="12" t="inlineStr">
        <is>
          <t>Количество подписчиков 3 квартал</t>
        </is>
      </c>
      <c r="AA2" s="12" t="inlineStr">
        <is>
          <t>Количество подписчиков 4 квартал</t>
        </is>
      </c>
    </row>
    <row r="3">
      <c r="B3" s="39" t="n">
        <v>2024</v>
      </c>
      <c r="C3" s="39" t="inlineStr">
        <is>
          <t>январь</t>
        </is>
      </c>
      <c r="D3" s="39" t="inlineStr">
        <is>
          <t>февраль</t>
        </is>
      </c>
      <c r="E3" s="39" t="inlineStr">
        <is>
          <t>март</t>
        </is>
      </c>
      <c r="F3" s="39" t="inlineStr">
        <is>
          <t>апрель</t>
        </is>
      </c>
      <c r="G3" s="39" t="inlineStr">
        <is>
          <t>май</t>
        </is>
      </c>
      <c r="H3" s="39" t="inlineStr">
        <is>
          <t>июнь</t>
        </is>
      </c>
      <c r="I3" s="39" t="inlineStr">
        <is>
          <t>июль</t>
        </is>
      </c>
      <c r="J3" s="39" t="inlineStr">
        <is>
          <t>август</t>
        </is>
      </c>
      <c r="K3" s="39" t="inlineStr">
        <is>
          <t>сентябрь</t>
        </is>
      </c>
      <c r="L3" s="39" t="inlineStr">
        <is>
          <t>октябрь</t>
        </is>
      </c>
      <c r="M3" s="39" t="inlineStr">
        <is>
          <t>ноябрь</t>
        </is>
      </c>
      <c r="N3" s="39" t="inlineStr">
        <is>
          <t>декабрь</t>
        </is>
      </c>
    </row>
    <row r="4">
      <c r="A4" s="39" t="inlineStr">
        <is>
          <t>ВК</t>
        </is>
      </c>
      <c r="B4" s="39" t="inlineStr">
        <is>
          <t>Ям вк</t>
        </is>
      </c>
      <c r="C4" s="39" t="n">
        <v>288457</v>
      </c>
      <c r="D4" s="39" t="n">
        <v>365762</v>
      </c>
      <c r="E4" s="39" t="n">
        <v>238064</v>
      </c>
      <c r="F4" s="39" t="n">
        <v>222175</v>
      </c>
      <c r="G4" s="39" t="n">
        <v>230232</v>
      </c>
      <c r="H4" s="39" t="n">
        <v>232242</v>
      </c>
      <c r="I4" s="39" t="n">
        <v>259137</v>
      </c>
      <c r="J4" s="39" t="n">
        <v>1338450</v>
      </c>
      <c r="K4" s="39" t="n">
        <v>199526</v>
      </c>
      <c r="L4" s="39" t="n">
        <v>167304</v>
      </c>
      <c r="M4" s="39" t="n">
        <v>459362</v>
      </c>
      <c r="N4" s="39" t="n">
        <v>779261</v>
      </c>
      <c r="O4" s="39">
        <f>SUM(C4:E4)</f>
        <v/>
      </c>
      <c r="P4" s="39">
        <f>SUM(F4:H4)</f>
        <v/>
      </c>
      <c r="Q4" s="39">
        <f>SUM(I4:K4)</f>
        <v/>
      </c>
      <c r="R4" s="39">
        <f>SUM(L4:N4)</f>
        <v/>
      </c>
      <c r="S4" s="45" t="n">
        <v>8501095</v>
      </c>
      <c r="T4" s="45" t="n">
        <v>7708255</v>
      </c>
      <c r="U4" s="39" t="n">
        <v>7931173</v>
      </c>
      <c r="V4" s="45">
        <f>1686209+1817146+2082886</f>
        <v/>
      </c>
      <c r="W4" s="45">
        <f>SUM(S4:V4)</f>
        <v/>
      </c>
      <c r="X4" s="39" t="n">
        <v>72308</v>
      </c>
      <c r="Y4" s="39" t="n">
        <v>73539</v>
      </c>
      <c r="Z4" s="39" t="n">
        <v>76044</v>
      </c>
      <c r="AA4" s="39" t="n">
        <v>77967</v>
      </c>
    </row>
    <row r="5">
      <c r="B5" s="39" t="inlineStr">
        <is>
          <t>СП вк</t>
        </is>
      </c>
      <c r="C5" s="39" t="n">
        <v>112663</v>
      </c>
      <c r="D5" s="39" t="n">
        <v>76115</v>
      </c>
      <c r="E5" s="39" t="n">
        <v>101117</v>
      </c>
      <c r="F5" s="39" t="n">
        <v>121132</v>
      </c>
      <c r="G5" s="39" t="n">
        <v>147212</v>
      </c>
      <c r="H5" s="39" t="n">
        <v>117209</v>
      </c>
      <c r="I5" s="39" t="n">
        <v>111119</v>
      </c>
      <c r="J5" s="39" t="n">
        <v>122857</v>
      </c>
      <c r="K5" s="39" t="n">
        <v>125885</v>
      </c>
      <c r="L5" s="39" t="n">
        <v>68620</v>
      </c>
      <c r="M5" s="39" t="n">
        <v>63916</v>
      </c>
      <c r="N5" s="39" t="n">
        <v>111253</v>
      </c>
      <c r="O5" s="39">
        <f>SUM(C5:E5)</f>
        <v/>
      </c>
      <c r="P5" s="39">
        <f>SUM(F5:H5)</f>
        <v/>
      </c>
      <c r="Q5" s="39">
        <f>SUM(I5:K5)</f>
        <v/>
      </c>
      <c r="R5" s="39">
        <f>SUM(L5:N5)</f>
        <v/>
      </c>
      <c r="S5" s="45" t="n">
        <v>2760562</v>
      </c>
      <c r="T5" s="45" t="n">
        <v>2758565</v>
      </c>
      <c r="U5" s="39" t="n">
        <v>2553393</v>
      </c>
      <c r="V5" s="45">
        <f>515436+507583+534913</f>
        <v/>
      </c>
      <c r="W5" s="45">
        <f>SUM(S5:V5)</f>
        <v/>
      </c>
      <c r="X5" s="39" t="n">
        <v>22442</v>
      </c>
      <c r="Y5" s="39" t="n">
        <v>24122</v>
      </c>
      <c r="Z5" s="39" t="n">
        <v>24579</v>
      </c>
      <c r="AA5" s="39" t="n">
        <v>25016</v>
      </c>
    </row>
    <row r="6">
      <c r="B6" s="39" t="inlineStr">
        <is>
          <t>Лента СП ВК</t>
        </is>
      </c>
      <c r="C6" s="39" t="n">
        <v>3187</v>
      </c>
      <c r="D6" s="39" t="n">
        <v>3732</v>
      </c>
      <c r="E6" s="39" t="n">
        <v>2970</v>
      </c>
      <c r="F6" s="39" t="n">
        <v>3538</v>
      </c>
      <c r="G6" s="39" t="n">
        <v>2791</v>
      </c>
      <c r="H6" s="39" t="n">
        <v>3769</v>
      </c>
      <c r="I6" s="39" t="n">
        <v>3452</v>
      </c>
      <c r="J6" s="39" t="n">
        <v>3045</v>
      </c>
      <c r="K6" s="39" t="n">
        <v>3044</v>
      </c>
      <c r="L6" s="39" t="n">
        <v>3179</v>
      </c>
      <c r="M6" s="39" t="n">
        <v>3486</v>
      </c>
      <c r="N6" s="39" t="n">
        <v>3778</v>
      </c>
      <c r="O6" s="39">
        <f>SUM(C6:E6)</f>
        <v/>
      </c>
      <c r="P6" s="39">
        <f>SUM(F6:H6)</f>
        <v/>
      </c>
      <c r="Q6" s="39">
        <f>SUM(I6:K6)</f>
        <v/>
      </c>
      <c r="R6" s="39">
        <f>SUM(L6:N6)</f>
        <v/>
      </c>
      <c r="S6" s="45" t="n">
        <v>220526</v>
      </c>
      <c r="T6" s="45" t="n">
        <v>189312</v>
      </c>
      <c r="U6" s="39" t="n">
        <v>190334</v>
      </c>
      <c r="V6" s="45">
        <f>62144+60382+67279</f>
        <v/>
      </c>
      <c r="W6" s="45">
        <f>SUM(S6:V6)</f>
        <v/>
      </c>
      <c r="X6" s="39" t="n">
        <v>5001</v>
      </c>
      <c r="Y6" s="39" t="n">
        <v>5000</v>
      </c>
      <c r="Z6" s="39" t="n">
        <v>4996</v>
      </c>
      <c r="AA6" s="39" t="n">
        <v>4996</v>
      </c>
    </row>
    <row r="7">
      <c r="B7" s="39" t="inlineStr">
        <is>
          <t>КС вк</t>
        </is>
      </c>
      <c r="C7" s="39" t="n">
        <v>91225</v>
      </c>
      <c r="D7" s="39" t="n">
        <v>41143</v>
      </c>
      <c r="E7" s="39" t="n">
        <v>43561</v>
      </c>
      <c r="F7" s="39" t="n">
        <v>64172</v>
      </c>
      <c r="G7" s="39" t="n">
        <v>90489</v>
      </c>
      <c r="H7" s="39" t="n">
        <v>61557</v>
      </c>
      <c r="I7" s="39" t="n">
        <v>83741</v>
      </c>
      <c r="J7" s="39" t="n">
        <v>53993</v>
      </c>
      <c r="K7" s="39" t="n">
        <v>79562</v>
      </c>
      <c r="L7" s="39" t="n">
        <v>87356</v>
      </c>
      <c r="M7" s="39" t="n">
        <v>38912</v>
      </c>
      <c r="N7" s="39" t="n">
        <v>59848</v>
      </c>
      <c r="O7" s="39">
        <f>SUM(C7:E7)</f>
        <v/>
      </c>
      <c r="P7" s="39">
        <f>SUM(F7:H7)</f>
        <v/>
      </c>
      <c r="Q7" s="39">
        <f>SUM(I7:K7)</f>
        <v/>
      </c>
      <c r="R7" s="39">
        <f>SUM(L7:N7)</f>
        <v/>
      </c>
      <c r="S7" s="45" t="n">
        <v>1205844</v>
      </c>
      <c r="T7" s="45" t="n">
        <v>1144145</v>
      </c>
      <c r="U7" s="39" t="n">
        <v>1103745</v>
      </c>
      <c r="V7" s="45">
        <f>342567+297411+367809</f>
        <v/>
      </c>
      <c r="W7" s="45">
        <f>SUM(S7:V7)</f>
        <v/>
      </c>
      <c r="X7" s="39" t="n">
        <v>21128</v>
      </c>
      <c r="Y7" s="39" t="n">
        <v>22067</v>
      </c>
      <c r="Z7" s="39" t="n">
        <v>22652</v>
      </c>
      <c r="AA7" s="39" t="n">
        <v>23221</v>
      </c>
    </row>
    <row r="8" customFormat="1" s="13">
      <c r="B8" s="13" t="inlineStr">
        <is>
          <t xml:space="preserve">Неолени </t>
        </is>
      </c>
      <c r="C8" s="13" t="n">
        <v>62050</v>
      </c>
      <c r="D8" s="13" t="n">
        <v>46334</v>
      </c>
      <c r="E8" s="13" t="n">
        <v>67152</v>
      </c>
      <c r="F8" s="13" t="n">
        <v>58224</v>
      </c>
      <c r="G8" s="13" t="n">
        <v>60128</v>
      </c>
      <c r="H8" s="13" t="n">
        <v>48769</v>
      </c>
      <c r="I8" s="13" t="n">
        <v>48094</v>
      </c>
      <c r="J8" s="13" t="n">
        <v>72116</v>
      </c>
      <c r="K8" s="13" t="n">
        <v>55789</v>
      </c>
      <c r="L8" s="13" t="n">
        <v>46333</v>
      </c>
      <c r="M8" s="13" t="n">
        <v>65006</v>
      </c>
      <c r="N8" s="13" t="n">
        <v>96866</v>
      </c>
      <c r="O8" s="13">
        <f>SUM(C8:E8)</f>
        <v/>
      </c>
      <c r="P8" s="13">
        <f>SUM(F8:H8)</f>
        <v/>
      </c>
      <c r="Q8" s="13">
        <f>SUM(I8:K8)</f>
        <v/>
      </c>
      <c r="R8" s="13">
        <f>SUM(L8:N8)</f>
        <v/>
      </c>
      <c r="S8" s="21" t="n">
        <v>583427</v>
      </c>
      <c r="T8" s="21" t="n">
        <v>778735</v>
      </c>
      <c r="U8" s="13" t="n">
        <v>724253</v>
      </c>
      <c r="V8" s="21">
        <f>222568+222855+273790</f>
        <v/>
      </c>
      <c r="W8" s="21">
        <f>SUM(S8:V8)</f>
        <v/>
      </c>
      <c r="X8" s="21" t="n">
        <v>8542</v>
      </c>
      <c r="Y8" s="21" t="n">
        <v>9165</v>
      </c>
      <c r="Z8" s="21" t="n">
        <v>9658</v>
      </c>
      <c r="AA8" s="21" t="n">
        <v>10303</v>
      </c>
    </row>
    <row r="9" customFormat="1" s="23">
      <c r="B9" s="23" t="inlineStr">
        <is>
          <t>этноарктика</t>
        </is>
      </c>
      <c r="C9" s="23" t="n">
        <v>66830</v>
      </c>
      <c r="D9" s="23" t="n">
        <v>65118</v>
      </c>
      <c r="E9" s="23" t="n">
        <v>67239</v>
      </c>
      <c r="F9" s="23" t="n">
        <v>111059</v>
      </c>
      <c r="G9" s="23" t="n">
        <v>62863</v>
      </c>
      <c r="H9" s="23" t="n">
        <v>57205</v>
      </c>
      <c r="I9" s="23" t="n">
        <v>54885</v>
      </c>
      <c r="J9" s="23" t="n">
        <v>64962</v>
      </c>
      <c r="K9" s="23" t="n">
        <v>56585</v>
      </c>
      <c r="L9" s="23" t="n">
        <v>55993</v>
      </c>
      <c r="M9" s="23" t="n">
        <v>301557</v>
      </c>
      <c r="N9" s="23" t="n">
        <v>149401</v>
      </c>
      <c r="O9" s="23">
        <f>SUM(C9:E9)</f>
        <v/>
      </c>
      <c r="P9" s="23">
        <f>SUM(F9:H9)</f>
        <v/>
      </c>
      <c r="Q9" s="23">
        <f>SUM(I9:K9)</f>
        <v/>
      </c>
      <c r="R9" s="23">
        <f>SUM(L9:N9)</f>
        <v/>
      </c>
      <c r="S9" s="24" t="n">
        <v>390718</v>
      </c>
      <c r="T9" s="24" t="n">
        <v>467627</v>
      </c>
      <c r="U9" s="23" t="n">
        <v>372432</v>
      </c>
      <c r="V9" s="24">
        <f>93685+141060+102529</f>
        <v/>
      </c>
      <c r="W9" s="24">
        <f>SUM(S9:V9)</f>
        <v/>
      </c>
      <c r="X9" s="24" t="n">
        <v>6038</v>
      </c>
      <c r="Y9" s="24" t="n">
        <v>6583</v>
      </c>
      <c r="Z9" s="24" t="n">
        <v>7038</v>
      </c>
      <c r="AA9" s="24" t="n">
        <v>7946</v>
      </c>
    </row>
    <row r="10" customFormat="1" s="15">
      <c r="B10" s="15" t="inlineStr">
        <is>
          <t>ЗажгиФАкел</t>
        </is>
      </c>
      <c r="C10" s="15" t="n">
        <v>11934</v>
      </c>
      <c r="D10" s="15" t="n">
        <v>14450</v>
      </c>
      <c r="E10" s="15" t="n">
        <v>19026</v>
      </c>
      <c r="F10" s="15" t="n">
        <v>13522</v>
      </c>
      <c r="G10" s="15" t="n">
        <v>17332</v>
      </c>
      <c r="H10" s="15" t="n">
        <v>21929</v>
      </c>
      <c r="I10" s="15" t="n">
        <v>14026</v>
      </c>
      <c r="J10" s="15" t="n">
        <v>14425</v>
      </c>
      <c r="K10" s="15" t="n">
        <v>15972</v>
      </c>
      <c r="L10" s="15" t="n">
        <v>9952</v>
      </c>
      <c r="M10" s="15" t="n">
        <v>12785</v>
      </c>
      <c r="N10" s="15" t="n">
        <v>12330</v>
      </c>
      <c r="O10" s="15">
        <f>SUM(C10:E10)</f>
        <v/>
      </c>
      <c r="P10" s="15">
        <f>SUM(F10:H10)</f>
        <v/>
      </c>
      <c r="Q10" s="15">
        <f>SUM(I10:K10)</f>
        <v/>
      </c>
      <c r="R10" s="15">
        <f>SUM(L10:N10)</f>
        <v/>
      </c>
      <c r="S10" s="22" t="n">
        <v>258291</v>
      </c>
      <c r="T10" s="22" t="n">
        <v>247123</v>
      </c>
      <c r="U10" s="15" t="n">
        <v>167909</v>
      </c>
      <c r="V10" s="22">
        <f>48738+66811+69868</f>
        <v/>
      </c>
      <c r="W10" s="22">
        <f>SUM(S10:V10)</f>
        <v/>
      </c>
      <c r="X10" s="22" t="n">
        <v>7617</v>
      </c>
      <c r="Y10" s="15" t="n">
        <v>7667</v>
      </c>
      <c r="Z10" s="22" t="n">
        <v>7672</v>
      </c>
      <c r="AA10" s="22" t="n">
        <v>7705</v>
      </c>
    </row>
    <row r="11">
      <c r="B11" s="39" t="inlineStr">
        <is>
          <t>Нярьяна Нгэрм</t>
        </is>
      </c>
      <c r="C11" s="39" t="n">
        <v>32749</v>
      </c>
      <c r="D11" s="39" t="n">
        <v>35493</v>
      </c>
      <c r="E11" s="39" t="n">
        <v>30482</v>
      </c>
      <c r="F11" s="39" t="n">
        <v>43189</v>
      </c>
      <c r="G11" s="39" t="n">
        <v>43321</v>
      </c>
      <c r="H11" s="39" t="n">
        <v>44445</v>
      </c>
      <c r="I11" s="39" t="n">
        <v>17597</v>
      </c>
      <c r="J11" s="39" t="n">
        <v>43584</v>
      </c>
      <c r="K11" s="39" t="n">
        <v>25371</v>
      </c>
      <c r="L11" s="39" t="n">
        <v>24963</v>
      </c>
      <c r="M11" s="39" t="n">
        <v>26120</v>
      </c>
      <c r="N11" s="39" t="n">
        <v>18294</v>
      </c>
      <c r="O11" s="39">
        <f>SUM(C11:E11)</f>
        <v/>
      </c>
      <c r="P11" s="39">
        <f>SUM(F11:H11)</f>
        <v/>
      </c>
      <c r="Q11" s="39">
        <f>SUM(I11:K11)</f>
        <v/>
      </c>
      <c r="R11" s="39">
        <f>SUM(L11:N11)</f>
        <v/>
      </c>
      <c r="S11" s="45" t="n">
        <v>310281</v>
      </c>
      <c r="T11" s="45" t="n">
        <v>402674</v>
      </c>
      <c r="U11" s="39" t="n">
        <v>203381</v>
      </c>
      <c r="V11" s="45">
        <f>65213+73650+73851</f>
        <v/>
      </c>
      <c r="W11" s="45">
        <f>SUM(S11:V11)</f>
        <v/>
      </c>
      <c r="X11" s="45" t="n">
        <v>4387</v>
      </c>
      <c r="Y11" s="39" t="n">
        <v>4519</v>
      </c>
      <c r="Z11" s="45" t="n">
        <v>4609</v>
      </c>
      <c r="AA11" s="45" t="n">
        <v>4764</v>
      </c>
    </row>
    <row r="12">
      <c r="B12" s="16" t="inlineStr">
        <is>
          <t>Лух Авт</t>
        </is>
      </c>
      <c r="C12" s="39" t="n">
        <v>18458</v>
      </c>
      <c r="D12" s="39" t="n">
        <v>18196</v>
      </c>
      <c r="E12" s="39" t="n">
        <v>12409</v>
      </c>
      <c r="F12" s="39" t="n">
        <v>77427</v>
      </c>
      <c r="G12" s="39" t="n">
        <v>47816</v>
      </c>
      <c r="H12" s="39" t="n">
        <v>30959</v>
      </c>
      <c r="I12" s="39" t="n">
        <v>17993</v>
      </c>
      <c r="J12" s="39" t="n">
        <v>14992</v>
      </c>
      <c r="K12" s="39" t="n">
        <v>10526</v>
      </c>
      <c r="L12" s="39" t="n">
        <v>18441</v>
      </c>
      <c r="M12" s="39" t="n">
        <v>10141</v>
      </c>
      <c r="N12" s="39" t="n">
        <v>13881</v>
      </c>
      <c r="O12" s="39">
        <f>SUM(C12:E12)</f>
        <v/>
      </c>
      <c r="P12" s="39">
        <f>SUM(F12:H12)</f>
        <v/>
      </c>
      <c r="Q12" s="39">
        <f>SUM(I12:K12)</f>
        <v/>
      </c>
      <c r="R12" s="39">
        <f>SUM(L12:N12)</f>
        <v/>
      </c>
      <c r="S12" s="45" t="n">
        <v>171339</v>
      </c>
      <c r="T12" s="45" t="n">
        <v>308575</v>
      </c>
      <c r="U12" s="39" t="n">
        <v>115637</v>
      </c>
      <c r="V12" s="45">
        <f>50071+30748+44158</f>
        <v/>
      </c>
      <c r="W12" s="45">
        <f>SUM(S12:V12)</f>
        <v/>
      </c>
      <c r="X12" s="45" t="n">
        <v>1597</v>
      </c>
      <c r="Y12" s="39" t="n">
        <v>1842</v>
      </c>
      <c r="Z12" s="45" t="n">
        <v>1874</v>
      </c>
      <c r="AA12" s="45" t="n">
        <v>1953</v>
      </c>
    </row>
    <row r="13">
      <c r="B13" s="39" t="inlineStr">
        <is>
          <t>Ямальский меридиан</t>
        </is>
      </c>
      <c r="C13" s="39" t="n">
        <v>24296</v>
      </c>
      <c r="D13" s="39" t="n">
        <v>21733</v>
      </c>
      <c r="E13" s="39" t="n">
        <v>22553</v>
      </c>
      <c r="F13" s="39" t="n">
        <v>32771</v>
      </c>
      <c r="G13" s="39" t="n">
        <v>20023</v>
      </c>
      <c r="H13" s="39" t="n">
        <v>27704</v>
      </c>
      <c r="I13" s="39" t="n">
        <v>56814</v>
      </c>
      <c r="J13" s="39" t="n">
        <v>29426</v>
      </c>
      <c r="K13" s="39" t="n">
        <v>47723</v>
      </c>
      <c r="L13" s="39" t="n">
        <v>21377</v>
      </c>
      <c r="M13" s="39" t="n">
        <v>25089</v>
      </c>
      <c r="N13" s="39" t="n">
        <v>21636</v>
      </c>
      <c r="O13" s="39">
        <f>SUM(C13:E13)</f>
        <v/>
      </c>
      <c r="P13" s="39">
        <f>SUM(F13:H13)</f>
        <v/>
      </c>
      <c r="Q13" s="39">
        <f>SUM(I13:K13)</f>
        <v/>
      </c>
      <c r="R13" s="39">
        <f>SUM(L13:N13)</f>
        <v/>
      </c>
      <c r="S13" s="45" t="n">
        <v>167023</v>
      </c>
      <c r="T13" s="45" t="n">
        <v>170477</v>
      </c>
      <c r="U13" s="39" t="n">
        <v>255923</v>
      </c>
      <c r="V13" s="45">
        <f>24058+29484+30456</f>
        <v/>
      </c>
      <c r="W13" s="45">
        <f>SUM(S13:V13)</f>
        <v/>
      </c>
      <c r="X13" s="45" t="n">
        <v>3391</v>
      </c>
      <c r="Y13" s="39" t="n">
        <v>3608</v>
      </c>
      <c r="Z13" s="45" t="n">
        <v>3874</v>
      </c>
      <c r="AA13" s="45" t="n">
        <v>4019</v>
      </c>
    </row>
    <row r="14" customFormat="1" s="17">
      <c r="A14" s="17" t="inlineStr">
        <is>
          <t>ОК</t>
        </is>
      </c>
      <c r="B14" s="17" t="inlineStr">
        <is>
          <t>ЯМ ок</t>
        </is>
      </c>
      <c r="C14" s="17" t="n">
        <v>255435</v>
      </c>
      <c r="D14" s="17" t="n">
        <v>887282</v>
      </c>
      <c r="E14" s="17" t="n">
        <v>309188</v>
      </c>
      <c r="F14" s="17" t="n">
        <v>224824</v>
      </c>
      <c r="G14" s="17" t="n">
        <v>291105</v>
      </c>
      <c r="H14" s="17" t="n">
        <v>232063</v>
      </c>
      <c r="I14" s="17" t="n">
        <v>322290</v>
      </c>
      <c r="J14" s="17" t="n">
        <v>2034616</v>
      </c>
      <c r="K14" s="17" t="n">
        <v>214800</v>
      </c>
      <c r="L14" s="17" t="n">
        <v>141001</v>
      </c>
      <c r="M14" s="17" t="n">
        <v>98378</v>
      </c>
      <c r="N14" s="17" t="n">
        <v>107027</v>
      </c>
      <c r="O14" s="17">
        <f>SUM(C14:E14)</f>
        <v/>
      </c>
      <c r="P14" s="17">
        <f>SUM(F14:H14)</f>
        <v/>
      </c>
      <c r="Q14" s="17">
        <f>SUM(I14:K14)</f>
        <v/>
      </c>
      <c r="R14" s="17">
        <f>SUM(L14:N14)</f>
        <v/>
      </c>
      <c r="S14" s="18">
        <f>1134099+1818026+1316236</f>
        <v/>
      </c>
      <c r="T14" s="18">
        <f>998747+1763793+1196036</f>
        <v/>
      </c>
      <c r="U14" s="18">
        <f>1431253+3664813+827821</f>
        <v/>
      </c>
      <c r="V14" s="18">
        <f>746117+465568+789584</f>
        <v/>
      </c>
      <c r="W14" s="18">
        <f>SUM(S14:V14)</f>
        <v/>
      </c>
      <c r="X14" s="17" t="n">
        <v>27579</v>
      </c>
      <c r="Y14" s="17" t="n">
        <v>28031</v>
      </c>
      <c r="Z14" s="17" t="n">
        <v>28889</v>
      </c>
      <c r="AA14" s="17" t="n">
        <v>29266</v>
      </c>
    </row>
    <row r="15" customFormat="1" s="17">
      <c r="B15" s="17" t="inlineStr">
        <is>
          <t>СП ок</t>
        </is>
      </c>
      <c r="C15" s="17" t="n">
        <v>133909</v>
      </c>
      <c r="D15" s="17" t="n">
        <v>105892</v>
      </c>
      <c r="E15" s="17" t="n">
        <v>181744</v>
      </c>
      <c r="F15" s="17" t="n">
        <v>126118</v>
      </c>
      <c r="G15" s="17" t="n">
        <v>160391</v>
      </c>
      <c r="H15" s="17" t="n">
        <v>305149</v>
      </c>
      <c r="I15" s="17" t="n">
        <v>249830</v>
      </c>
      <c r="J15" s="17" t="n">
        <v>326124</v>
      </c>
      <c r="K15" s="17" t="n">
        <v>269299</v>
      </c>
      <c r="L15" s="17" t="n">
        <v>203171</v>
      </c>
      <c r="M15" s="17" t="n">
        <v>62646</v>
      </c>
      <c r="N15" s="17" t="n">
        <v>22609</v>
      </c>
      <c r="O15" s="17">
        <f>SUM(C15:E15)</f>
        <v/>
      </c>
      <c r="P15" s="17">
        <f>SUM(F15:H15)</f>
        <v/>
      </c>
      <c r="Q15" s="17">
        <f>SUM(I15:K15)</f>
        <v/>
      </c>
      <c r="R15" s="17">
        <f>SUM(L15:N15)</f>
        <v/>
      </c>
      <c r="S15" s="18">
        <f>682611+366850+514633</f>
        <v/>
      </c>
      <c r="T15" s="18">
        <f>753102+1332120+1191635</f>
        <v/>
      </c>
      <c r="U15" s="18">
        <f>1363391+1507620+1157519</f>
        <v/>
      </c>
      <c r="V15" s="18">
        <f>1114937+413452+355825</f>
        <v/>
      </c>
      <c r="W15" s="18">
        <f>SUM(S15:V15)</f>
        <v/>
      </c>
      <c r="X15" s="17" t="n">
        <v>18419</v>
      </c>
      <c r="Y15" s="17" t="n">
        <v>19046</v>
      </c>
      <c r="Z15" s="17" t="n">
        <v>19506</v>
      </c>
      <c r="AA15" s="17" t="n">
        <v>19818</v>
      </c>
    </row>
    <row r="16" customFormat="1" s="17">
      <c r="B16" s="17" t="inlineStr">
        <is>
          <t>Кс ок</t>
        </is>
      </c>
      <c r="C16" s="17" t="n">
        <v>197192</v>
      </c>
      <c r="D16" s="17" t="n">
        <v>149600</v>
      </c>
      <c r="E16" s="17" t="n">
        <v>459716</v>
      </c>
      <c r="F16" s="17" t="n">
        <v>312938</v>
      </c>
      <c r="G16" s="17" t="n">
        <v>212480</v>
      </c>
      <c r="H16" s="17" t="n">
        <v>126335</v>
      </c>
      <c r="I16" s="17" t="n">
        <v>265492</v>
      </c>
      <c r="J16" s="17" t="n">
        <v>178086</v>
      </c>
      <c r="K16" s="17" t="n">
        <v>186853</v>
      </c>
      <c r="L16" s="17" t="n">
        <v>108553</v>
      </c>
      <c r="M16" s="17" t="n">
        <v>64473</v>
      </c>
      <c r="N16" s="17" t="n">
        <v>7949</v>
      </c>
      <c r="O16" s="17">
        <f>SUM(C16:E16)</f>
        <v/>
      </c>
      <c r="P16" s="17">
        <f>SUM(F16:H16)</f>
        <v/>
      </c>
      <c r="Q16" s="17">
        <f>SUM(I16:K16)</f>
        <v/>
      </c>
      <c r="R16" s="17">
        <f>SUM(L16:N16)</f>
        <v/>
      </c>
      <c r="S16" s="18">
        <f>561813+446773+585423</f>
        <v/>
      </c>
      <c r="T16" s="19">
        <f>655438+653439+330122</f>
        <v/>
      </c>
      <c r="U16" s="18">
        <f>585363+531269+712992</f>
        <v/>
      </c>
      <c r="V16" s="18">
        <f>512801+131224+58535</f>
        <v/>
      </c>
      <c r="W16" s="18">
        <f>SUM(S16:V16)</f>
        <v/>
      </c>
      <c r="X16" s="17" t="n">
        <v>7416</v>
      </c>
      <c r="Y16" s="18" t="n">
        <v>7823</v>
      </c>
      <c r="Z16" s="17" t="n">
        <v>8126</v>
      </c>
      <c r="AA16" s="17" t="n">
        <v>8292</v>
      </c>
    </row>
    <row r="17" customFormat="1" s="17">
      <c r="B17" s="17" t="inlineStr">
        <is>
          <t>Нярьяна Нгэрм</t>
        </is>
      </c>
      <c r="C17" s="17" t="n">
        <v>188</v>
      </c>
      <c r="D17" s="17" t="n">
        <v>835</v>
      </c>
      <c r="E17" s="17" t="n">
        <v>851</v>
      </c>
      <c r="F17" s="17" t="n">
        <v>1477</v>
      </c>
      <c r="G17" s="17" t="n">
        <v>2423</v>
      </c>
      <c r="H17" s="17" t="n">
        <v>1667</v>
      </c>
      <c r="I17" s="17" t="n">
        <v>3351</v>
      </c>
      <c r="J17" s="17" t="n">
        <v>1900</v>
      </c>
      <c r="K17" s="17" t="n">
        <v>3556</v>
      </c>
      <c r="L17" s="17" t="n">
        <v>4563</v>
      </c>
      <c r="M17" s="17" t="n">
        <v>2266</v>
      </c>
      <c r="N17" s="17" t="n">
        <v>2256</v>
      </c>
      <c r="O17" s="17">
        <f>SUM(C17:E17)</f>
        <v/>
      </c>
      <c r="P17" s="17">
        <f>SUM(F17:H17)</f>
        <v/>
      </c>
      <c r="Q17" s="17">
        <f>SUM(I17:K17)</f>
        <v/>
      </c>
      <c r="R17" s="17">
        <f>SUM(L17:N17)</f>
        <v/>
      </c>
      <c r="S17" s="18" t="n">
        <v>7922</v>
      </c>
      <c r="T17" s="19" t="n">
        <v>34277</v>
      </c>
      <c r="U17" s="18">
        <f>10038+8255+8565</f>
        <v/>
      </c>
      <c r="V17" s="18">
        <f>15831+4922+8066</f>
        <v/>
      </c>
      <c r="W17" s="18">
        <f>SUM(S17:V17)</f>
        <v/>
      </c>
      <c r="X17" s="17" t="n">
        <v>624</v>
      </c>
      <c r="Y17" s="18" t="n">
        <v>666</v>
      </c>
      <c r="Z17" s="17" t="n">
        <v>678</v>
      </c>
      <c r="AA17" s="17" t="n">
        <v>694</v>
      </c>
    </row>
    <row r="18" customFormat="1" s="17">
      <c r="B18" s="20" t="inlineStr">
        <is>
          <t>Лух Авт</t>
        </is>
      </c>
      <c r="C18" s="17" t="n">
        <v>3864</v>
      </c>
      <c r="D18" s="17" t="n">
        <v>3186</v>
      </c>
      <c r="E18" s="17" t="n">
        <v>1128</v>
      </c>
      <c r="F18" s="17" t="n">
        <v>2738</v>
      </c>
      <c r="G18" s="17" t="n">
        <v>12906</v>
      </c>
      <c r="H18" s="17" t="n">
        <v>16091</v>
      </c>
      <c r="I18" s="17" t="n">
        <v>12887</v>
      </c>
      <c r="J18" s="17" t="n">
        <v>7093</v>
      </c>
      <c r="K18" s="17" t="n">
        <v>4884</v>
      </c>
      <c r="L18" s="17" t="n">
        <v>9419</v>
      </c>
      <c r="M18" s="17" t="n">
        <v>6870</v>
      </c>
      <c r="N18" s="17" t="n">
        <v>5074</v>
      </c>
      <c r="O18" s="17">
        <f>SUM(C18:N18)</f>
        <v/>
      </c>
      <c r="P18" s="17">
        <f>SUM(F18:H18)</f>
        <v/>
      </c>
      <c r="Q18" s="17">
        <f>SUM(I18:K18)</f>
        <v/>
      </c>
      <c r="R18" s="17">
        <f>SUM(L18:N18)</f>
        <v/>
      </c>
      <c r="S18" s="18" t="n">
        <v>37042</v>
      </c>
      <c r="T18" s="19" t="n">
        <v>97247</v>
      </c>
      <c r="U18" s="18">
        <f>43654+19890+7504</f>
        <v/>
      </c>
      <c r="V18" s="18">
        <f>29031+15700+14374</f>
        <v/>
      </c>
      <c r="W18" s="18">
        <f>SUM(S18:V18)</f>
        <v/>
      </c>
      <c r="X18" s="17" t="n">
        <v>555</v>
      </c>
      <c r="Y18" s="18" t="n">
        <v>602</v>
      </c>
      <c r="Z18" s="17" t="n">
        <v>671</v>
      </c>
      <c r="AA18" s="17" t="n">
        <v>703</v>
      </c>
    </row>
    <row r="19" ht="51.6" customHeight="1">
      <c r="N19" s="6" t="inlineStr">
        <is>
          <t>сумма по соцсетям</t>
        </is>
      </c>
      <c r="O19" s="48">
        <f>SUM(O4:O18)</f>
        <v/>
      </c>
      <c r="P19" s="48">
        <f>SUM(P4:P18)</f>
        <v/>
      </c>
      <c r="Q19" s="48">
        <f>SUM(Q4:Q18)</f>
        <v/>
      </c>
      <c r="R19" s="48">
        <f>SUM(R4:R18)</f>
        <v/>
      </c>
      <c r="S19" s="8">
        <f>SUM(S4:S18)</f>
        <v/>
      </c>
      <c r="T19" s="8">
        <f>SUM(T4:T18)</f>
        <v/>
      </c>
      <c r="U19" s="8">
        <f>SUM(U4:U18)</f>
        <v/>
      </c>
      <c r="V19" s="8">
        <f>SUM(V4:V18)</f>
        <v/>
      </c>
      <c r="W19" s="8">
        <f>SUM(W4:W18)</f>
        <v/>
      </c>
      <c r="X19" s="8">
        <f>SUM(X4:X18)</f>
        <v/>
      </c>
      <c r="Y19" s="8">
        <f>SUM(Y4:Y18)</f>
        <v/>
      </c>
      <c r="Z19" s="8">
        <f>SUM(Z4:Z18)</f>
        <v/>
      </c>
      <c r="AA19" s="8">
        <f>SUM(AA4:AA18)</f>
        <v/>
      </c>
    </row>
    <row r="20">
      <c r="Q20" s="39" t="inlineStr">
        <is>
          <t xml:space="preserve">Охват за год </t>
        </is>
      </c>
      <c r="R20" s="39">
        <f>SUM(O19:R19)</f>
        <v/>
      </c>
    </row>
    <row r="21">
      <c r="I21" s="45" t="n"/>
    </row>
    <row r="22" ht="72" customHeight="1">
      <c r="A22" s="39" t="n">
        <v>2024</v>
      </c>
      <c r="B22" s="12" t="inlineStr">
        <is>
          <t>телеграм 2024 Сумма просмотров за месяц</t>
        </is>
      </c>
      <c r="I22" s="45" t="n"/>
      <c r="S22" s="12" t="inlineStr">
        <is>
          <t>Сумма просмотров за 1 квартал</t>
        </is>
      </c>
      <c r="T22" s="12" t="inlineStr">
        <is>
          <t>Сумма просмотров за 2 квартал</t>
        </is>
      </c>
      <c r="U22" s="12" t="inlineStr">
        <is>
          <t>Сумма просмотров за 3 квартал</t>
        </is>
      </c>
      <c r="V22" s="12" t="inlineStr">
        <is>
          <t>Сумма просмотров за 4 квартал</t>
        </is>
      </c>
      <c r="W22" s="12" t="inlineStr">
        <is>
          <t>сумма просмотров за год</t>
        </is>
      </c>
      <c r="X22" s="12" t="inlineStr">
        <is>
          <t>Количество подписчиков 1 квартал</t>
        </is>
      </c>
      <c r="Y22" s="12" t="inlineStr">
        <is>
          <t>Количество подписчиков 2 квартал</t>
        </is>
      </c>
      <c r="Z22" s="12" t="inlineStr">
        <is>
          <t>Количество подписчиков 3 квартал</t>
        </is>
      </c>
      <c r="AA22" s="12" t="inlineStr">
        <is>
          <t>Количество подписчиков 4 квартал</t>
        </is>
      </c>
    </row>
    <row r="23">
      <c r="B23" s="39" t="inlineStr">
        <is>
          <t>ЯМ тг</t>
        </is>
      </c>
      <c r="C23" s="39" t="n">
        <v>1168584</v>
      </c>
      <c r="D23" s="39" t="n">
        <v>1207010</v>
      </c>
      <c r="E23" s="39" t="n">
        <v>1462240</v>
      </c>
      <c r="F23" s="39" t="n">
        <v>1216060</v>
      </c>
      <c r="G23" s="39" t="n">
        <v>1217155</v>
      </c>
      <c r="H23" s="39" t="n">
        <v>1316255</v>
      </c>
      <c r="I23" s="39" t="n">
        <v>1317251</v>
      </c>
      <c r="J23" s="39" t="n">
        <v>1455177</v>
      </c>
      <c r="K23" s="39" t="n">
        <v>1509886</v>
      </c>
      <c r="L23" s="39" t="n">
        <v>1334965</v>
      </c>
      <c r="M23" s="39" t="n">
        <v>1289687</v>
      </c>
      <c r="N23" s="39" t="n">
        <v>1370351</v>
      </c>
      <c r="S23" s="39">
        <f>SUM(C23:E23)</f>
        <v/>
      </c>
      <c r="T23" s="39">
        <f>SUM(F23:H23)</f>
        <v/>
      </c>
      <c r="U23" s="39">
        <f>SUM(I23:K23)</f>
        <v/>
      </c>
      <c r="V23" s="39">
        <f>SUM(L23:N23)</f>
        <v/>
      </c>
      <c r="W23" s="45">
        <f>SUM(S23:V23)</f>
        <v/>
      </c>
      <c r="X23" s="39" t="n">
        <v>8520</v>
      </c>
      <c r="Y23" s="39" t="n">
        <v>9249</v>
      </c>
      <c r="Z23" s="39" t="n">
        <v>9947</v>
      </c>
      <c r="AA23" s="39" t="n">
        <v>10694</v>
      </c>
    </row>
    <row r="24">
      <c r="B24" s="39" t="inlineStr">
        <is>
          <t>Сп тг</t>
        </is>
      </c>
      <c r="C24" s="39" t="n">
        <v>566336</v>
      </c>
      <c r="D24" s="39" t="n">
        <v>525247</v>
      </c>
      <c r="E24" s="39" t="n">
        <v>716848</v>
      </c>
      <c r="F24" s="39" t="n">
        <v>584322</v>
      </c>
      <c r="G24" s="39" t="n">
        <v>556169</v>
      </c>
      <c r="H24" s="39" t="n">
        <v>532561</v>
      </c>
      <c r="I24" s="39" t="n">
        <v>547898</v>
      </c>
      <c r="J24" s="39" t="n">
        <v>683053</v>
      </c>
      <c r="K24" s="39" t="n">
        <v>593431</v>
      </c>
      <c r="L24" s="39" t="n">
        <v>646431</v>
      </c>
      <c r="M24" s="39" t="n">
        <v>621908</v>
      </c>
      <c r="N24" s="39" t="n">
        <v>743150</v>
      </c>
      <c r="S24" s="39">
        <f>SUM(C24:E24)</f>
        <v/>
      </c>
      <c r="T24" s="39">
        <f>SUM(F24:H24)</f>
        <v/>
      </c>
      <c r="U24" s="39">
        <f>SUM(I24:K24)</f>
        <v/>
      </c>
      <c r="V24" s="39">
        <f>SUM(L24:N24)</f>
        <v/>
      </c>
      <c r="W24" s="45">
        <f>SUM(S24:V24)</f>
        <v/>
      </c>
      <c r="X24" s="39" t="n">
        <v>4188</v>
      </c>
      <c r="Y24" s="39" t="n">
        <v>4392</v>
      </c>
      <c r="Z24" s="39" t="n">
        <v>4621</v>
      </c>
      <c r="AA24" s="39" t="n">
        <v>4772</v>
      </c>
    </row>
    <row r="25">
      <c r="B25" s="39" t="inlineStr">
        <is>
          <t>КС тг</t>
        </is>
      </c>
      <c r="C25" s="39" t="n">
        <v>55545</v>
      </c>
      <c r="D25" s="39" t="n">
        <v>43050</v>
      </c>
      <c r="E25" s="39" t="n">
        <v>38810</v>
      </c>
      <c r="F25" s="39" t="n">
        <v>39815</v>
      </c>
      <c r="G25" s="39" t="n">
        <v>39164</v>
      </c>
      <c r="H25" s="39" t="n">
        <v>26262</v>
      </c>
      <c r="I25" s="39" t="n">
        <v>38087</v>
      </c>
      <c r="J25" s="39" t="n">
        <v>40960</v>
      </c>
      <c r="K25" s="39" t="n">
        <v>39516</v>
      </c>
      <c r="L25" s="39" t="n">
        <v>65820</v>
      </c>
      <c r="M25" s="39" t="n">
        <v>35841</v>
      </c>
      <c r="N25" s="39" t="n">
        <v>48640</v>
      </c>
      <c r="S25" s="39">
        <f>SUM(C25:E25)</f>
        <v/>
      </c>
      <c r="T25" s="39">
        <f>SUM(F25:H25)</f>
        <v/>
      </c>
      <c r="U25" s="39">
        <f>SUM(I25:K25)</f>
        <v/>
      </c>
      <c r="V25" s="39">
        <f>SUM(L25:N25)</f>
        <v/>
      </c>
      <c r="W25" s="45">
        <f>SUM(S25:V25)</f>
        <v/>
      </c>
      <c r="X25" s="39" t="n">
        <v>806</v>
      </c>
      <c r="Y25" s="39" t="n">
        <v>867</v>
      </c>
      <c r="Z25" s="39" t="n">
        <v>914</v>
      </c>
      <c r="AA25" s="39" t="n">
        <v>957</v>
      </c>
    </row>
    <row r="26">
      <c r="B26" s="39" t="inlineStr">
        <is>
          <t>НеОлениПишут тг</t>
        </is>
      </c>
      <c r="C26" s="39" t="n">
        <v>104220</v>
      </c>
      <c r="D26" s="39" t="n">
        <v>154539</v>
      </c>
      <c r="E26" s="39" t="n">
        <v>153995</v>
      </c>
      <c r="F26" s="39" t="n">
        <v>170842</v>
      </c>
      <c r="G26" s="39" t="n">
        <v>127471</v>
      </c>
      <c r="H26" s="39" t="n">
        <v>101399</v>
      </c>
      <c r="I26" s="39" t="n">
        <v>103732</v>
      </c>
      <c r="J26" s="39" t="n">
        <v>122793</v>
      </c>
      <c r="K26" s="39" t="n">
        <v>114630</v>
      </c>
      <c r="L26" s="39" t="n">
        <v>109455</v>
      </c>
      <c r="M26" s="39" t="n">
        <v>142458</v>
      </c>
      <c r="N26" s="39" t="n">
        <v>162511</v>
      </c>
      <c r="S26" s="39">
        <f>SUM(C26:E26)</f>
        <v/>
      </c>
      <c r="T26" s="39">
        <f>SUM(F26:H26)</f>
        <v/>
      </c>
      <c r="U26" s="39">
        <f>SUM(I26:K26)</f>
        <v/>
      </c>
      <c r="V26" s="39">
        <f>SUM(L26:N26)</f>
        <v/>
      </c>
      <c r="W26" s="45">
        <f>SUM(S26:V26)</f>
        <v/>
      </c>
      <c r="X26" s="39" t="n">
        <v>1856</v>
      </c>
      <c r="Y26" s="39" t="n">
        <v>1940</v>
      </c>
      <c r="Z26" s="39" t="n">
        <v>2042</v>
      </c>
      <c r="AA26" s="39" t="n">
        <v>2519</v>
      </c>
    </row>
    <row r="27" ht="57.6" customHeight="1">
      <c r="B27" s="12" t="n"/>
      <c r="N27" s="6" t="inlineStr">
        <is>
          <t>сумма по телеграму</t>
        </is>
      </c>
      <c r="O27" s="48">
        <f>SUM(O23:O26)</f>
        <v/>
      </c>
      <c r="P27" s="48" t="n"/>
      <c r="Q27" s="48" t="n"/>
      <c r="R27" s="48" t="n"/>
      <c r="S27" s="48">
        <f>SUM(S23:S26)</f>
        <v/>
      </c>
      <c r="T27" s="48">
        <f>SUM(T23:T26)</f>
        <v/>
      </c>
      <c r="U27" s="48">
        <f>SUM(U23:U26)</f>
        <v/>
      </c>
      <c r="V27" s="48">
        <f>SUM(V23:V26)</f>
        <v/>
      </c>
      <c r="W27" s="48">
        <f>SUM(W23:W26)</f>
        <v/>
      </c>
      <c r="X27" s="48">
        <f>SUM(X23:X26)</f>
        <v/>
      </c>
      <c r="Y27" s="48">
        <f>SUM(Y23:Y26)</f>
        <v/>
      </c>
      <c r="Z27" s="48">
        <f>SUM(Z23:Z26)</f>
        <v/>
      </c>
      <c r="AA27" s="48">
        <f>SUM(AA23:AA26)</f>
        <v/>
      </c>
    </row>
    <row r="28" ht="72" customHeight="1">
      <c r="B28" s="39" t="inlineStr">
        <is>
          <t>распределение по полу</t>
        </is>
      </c>
      <c r="N28" s="9" t="inlineStr">
        <is>
          <t>общие показатели с телеграмом</t>
        </is>
      </c>
      <c r="O28" s="10">
        <f>SUM(O19+O27)</f>
        <v/>
      </c>
      <c r="P28" s="10">
        <f>SUM(P19+P27)</f>
        <v/>
      </c>
      <c r="Q28" s="10">
        <f>SUM(Q19+Q27)</f>
        <v/>
      </c>
      <c r="R28" s="10">
        <f>SUM(R19+R27)</f>
        <v/>
      </c>
      <c r="S28" s="11">
        <f>SUM(S19+S27)</f>
        <v/>
      </c>
      <c r="T28" s="11">
        <f>SUM(T19+T27)</f>
        <v/>
      </c>
      <c r="U28" s="11">
        <f>SUM(U19+U27)</f>
        <v/>
      </c>
      <c r="V28" s="11">
        <f>SUM(V19+V27)</f>
        <v/>
      </c>
      <c r="W28" s="11">
        <f>SUM(W19+W27)</f>
        <v/>
      </c>
      <c r="X28" s="10">
        <f>SUM(X19+X27)</f>
        <v/>
      </c>
      <c r="Y28" s="10">
        <f>SUM(Y19+Y27)</f>
        <v/>
      </c>
      <c r="Z28" s="11">
        <f>SUM(Z19+Z27)</f>
        <v/>
      </c>
      <c r="AA28" s="11">
        <f>SUM(AA19+AA27)</f>
        <v/>
      </c>
    </row>
    <row r="29">
      <c r="C29" s="39" t="inlineStr">
        <is>
          <t>М %</t>
        </is>
      </c>
      <c r="D29" s="39" t="inlineStr">
        <is>
          <t>Ж %</t>
        </is>
      </c>
    </row>
    <row r="30">
      <c r="B30" s="39" t="inlineStr">
        <is>
          <t>Ям вк</t>
        </is>
      </c>
      <c r="C30" s="39" t="n">
        <v>37</v>
      </c>
      <c r="D30" s="39" t="n">
        <v>63</v>
      </c>
    </row>
    <row r="31">
      <c r="B31" s="39" t="inlineStr">
        <is>
          <t>СП вк</t>
        </is>
      </c>
      <c r="C31" s="39" t="n">
        <v>32</v>
      </c>
      <c r="D31" s="39" t="n">
        <v>68</v>
      </c>
    </row>
    <row r="32">
      <c r="B32" s="39" t="inlineStr">
        <is>
          <t>КС вк</t>
        </is>
      </c>
      <c r="C32" s="39" t="n">
        <v>36</v>
      </c>
      <c r="D32" s="39" t="n">
        <v>64</v>
      </c>
    </row>
    <row r="33">
      <c r="B33" s="13" t="inlineStr">
        <is>
          <t xml:space="preserve">Неолени </t>
        </is>
      </c>
      <c r="C33" s="39" t="n">
        <v>28</v>
      </c>
      <c r="D33" s="39" t="n">
        <v>72</v>
      </c>
    </row>
    <row r="34">
      <c r="B34" s="14" t="inlineStr">
        <is>
          <t>этогноарктика</t>
        </is>
      </c>
      <c r="C34" s="39" t="n">
        <v>33</v>
      </c>
      <c r="D34" s="39" t="n">
        <v>67</v>
      </c>
    </row>
    <row r="35">
      <c r="B35" s="15" t="inlineStr">
        <is>
          <t>ЗажгиФАкел</t>
        </is>
      </c>
      <c r="C35" s="39" t="n">
        <v>47</v>
      </c>
      <c r="D35" s="39" t="n">
        <v>53</v>
      </c>
    </row>
    <row r="36">
      <c r="B36" s="39" t="inlineStr">
        <is>
          <t>ЯМ ок</t>
        </is>
      </c>
      <c r="C36" s="39" t="n">
        <v>36</v>
      </c>
      <c r="D36" s="39" t="n">
        <v>64</v>
      </c>
    </row>
    <row r="37">
      <c r="B37" s="39" t="inlineStr">
        <is>
          <t>СП ок</t>
        </is>
      </c>
      <c r="C37" s="39" t="n">
        <v>35</v>
      </c>
      <c r="D37" s="39" t="n">
        <v>65</v>
      </c>
    </row>
    <row r="38">
      <c r="B38" s="39" t="inlineStr">
        <is>
          <t>Кс ок</t>
        </is>
      </c>
      <c r="C38" s="39" t="n">
        <v>35</v>
      </c>
      <c r="D38" s="39" t="n">
        <v>65</v>
      </c>
    </row>
    <row r="39">
      <c r="B39" s="39" t="inlineStr">
        <is>
          <t>ЯМ тг</t>
        </is>
      </c>
      <c r="C39" s="39" t="n">
        <v>32</v>
      </c>
      <c r="D39" s="39" t="n">
        <v>68</v>
      </c>
    </row>
    <row r="40">
      <c r="B40" s="39" t="inlineStr">
        <is>
          <t>Сп тг</t>
        </is>
      </c>
      <c r="C40" s="39" t="n">
        <v>30</v>
      </c>
      <c r="D40" s="39" t="n">
        <v>70</v>
      </c>
    </row>
    <row r="41">
      <c r="B41" s="39" t="inlineStr">
        <is>
          <t>КС тг</t>
        </is>
      </c>
      <c r="C41" s="39" t="n">
        <v>32</v>
      </c>
      <c r="D41" s="39" t="n">
        <v>68</v>
      </c>
    </row>
    <row r="42">
      <c r="B42" s="39" t="inlineStr">
        <is>
          <t>НеОлениПишут тг</t>
        </is>
      </c>
      <c r="C42" s="39" t="n">
        <v>29</v>
      </c>
      <c r="D42" s="39" t="n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A42"/>
  <sheetViews>
    <sheetView topLeftCell="L3" workbookViewId="0">
      <selection activeCell="X5" sqref="X5"/>
    </sheetView>
  </sheetViews>
  <sheetFormatPr baseColWidth="8" defaultRowHeight="14.25"/>
  <cols>
    <col width="19.3984375" customWidth="1" min="2" max="2"/>
    <col width="10.73046875" customWidth="1" min="19" max="19"/>
    <col width="11.3984375" customWidth="1" min="20" max="20"/>
    <col width="11.265625" customWidth="1" min="21" max="21"/>
    <col width="11.3984375" customWidth="1" min="22" max="22"/>
    <col width="10.86328125" customWidth="1" min="23" max="23"/>
  </cols>
  <sheetData>
    <row r="1" customFormat="1" s="39"/>
    <row r="2" ht="86.45" customFormat="1" customHeight="1" s="39">
      <c r="C2" s="39" t="inlineStr">
        <is>
          <t>Охваты</t>
        </is>
      </c>
      <c r="O2" s="12" t="inlineStr">
        <is>
          <t>сумма месячных охватов 1  квартал</t>
        </is>
      </c>
      <c r="P2" s="12" t="inlineStr">
        <is>
          <t>сумма месячных охватов 2  квартал</t>
        </is>
      </c>
      <c r="Q2" s="12" t="inlineStr">
        <is>
          <t>сумма месячных охватов 3  квартал</t>
        </is>
      </c>
      <c r="R2" s="12" t="inlineStr">
        <is>
          <t>сумма месячных охватов 4  квартал</t>
        </is>
      </c>
      <c r="S2" s="12" t="inlineStr">
        <is>
          <t>Сумма просмотров за 1 квартал</t>
        </is>
      </c>
      <c r="T2" s="12" t="inlineStr">
        <is>
          <t>Сумма просмотров за 2 квартал</t>
        </is>
      </c>
      <c r="U2" s="12" t="inlineStr">
        <is>
          <t>Сумма просмотров за 3 квартал</t>
        </is>
      </c>
      <c r="V2" s="12" t="inlineStr">
        <is>
          <t>Сумма просмотров за 4 квартал</t>
        </is>
      </c>
      <c r="W2" s="12" t="inlineStr">
        <is>
          <t>сумма просмотров за год</t>
        </is>
      </c>
      <c r="X2" s="12" t="inlineStr">
        <is>
          <t>Количество подписчиков 1 квартал</t>
        </is>
      </c>
      <c r="Y2" s="12" t="inlineStr">
        <is>
          <t>Количество подписчиков 2 квартал</t>
        </is>
      </c>
      <c r="Z2" s="12" t="inlineStr">
        <is>
          <t>Количество подписчиков 3 квартал</t>
        </is>
      </c>
      <c r="AA2" s="12" t="inlineStr">
        <is>
          <t>Количество подписчиков 4 квартал</t>
        </is>
      </c>
    </row>
    <row r="3" customFormat="1" s="39">
      <c r="B3" s="39" t="n">
        <v>2025</v>
      </c>
      <c r="C3" s="39" t="inlineStr">
        <is>
          <t>январь</t>
        </is>
      </c>
      <c r="D3" s="39" t="inlineStr">
        <is>
          <t>февраль</t>
        </is>
      </c>
      <c r="E3" s="39" t="inlineStr">
        <is>
          <t>март</t>
        </is>
      </c>
      <c r="F3" s="39" t="inlineStr">
        <is>
          <t>апрель</t>
        </is>
      </c>
      <c r="G3" s="39" t="inlineStr">
        <is>
          <t>май</t>
        </is>
      </c>
      <c r="H3" s="39" t="inlineStr">
        <is>
          <t>июнь</t>
        </is>
      </c>
      <c r="I3" s="39" t="inlineStr">
        <is>
          <t>июль</t>
        </is>
      </c>
      <c r="J3" s="39" t="inlineStr">
        <is>
          <t>август</t>
        </is>
      </c>
      <c r="K3" s="39" t="inlineStr">
        <is>
          <t>сентябрь</t>
        </is>
      </c>
      <c r="L3" s="39" t="inlineStr">
        <is>
          <t>октябрь</t>
        </is>
      </c>
      <c r="M3" s="39" t="inlineStr">
        <is>
          <t>ноябрь</t>
        </is>
      </c>
      <c r="N3" s="39" t="inlineStr">
        <is>
          <t>декабрь</t>
        </is>
      </c>
    </row>
    <row r="4" customFormat="1" s="39">
      <c r="A4" s="39" t="inlineStr">
        <is>
          <t>ВК</t>
        </is>
      </c>
      <c r="B4" s="39" t="inlineStr">
        <is>
          <t>Ям вк</t>
        </is>
      </c>
      <c r="C4" s="39" t="n">
        <v>584354</v>
      </c>
      <c r="D4" s="39" t="n">
        <v>503124</v>
      </c>
      <c r="E4" s="39" t="n">
        <v>662600</v>
      </c>
      <c r="F4" s="39" t="n">
        <v>619024</v>
      </c>
      <c r="G4" s="39" t="n">
        <v>719700</v>
      </c>
      <c r="H4" s="39" t="n">
        <v>609903</v>
      </c>
      <c r="I4" s="39" t="n">
        <v>723910</v>
      </c>
      <c r="J4" s="39" t="n">
        <v>951945</v>
      </c>
      <c r="K4" s="39" t="n">
        <v>1038684</v>
      </c>
      <c r="L4" s="39" t="n">
        <v>865383</v>
      </c>
      <c r="M4" s="39" t="n">
        <v>795039</v>
      </c>
      <c r="N4" s="39" t="n">
        <v>658492</v>
      </c>
      <c r="O4" s="39">
        <f>SUM(C4:E4)</f>
        <v/>
      </c>
      <c r="P4" s="39">
        <f>SUM(F4:H4)</f>
        <v/>
      </c>
      <c r="Q4" s="39">
        <f>SUM(I4:K4)</f>
        <v/>
      </c>
      <c r="R4" s="39">
        <f>SUM(L4:N4)</f>
        <v/>
      </c>
      <c r="S4" s="45">
        <f>2443401+2385819+2625317</f>
        <v/>
      </c>
      <c r="T4" s="45">
        <f>1989911+2528042+2382877</f>
        <v/>
      </c>
      <c r="U4" s="39">
        <f>2595771+2283991+2024969</f>
        <v/>
      </c>
      <c r="V4" s="45">
        <f>2081074+2350854+2846113</f>
        <v/>
      </c>
      <c r="W4" s="45">
        <f>SUM(S4:V4)</f>
        <v/>
      </c>
      <c r="X4" s="39" t="n">
        <v>82620</v>
      </c>
      <c r="Y4" s="39" t="n">
        <v>80261</v>
      </c>
      <c r="Z4" s="39" t="n">
        <v>82767</v>
      </c>
      <c r="AA4" s="39" t="n">
        <v>85284</v>
      </c>
    </row>
    <row r="5" customFormat="1" s="39">
      <c r="B5" s="39" t="inlineStr">
        <is>
          <t>СП вк</t>
        </is>
      </c>
      <c r="C5" s="39" t="n">
        <v>160424</v>
      </c>
      <c r="D5" s="39" t="n">
        <v>132226</v>
      </c>
      <c r="E5" s="39" t="n">
        <v>195582</v>
      </c>
      <c r="F5" s="39" t="n">
        <v>178420</v>
      </c>
      <c r="G5" s="39" t="n">
        <v>151289</v>
      </c>
      <c r="H5" s="39" t="n">
        <v>179834</v>
      </c>
      <c r="I5" s="39" t="n">
        <v>203504</v>
      </c>
      <c r="J5" s="39" t="n">
        <v>238686</v>
      </c>
      <c r="K5" s="39" t="n">
        <v>183165</v>
      </c>
      <c r="L5" s="39" t="n">
        <v>163318</v>
      </c>
      <c r="M5" s="39" t="n">
        <v>141774</v>
      </c>
      <c r="N5" s="39" t="n">
        <v>104295</v>
      </c>
      <c r="O5" s="39">
        <f>SUM(C5:E5)</f>
        <v/>
      </c>
      <c r="P5" s="39">
        <f>SUM(F5:H5)</f>
        <v/>
      </c>
      <c r="Q5" s="39">
        <f>SUM(I5:K5)</f>
        <v/>
      </c>
      <c r="R5" s="39">
        <f>SUM(L5:N5)</f>
        <v/>
      </c>
      <c r="S5" s="45">
        <f>636377+537581+766806</f>
        <v/>
      </c>
      <c r="T5" s="45">
        <f>710913+839617+750910</f>
        <v/>
      </c>
      <c r="U5" s="39">
        <f>939037+707291+642501</f>
        <v/>
      </c>
      <c r="V5" s="45">
        <f>1066958+1023638+1866992</f>
        <v/>
      </c>
      <c r="W5" s="45">
        <f>SUM(S5:V5)</f>
        <v/>
      </c>
      <c r="X5" s="39" t="n">
        <v>26058</v>
      </c>
      <c r="Y5" s="39" t="n">
        <v>26277</v>
      </c>
      <c r="Z5" s="39" t="n">
        <v>26832</v>
      </c>
      <c r="AA5" s="39" t="n">
        <v>27214</v>
      </c>
    </row>
    <row r="6" customFormat="1" s="39">
      <c r="B6" s="39" t="inlineStr">
        <is>
          <t>Лента СП ВК</t>
        </is>
      </c>
      <c r="C6" s="39" t="n">
        <v>2917</v>
      </c>
      <c r="D6" s="39" t="n">
        <v>2769</v>
      </c>
      <c r="E6" s="39" t="n">
        <v>4620</v>
      </c>
      <c r="F6" s="39" t="n">
        <v>2604</v>
      </c>
      <c r="G6" s="39" t="n">
        <v>1663</v>
      </c>
      <c r="H6" s="39" t="n">
        <v>3107</v>
      </c>
      <c r="I6" s="39" t="n">
        <v>2493</v>
      </c>
      <c r="J6" s="39" t="n">
        <v>2627</v>
      </c>
      <c r="K6" s="39" t="n">
        <v>2183</v>
      </c>
      <c r="L6" s="39" t="n">
        <v>1928</v>
      </c>
      <c r="M6" s="39" t="n">
        <v>1881</v>
      </c>
      <c r="N6" s="39" t="n">
        <v>1555</v>
      </c>
      <c r="O6" s="39">
        <f>SUM(C6:E6)</f>
        <v/>
      </c>
      <c r="P6" s="39">
        <f>SUM(F6:H6)</f>
        <v/>
      </c>
      <c r="Q6" s="39">
        <f>SUM(I6:K6)</f>
        <v/>
      </c>
      <c r="R6" s="39">
        <f>SUM(L6:N6)</f>
        <v/>
      </c>
      <c r="S6" s="45">
        <f>71579+57241+66664</f>
        <v/>
      </c>
      <c r="T6" s="39">
        <f>60308+27874+60137</f>
        <v/>
      </c>
      <c r="U6" s="39">
        <f>48382+39361+35040</f>
        <v/>
      </c>
      <c r="V6" s="45">
        <f>31984+23439+86735</f>
        <v/>
      </c>
      <c r="W6" s="45">
        <f>SUM(S6:V6)</f>
        <v/>
      </c>
      <c r="X6" s="39" t="n">
        <v>4995</v>
      </c>
      <c r="Y6" s="39" t="n">
        <v>4992</v>
      </c>
      <c r="Z6" s="39" t="n">
        <v>4987</v>
      </c>
      <c r="AA6" s="39" t="n">
        <v>4987</v>
      </c>
    </row>
    <row r="7" customFormat="1" s="39">
      <c r="B7" s="39" t="inlineStr">
        <is>
          <t>КС вк</t>
        </is>
      </c>
      <c r="C7" s="39" t="n">
        <v>84565</v>
      </c>
      <c r="D7" s="39" t="n">
        <v>58169</v>
      </c>
      <c r="E7" s="39" t="n">
        <v>70171</v>
      </c>
      <c r="F7" s="39" t="n">
        <v>80890</v>
      </c>
      <c r="G7" s="39" t="n">
        <v>83997</v>
      </c>
      <c r="H7" s="39" t="n">
        <v>55636</v>
      </c>
      <c r="I7" s="39" t="n">
        <v>74896</v>
      </c>
      <c r="J7" s="39" t="n">
        <v>46554</v>
      </c>
      <c r="K7" s="39" t="n">
        <v>56629</v>
      </c>
      <c r="L7" s="39" t="n">
        <v>88353</v>
      </c>
      <c r="M7" s="39" t="n">
        <v>70983</v>
      </c>
      <c r="N7" s="39" t="n">
        <v>52802</v>
      </c>
      <c r="O7" s="39">
        <f>SUM(C7:E7)</f>
        <v/>
      </c>
      <c r="P7" s="39">
        <f>SUM(F7:H7)</f>
        <v/>
      </c>
      <c r="Q7" s="39">
        <f>SUM(I7:K7)</f>
        <v/>
      </c>
      <c r="R7" s="39">
        <f>SUM(L7:N7)</f>
        <v/>
      </c>
      <c r="S7" s="45">
        <f>465937+346492+399906</f>
        <v/>
      </c>
      <c r="T7" s="45">
        <f>400648+497118+374420</f>
        <v/>
      </c>
      <c r="U7" s="39">
        <f>592644+443828+549746</f>
        <v/>
      </c>
      <c r="V7" s="45">
        <f>798316+727653+1333965</f>
        <v/>
      </c>
      <c r="W7" s="45">
        <f>SUM(S7:V7)</f>
        <v/>
      </c>
      <c r="X7" s="39" t="n">
        <v>23693</v>
      </c>
      <c r="Y7" s="39" t="n">
        <v>23347</v>
      </c>
      <c r="Z7" s="39" t="n">
        <v>23456</v>
      </c>
      <c r="AA7" s="39" t="n">
        <v>23696</v>
      </c>
    </row>
    <row r="8" customFormat="1" s="13">
      <c r="B8" s="13" t="inlineStr">
        <is>
          <t xml:space="preserve">Неолени </t>
        </is>
      </c>
      <c r="C8" s="13" t="n">
        <v>77520</v>
      </c>
      <c r="D8" s="13" t="n">
        <v>60913</v>
      </c>
      <c r="E8" s="13" t="n">
        <v>135198</v>
      </c>
      <c r="F8" s="13" t="n">
        <v>97616</v>
      </c>
      <c r="G8" s="13" t="n">
        <v>68194</v>
      </c>
      <c r="H8" s="13" t="n">
        <v>61962</v>
      </c>
      <c r="I8" s="13" t="n">
        <v>79833</v>
      </c>
      <c r="J8" s="13" t="n">
        <v>521462</v>
      </c>
      <c r="K8" s="13" t="n">
        <v>59542</v>
      </c>
      <c r="L8" s="13" t="n">
        <v>37149</v>
      </c>
      <c r="M8" s="13" t="n">
        <v>64352</v>
      </c>
      <c r="N8" s="13" t="n">
        <v>35854</v>
      </c>
      <c r="O8" s="13">
        <f>SUM(C8:E8)</f>
        <v/>
      </c>
      <c r="P8" s="13">
        <f>SUM(F8:H8)</f>
        <v/>
      </c>
      <c r="Q8" s="13">
        <f>SUM(I8:K8)</f>
        <v/>
      </c>
      <c r="R8" s="13">
        <f>SUM(L8:N8)</f>
        <v/>
      </c>
      <c r="S8" s="21">
        <f>208321+242883+313824</f>
        <v/>
      </c>
      <c r="T8" s="21">
        <f>327009+276344+269850</f>
        <v/>
      </c>
      <c r="U8" s="13">
        <f>337800+258384+274870</f>
        <v/>
      </c>
      <c r="V8" s="21">
        <f>102584+51086+82270</f>
        <v/>
      </c>
      <c r="W8" s="21">
        <f>SUM(S8:V8)</f>
        <v/>
      </c>
      <c r="X8" s="21" t="n">
        <v>10857</v>
      </c>
      <c r="Y8" s="21" t="n">
        <v>11331</v>
      </c>
      <c r="Z8" s="21" t="n">
        <v>11591</v>
      </c>
      <c r="AA8" s="21" t="n">
        <v>11818</v>
      </c>
    </row>
    <row r="9" customFormat="1" s="23">
      <c r="B9" s="23" t="inlineStr">
        <is>
          <t>этноарктика</t>
        </is>
      </c>
      <c r="C9" s="23" t="n">
        <v>250974</v>
      </c>
      <c r="D9" s="23" t="n">
        <v>145858</v>
      </c>
      <c r="E9" s="23" t="n">
        <v>166192</v>
      </c>
      <c r="F9" s="23" t="n">
        <v>86762</v>
      </c>
      <c r="G9" s="23" t="n">
        <v>127530</v>
      </c>
      <c r="H9" s="23" t="n">
        <v>112984</v>
      </c>
      <c r="I9" s="23" t="n">
        <v>234523</v>
      </c>
      <c r="J9" s="23" t="n">
        <v>409557</v>
      </c>
      <c r="K9" s="23" t="n">
        <v>152969</v>
      </c>
      <c r="L9" s="23" t="n">
        <v>37710</v>
      </c>
      <c r="M9" s="23" t="n">
        <v>75470</v>
      </c>
      <c r="N9" s="23" t="n">
        <v>37637</v>
      </c>
      <c r="O9" s="23">
        <f>SUM(C9:E9)</f>
        <v/>
      </c>
      <c r="P9" s="23">
        <f>SUM(F9:H9)</f>
        <v/>
      </c>
      <c r="Q9" s="23">
        <f>SUM(I9:K9)</f>
        <v/>
      </c>
      <c r="R9" s="23">
        <f>SUM(L9:N9)</f>
        <v/>
      </c>
      <c r="S9" s="24">
        <f>90012+105609+145111</f>
        <v/>
      </c>
      <c r="T9" s="24">
        <f>201379+167907+176798</f>
        <v/>
      </c>
      <c r="U9" s="23">
        <f>221952+161360+309090</f>
        <v/>
      </c>
      <c r="V9" s="24">
        <f>46933+88749+177187</f>
        <v/>
      </c>
      <c r="W9" s="24">
        <f>SUM(S9:V9)</f>
        <v/>
      </c>
      <c r="X9" s="24" t="n">
        <v>8968</v>
      </c>
      <c r="Y9" s="24" t="n">
        <v>9705</v>
      </c>
      <c r="Z9" s="24" t="n">
        <v>10223</v>
      </c>
      <c r="AA9" s="24" t="n">
        <v>10455</v>
      </c>
    </row>
    <row r="10" customFormat="1" s="15">
      <c r="B10" s="15" t="inlineStr">
        <is>
          <t>ЗажгиФАкел</t>
        </is>
      </c>
      <c r="C10" s="15" t="n">
        <v>8989</v>
      </c>
      <c r="D10" s="15" t="n">
        <v>12822</v>
      </c>
      <c r="E10" s="15" t="n">
        <v>10948</v>
      </c>
      <c r="F10" s="15" t="n">
        <v>16525</v>
      </c>
      <c r="G10" s="15" t="n">
        <v>12774</v>
      </c>
      <c r="H10" s="15" t="n">
        <v>12456</v>
      </c>
      <c r="I10" s="15" t="n">
        <v>19589</v>
      </c>
      <c r="J10" s="15" t="n">
        <v>29248</v>
      </c>
      <c r="K10" s="15" t="n">
        <v>25602</v>
      </c>
      <c r="L10" s="15" t="n">
        <v>23221</v>
      </c>
      <c r="M10" s="15" t="n">
        <v>8001</v>
      </c>
      <c r="N10" s="15" t="n">
        <v>3709</v>
      </c>
      <c r="O10" s="15">
        <f>SUM(C10:N10)</f>
        <v/>
      </c>
      <c r="P10" s="15">
        <f>SUM(F10:H10)</f>
        <v/>
      </c>
      <c r="Q10" s="15">
        <f>SUM(I10:K10)</f>
        <v/>
      </c>
      <c r="R10" s="15">
        <f>SUM(L10:N10)</f>
        <v/>
      </c>
      <c r="S10" s="22">
        <f>33017+64892+62996</f>
        <v/>
      </c>
      <c r="T10" s="22">
        <f>78217+48906+34318</f>
        <v/>
      </c>
      <c r="U10" s="15">
        <f>57727+43247+86963</f>
        <v/>
      </c>
      <c r="V10" s="22">
        <f>86116+26898+27267</f>
        <v/>
      </c>
      <c r="W10" s="22">
        <f>SUM(S10:V10)</f>
        <v/>
      </c>
      <c r="X10" s="22" t="n">
        <v>7809</v>
      </c>
      <c r="Y10" s="15" t="n">
        <v>8133</v>
      </c>
      <c r="Z10" s="22" t="n">
        <v>8151</v>
      </c>
      <c r="AA10" s="22" t="n">
        <v>8190</v>
      </c>
    </row>
    <row r="11" customFormat="1" s="39">
      <c r="B11" s="39" t="inlineStr">
        <is>
          <t>Нярьяна Нгэрм</t>
        </is>
      </c>
      <c r="C11" s="39" t="n">
        <v>22390</v>
      </c>
      <c r="D11" s="39" t="n">
        <v>27854</v>
      </c>
      <c r="E11" s="39" t="n">
        <v>35205</v>
      </c>
      <c r="F11" s="39" t="n">
        <v>32275</v>
      </c>
      <c r="G11" s="39" t="n">
        <v>35043</v>
      </c>
      <c r="H11" s="39" t="n">
        <v>30195</v>
      </c>
      <c r="I11" s="39" t="n">
        <v>18164</v>
      </c>
      <c r="J11" s="39" t="n">
        <v>27251</v>
      </c>
      <c r="K11" s="39" t="n">
        <v>25168</v>
      </c>
      <c r="L11" s="39" t="n">
        <v>28722</v>
      </c>
      <c r="M11" s="39" t="n">
        <v>15318</v>
      </c>
      <c r="N11" s="39" t="n">
        <v>18124</v>
      </c>
      <c r="O11" s="39">
        <f>SUM(C11:E11)</f>
        <v/>
      </c>
      <c r="P11" s="39">
        <f>SUM(F11:H11)</f>
        <v/>
      </c>
      <c r="Q11" s="39">
        <f>SUM(I11:K11)</f>
        <v/>
      </c>
      <c r="R11" s="39">
        <f>SUM(L11:N11)</f>
        <v/>
      </c>
      <c r="S11" s="45">
        <f>68787+80800+89521</f>
        <v/>
      </c>
      <c r="T11" s="45">
        <f>101625+122559+112364</f>
        <v/>
      </c>
      <c r="U11" s="39">
        <f>78475+75616+79225</f>
        <v/>
      </c>
      <c r="V11" s="45">
        <f>110986+64689+146715</f>
        <v/>
      </c>
      <c r="W11" s="45">
        <f>SUM(S11:V11)</f>
        <v/>
      </c>
      <c r="X11" s="45" t="n">
        <v>5114</v>
      </c>
      <c r="Y11" s="39" t="n">
        <v>5435</v>
      </c>
      <c r="Z11" s="45" t="n">
        <v>5674</v>
      </c>
      <c r="AA11" s="45" t="n">
        <v>5761</v>
      </c>
    </row>
    <row r="12" customFormat="1" s="39">
      <c r="B12" s="25" t="inlineStr">
        <is>
          <t>Лух Авт</t>
        </is>
      </c>
      <c r="C12" s="39" t="n">
        <v>17880</v>
      </c>
      <c r="D12" s="39" t="n">
        <v>16064</v>
      </c>
      <c r="E12" s="39" t="n">
        <v>22731</v>
      </c>
      <c r="F12" s="39" t="n">
        <v>14208</v>
      </c>
      <c r="G12" s="39" t="n">
        <v>19368</v>
      </c>
      <c r="H12" s="39" t="n">
        <v>11576</v>
      </c>
      <c r="I12" s="39" t="n">
        <v>25947</v>
      </c>
      <c r="J12" s="39" t="n">
        <v>23339</v>
      </c>
      <c r="K12" s="39" t="n">
        <v>17214</v>
      </c>
      <c r="L12" s="39" t="n">
        <v>14717</v>
      </c>
      <c r="M12" s="39" t="n">
        <v>9338</v>
      </c>
      <c r="N12" s="39" t="n">
        <v>7521</v>
      </c>
      <c r="O12" s="39">
        <f>SUM(C12:E12)</f>
        <v/>
      </c>
      <c r="P12" s="39">
        <f>SUM(F12:H12)</f>
        <v/>
      </c>
      <c r="Q12" s="39">
        <f>SUM(I12:K12)</f>
        <v/>
      </c>
      <c r="R12" s="39">
        <f>SUM(L12:N12)</f>
        <v/>
      </c>
      <c r="S12" s="45">
        <f>45335+57654+68756</f>
        <v/>
      </c>
      <c r="T12" s="45">
        <f>38711+52360+35856</f>
        <v/>
      </c>
      <c r="U12" s="39">
        <f>82114+73825+53959</f>
        <v/>
      </c>
      <c r="V12" s="45">
        <f>43367+36657+63546</f>
        <v/>
      </c>
      <c r="W12" s="45">
        <f>SUM(S12:V12)</f>
        <v/>
      </c>
      <c r="X12" s="45" t="n">
        <v>2098</v>
      </c>
      <c r="Y12" s="39" t="n">
        <v>2193</v>
      </c>
      <c r="Z12" s="45" t="n">
        <v>2295</v>
      </c>
      <c r="AA12" s="45" t="n">
        <v>2393</v>
      </c>
    </row>
    <row r="13" customFormat="1" s="39">
      <c r="B13" s="39" t="inlineStr">
        <is>
          <t>Ямальский меридиан</t>
        </is>
      </c>
      <c r="C13" s="39" t="n">
        <v>58128</v>
      </c>
      <c r="D13" s="39" t="n">
        <v>80356</v>
      </c>
      <c r="E13" s="39" t="n">
        <v>25099</v>
      </c>
      <c r="F13" s="39" t="n">
        <v>14583</v>
      </c>
      <c r="G13" s="39" t="n">
        <v>49591</v>
      </c>
      <c r="H13" s="39" t="n">
        <v>13795</v>
      </c>
      <c r="I13" s="39" t="n">
        <v>23489</v>
      </c>
      <c r="J13" s="39" t="n">
        <v>18693</v>
      </c>
      <c r="K13" s="39" t="n">
        <v>35975</v>
      </c>
      <c r="L13" s="39" t="n">
        <v>47537</v>
      </c>
      <c r="M13" s="39" t="n">
        <v>43086</v>
      </c>
      <c r="N13" s="39" t="n">
        <v>17795</v>
      </c>
      <c r="O13" s="39">
        <f>SUM(C13:E13)</f>
        <v/>
      </c>
      <c r="P13" s="39">
        <f>SUM(F13:H13)</f>
        <v/>
      </c>
      <c r="Q13" s="39">
        <f>SUM(I13:K13)</f>
        <v/>
      </c>
      <c r="R13" s="39">
        <f>SUM(L13:N13)</f>
        <v/>
      </c>
      <c r="S13" s="45">
        <f>116432+141477+109287</f>
        <v/>
      </c>
      <c r="T13" s="45">
        <f>32633+92382+42517</f>
        <v/>
      </c>
      <c r="U13" s="39">
        <f>46110+59113+95305</f>
        <v/>
      </c>
      <c r="V13" s="45">
        <f>112052+78431+73700</f>
        <v/>
      </c>
      <c r="W13" s="45">
        <f>SUM(S13:V13)</f>
        <v/>
      </c>
      <c r="X13" s="45" t="n">
        <v>4824</v>
      </c>
      <c r="Y13" s="39" t="n">
        <v>5289</v>
      </c>
      <c r="Z13" s="45" t="n">
        <v>5757</v>
      </c>
      <c r="AA13" s="45" t="n">
        <v>6211</v>
      </c>
    </row>
    <row r="14" customFormat="1" s="17">
      <c r="A14" s="17" t="inlineStr">
        <is>
          <t>ОК</t>
        </is>
      </c>
      <c r="B14" s="17" t="inlineStr">
        <is>
          <t>ЯМ ок</t>
        </is>
      </c>
      <c r="C14" s="17" t="n">
        <v>353202</v>
      </c>
      <c r="D14" s="17" t="n">
        <v>109132</v>
      </c>
      <c r="E14" s="17" t="n">
        <v>197373</v>
      </c>
      <c r="F14" s="17" t="n">
        <v>111133</v>
      </c>
      <c r="G14" s="17" t="n">
        <v>100095</v>
      </c>
      <c r="H14" s="17" t="n">
        <v>200727</v>
      </c>
      <c r="I14" s="17" t="n">
        <v>308138</v>
      </c>
      <c r="J14" s="17" t="n">
        <v>287693</v>
      </c>
      <c r="K14" s="17" t="n">
        <v>176635</v>
      </c>
      <c r="L14" s="17" t="n">
        <v>137782</v>
      </c>
      <c r="M14" s="17" t="n">
        <v>209121</v>
      </c>
      <c r="N14" s="17" t="n">
        <v>243448</v>
      </c>
      <c r="O14" s="17">
        <f>SUM(C14:E14)</f>
        <v/>
      </c>
      <c r="P14" s="17">
        <f>SUM(F14:H14)</f>
        <v/>
      </c>
      <c r="Q14" s="17">
        <f>SUM(I14:K14)</f>
        <v/>
      </c>
      <c r="R14" s="17">
        <f>SUM(L14:N14)</f>
        <v/>
      </c>
      <c r="S14" s="18">
        <f>2028103+633255+840325</f>
        <v/>
      </c>
      <c r="T14" s="18">
        <f>626823+912056+615420</f>
        <v/>
      </c>
      <c r="U14" s="18">
        <f>1267090+1075306+806731</f>
        <v/>
      </c>
      <c r="V14" s="18">
        <f>613860+923964+1310344</f>
        <v/>
      </c>
      <c r="W14" s="18">
        <f>SUM(S14:V14)</f>
        <v/>
      </c>
      <c r="X14" s="17" t="n">
        <v>29993</v>
      </c>
      <c r="Y14" s="17" t="n">
        <v>30352</v>
      </c>
      <c r="Z14" s="17" t="n">
        <v>30982</v>
      </c>
      <c r="AA14" s="17" t="n">
        <v>31404</v>
      </c>
    </row>
    <row r="15" customFormat="1" s="17">
      <c r="B15" s="17" t="inlineStr">
        <is>
          <t>СП ок</t>
        </is>
      </c>
      <c r="C15" s="17" t="n">
        <v>322034</v>
      </c>
      <c r="D15" s="17" t="n">
        <v>96177</v>
      </c>
      <c r="E15" s="17" t="n">
        <v>112816</v>
      </c>
      <c r="F15" s="17" t="n">
        <v>44117</v>
      </c>
      <c r="G15" s="17" t="n">
        <v>86695</v>
      </c>
      <c r="H15" s="17" t="n">
        <v>183062</v>
      </c>
      <c r="I15" s="17" t="n">
        <v>129476</v>
      </c>
      <c r="J15" s="17" t="n">
        <v>81813</v>
      </c>
      <c r="K15" s="17" t="n">
        <v>62755</v>
      </c>
      <c r="L15" s="17" t="n">
        <v>71102</v>
      </c>
      <c r="M15" s="17" t="n">
        <v>102313</v>
      </c>
      <c r="N15" s="17" t="n">
        <v>233471</v>
      </c>
      <c r="O15" s="17">
        <f>SUM(C15:E15)</f>
        <v/>
      </c>
      <c r="P15" s="17">
        <f>SUM(F15:H15)</f>
        <v/>
      </c>
      <c r="Q15" s="17">
        <f>SUM(I15:K15)</f>
        <v/>
      </c>
      <c r="R15" s="17">
        <f>SUM(L15:N15)</f>
        <v/>
      </c>
      <c r="S15" s="18">
        <f>1640200+591450+516131</f>
        <v/>
      </c>
      <c r="T15" s="18">
        <f>362037+451137+620178</f>
        <v/>
      </c>
      <c r="U15" s="18">
        <f>517925+566645+650840</f>
        <v/>
      </c>
      <c r="V15" s="18">
        <f>691526+672296+1216595</f>
        <v/>
      </c>
      <c r="W15" s="18">
        <f>SUM(S15:V15)</f>
        <v/>
      </c>
      <c r="X15" s="17" t="n">
        <v>20474</v>
      </c>
      <c r="Y15" s="17" t="n">
        <v>20690</v>
      </c>
      <c r="Z15" s="17" t="n">
        <v>20842</v>
      </c>
      <c r="AA15" s="17" t="n">
        <v>21065</v>
      </c>
    </row>
    <row r="16" customFormat="1" s="17">
      <c r="B16" s="17" t="inlineStr">
        <is>
          <t>Кс ок</t>
        </is>
      </c>
      <c r="C16" s="17" t="n">
        <v>106419</v>
      </c>
      <c r="D16" s="17" t="n">
        <v>46129</v>
      </c>
      <c r="E16" s="17" t="n">
        <v>84267</v>
      </c>
      <c r="F16" s="17" t="n">
        <v>4697</v>
      </c>
      <c r="G16" s="17" t="n">
        <v>11012</v>
      </c>
      <c r="H16" s="17" t="n">
        <v>124506</v>
      </c>
      <c r="I16" s="17" t="n">
        <v>129741</v>
      </c>
      <c r="J16" s="17" t="n">
        <v>74828</v>
      </c>
      <c r="K16" s="17" t="n">
        <v>132555</v>
      </c>
      <c r="L16" s="17" t="n">
        <v>30567</v>
      </c>
      <c r="M16" s="17" t="n">
        <v>66044</v>
      </c>
      <c r="N16" s="17" t="n">
        <v>51478</v>
      </c>
      <c r="O16" s="17">
        <f>SUM(C16:E16)</f>
        <v/>
      </c>
      <c r="P16" s="17">
        <f>SUM(F16:H16)</f>
        <v/>
      </c>
      <c r="Q16" s="17">
        <f>SUM(I16:K16)</f>
        <v/>
      </c>
      <c r="R16" s="17">
        <f>SUM(L16:N16)</f>
        <v/>
      </c>
      <c r="S16" s="18">
        <f>222264+214839+225775</f>
        <v/>
      </c>
      <c r="T16" s="19">
        <f>62160+91616+324207</f>
        <v/>
      </c>
      <c r="U16" s="18">
        <f>460666+288370+253349</f>
        <v/>
      </c>
      <c r="V16" s="18">
        <f>159818+157859+174183</f>
        <v/>
      </c>
      <c r="W16" s="18">
        <f>SUM(S16:V16)</f>
        <v/>
      </c>
      <c r="X16" s="17" t="n">
        <v>8463</v>
      </c>
      <c r="Y16" s="18" t="n">
        <v>8555</v>
      </c>
      <c r="Z16" s="17" t="n">
        <v>8694</v>
      </c>
      <c r="AA16" s="17" t="n">
        <v>8782</v>
      </c>
    </row>
    <row r="17" customFormat="1" s="17">
      <c r="B17" s="17" t="inlineStr">
        <is>
          <t>Нярьяна Нгэрм</t>
        </is>
      </c>
      <c r="C17" s="17" t="n">
        <v>2949</v>
      </c>
      <c r="D17" s="17" t="n">
        <v>2137</v>
      </c>
      <c r="E17" s="17" t="n">
        <v>1117</v>
      </c>
      <c r="F17" s="17" t="n">
        <v>1693</v>
      </c>
      <c r="G17" s="17" t="n">
        <v>40689</v>
      </c>
      <c r="H17" s="17" t="n">
        <v>32538</v>
      </c>
      <c r="I17" s="17" t="n">
        <v>1719</v>
      </c>
      <c r="J17" s="17" t="n">
        <v>6236</v>
      </c>
      <c r="K17" s="17" t="n">
        <v>5372</v>
      </c>
      <c r="L17" s="17" t="n">
        <v>2683</v>
      </c>
      <c r="M17" s="17" t="n">
        <v>1556</v>
      </c>
      <c r="N17" s="17" t="n">
        <v>1291</v>
      </c>
      <c r="O17" s="17">
        <f>SUM(C17:E17)</f>
        <v/>
      </c>
      <c r="P17" s="17">
        <f>SUM(F17:H17)</f>
        <v/>
      </c>
      <c r="Q17" s="17">
        <f>SUM(I17:K17)</f>
        <v/>
      </c>
      <c r="R17" s="17">
        <f>SUM(L17:N17)</f>
        <v/>
      </c>
      <c r="S17" s="18">
        <f>8475+5103+3952</f>
        <v/>
      </c>
      <c r="T17" s="19">
        <f>4995+214055+84357</f>
        <v/>
      </c>
      <c r="U17" s="18">
        <f>5534+12596+10309</f>
        <v/>
      </c>
      <c r="V17" s="18">
        <f>3896+3534+6769</f>
        <v/>
      </c>
      <c r="W17" s="18">
        <f>SUM(S17:V17)</f>
        <v/>
      </c>
      <c r="X17" s="17" t="n">
        <v>698</v>
      </c>
      <c r="Y17" s="18" t="n">
        <v>770</v>
      </c>
      <c r="Z17" s="17" t="n">
        <v>799</v>
      </c>
      <c r="AA17" s="17" t="n">
        <v>803</v>
      </c>
    </row>
    <row r="18" customFormat="1" s="17">
      <c r="B18" s="26" t="inlineStr">
        <is>
          <t>Лух Авт</t>
        </is>
      </c>
      <c r="C18" s="17" t="n">
        <v>3656</v>
      </c>
      <c r="D18" s="17" t="n">
        <v>1881</v>
      </c>
      <c r="E18" s="17" t="n">
        <v>1933</v>
      </c>
      <c r="F18" s="17" t="n">
        <v>2059</v>
      </c>
      <c r="G18" s="17" t="n">
        <v>27855</v>
      </c>
      <c r="H18" s="17" t="n">
        <v>17365</v>
      </c>
      <c r="I18" s="17" t="n">
        <v>2744</v>
      </c>
      <c r="J18" s="17" t="n">
        <v>3884</v>
      </c>
      <c r="K18" s="17" t="n">
        <v>9477</v>
      </c>
      <c r="L18" s="17" t="n">
        <v>5408</v>
      </c>
      <c r="M18" s="17" t="n">
        <v>1435</v>
      </c>
      <c r="N18" s="17" t="n">
        <v>2631</v>
      </c>
      <c r="O18" s="17">
        <f>SUM(C18:E18)</f>
        <v/>
      </c>
      <c r="P18" s="17">
        <f>SUM(F18:H18)</f>
        <v/>
      </c>
      <c r="Q18" s="17">
        <f>SUM(I18:K18)</f>
        <v/>
      </c>
      <c r="R18" s="17">
        <f>SUM(L18:N18)</f>
        <v/>
      </c>
      <c r="S18" s="18">
        <f>6335+3495+4740</f>
        <v/>
      </c>
      <c r="T18" s="19">
        <f>5319+70024+17028</f>
        <v/>
      </c>
      <c r="U18" s="18">
        <f>5115+9912+5598</f>
        <v/>
      </c>
      <c r="V18" s="18">
        <f>11006+3037+9487</f>
        <v/>
      </c>
      <c r="W18" s="18">
        <f>SUM(S18:V18)</f>
        <v/>
      </c>
      <c r="X18" s="17" t="n">
        <v>706</v>
      </c>
      <c r="Y18" s="18" t="n">
        <v>737</v>
      </c>
      <c r="Z18" s="17" t="n">
        <v>754</v>
      </c>
      <c r="AA18" s="17" t="n">
        <v>781</v>
      </c>
    </row>
    <row r="19" ht="51.6" customFormat="1" customHeight="1" s="39">
      <c r="N19" s="6" t="inlineStr">
        <is>
          <t>сумма по соцсетям</t>
        </is>
      </c>
      <c r="O19" s="48">
        <f>SUM(O4:O18)</f>
        <v/>
      </c>
      <c r="P19" s="48">
        <f>SUM(P4:P18)</f>
        <v/>
      </c>
      <c r="Q19" s="48">
        <f>SUM(Q4:Q18)</f>
        <v/>
      </c>
      <c r="R19" s="48">
        <f>SUM(R4:R18)</f>
        <v/>
      </c>
      <c r="S19" s="8">
        <f>SUM(S4:S18)</f>
        <v/>
      </c>
      <c r="T19" s="8">
        <f>SUM(T4:T18)</f>
        <v/>
      </c>
      <c r="U19" s="8">
        <f>SUM(U4:U18)</f>
        <v/>
      </c>
      <c r="V19" s="8">
        <f>SUM(V4:V18)</f>
        <v/>
      </c>
      <c r="W19" s="8">
        <f>SUM(W4:W18)</f>
        <v/>
      </c>
      <c r="X19" s="8">
        <f>SUM(X4:X18)</f>
        <v/>
      </c>
      <c r="Y19" s="8">
        <f>SUM(Y4:Y18)</f>
        <v/>
      </c>
      <c r="Z19" s="8">
        <f>SUM(Z4:Z18)</f>
        <v/>
      </c>
      <c r="AA19" s="8">
        <f>SUM(AA4:AA18)</f>
        <v/>
      </c>
    </row>
    <row r="20" customFormat="1" s="39">
      <c r="Q20" s="39" t="inlineStr">
        <is>
          <t xml:space="preserve">Охват за год </t>
        </is>
      </c>
      <c r="R20" s="39">
        <f>SUM(O19:R19)</f>
        <v/>
      </c>
    </row>
    <row r="21" customFormat="1" s="39">
      <c r="I21" s="45" t="n"/>
    </row>
    <row r="22" ht="86.45" customFormat="1" customHeight="1" s="39">
      <c r="B22" s="39" t="n">
        <v>2025</v>
      </c>
      <c r="C22" s="12" t="inlineStr">
        <is>
          <t>телеграм 2023 Сумма просмотров за месяц</t>
        </is>
      </c>
      <c r="I22" s="45" t="n"/>
      <c r="S22" s="12" t="inlineStr">
        <is>
          <t>Сумма просмотров за 1 квартал</t>
        </is>
      </c>
      <c r="T22" s="12" t="inlineStr">
        <is>
          <t>Сумма просмотров за 2 квартал</t>
        </is>
      </c>
      <c r="U22" s="12" t="inlineStr">
        <is>
          <t>Сумма просмотров за 3 квартал</t>
        </is>
      </c>
      <c r="V22" s="12" t="inlineStr">
        <is>
          <t>Сумма просмотров за 4 квартал</t>
        </is>
      </c>
      <c r="W22" s="12" t="inlineStr">
        <is>
          <t>сумма просмотров за год</t>
        </is>
      </c>
      <c r="X22" s="12" t="inlineStr">
        <is>
          <t>Количество подписчиков 1 квартал</t>
        </is>
      </c>
      <c r="Y22" s="12" t="inlineStr">
        <is>
          <t>Количество подписчиков 2 квартал</t>
        </is>
      </c>
      <c r="Z22" s="12" t="inlineStr">
        <is>
          <t>Количество подписчиков 3 квартал</t>
        </is>
      </c>
      <c r="AA22" s="12" t="inlineStr">
        <is>
          <t>Количество подписчиков 4 квартал</t>
        </is>
      </c>
    </row>
    <row r="23" customFormat="1" s="39">
      <c r="A23" s="39" t="inlineStr">
        <is>
          <t>тг</t>
        </is>
      </c>
      <c r="B23" s="39" t="inlineStr">
        <is>
          <t>ЯМ тг</t>
        </is>
      </c>
      <c r="C23" s="39" t="n">
        <v>1218903</v>
      </c>
      <c r="D23" s="39" t="n">
        <v>1191376</v>
      </c>
      <c r="E23" s="39" t="n">
        <v>1276885</v>
      </c>
      <c r="F23" s="39" t="n">
        <v>1075347</v>
      </c>
      <c r="G23" s="39" t="n">
        <v>1102459</v>
      </c>
      <c r="H23" s="39" t="n">
        <v>1041978</v>
      </c>
      <c r="I23" s="39" t="n">
        <v>1075443</v>
      </c>
      <c r="J23" s="39" t="n">
        <v>1219062</v>
      </c>
      <c r="K23" s="39" t="n">
        <v>1098974</v>
      </c>
      <c r="L23" s="39" t="n">
        <v>1087594</v>
      </c>
      <c r="M23" s="39" t="n">
        <v>1008292</v>
      </c>
      <c r="N23" s="39" t="n">
        <v>1056930</v>
      </c>
      <c r="S23" s="39">
        <f>SUM(C23:E23)</f>
        <v/>
      </c>
      <c r="T23" s="39">
        <f>SUM(F23:H23)</f>
        <v/>
      </c>
      <c r="U23" s="39">
        <f>SUM(I23:K23)</f>
        <v/>
      </c>
      <c r="V23" s="39">
        <f>SUM(L23:N23)</f>
        <v/>
      </c>
      <c r="W23" s="45">
        <f>SUM(S23:V23)</f>
        <v/>
      </c>
      <c r="X23" s="39" t="n">
        <v>11358</v>
      </c>
      <c r="Y23" s="39" t="n">
        <v>11672</v>
      </c>
      <c r="Z23" s="39" t="n">
        <v>12349</v>
      </c>
      <c r="AA23" s="39" t="n">
        <v>12380</v>
      </c>
    </row>
    <row r="24" customFormat="1" s="39">
      <c r="B24" s="39" t="inlineStr">
        <is>
          <t>Сп тг</t>
        </is>
      </c>
      <c r="C24" s="39" t="n">
        <v>701371</v>
      </c>
      <c r="D24" s="39" t="n">
        <v>670360</v>
      </c>
      <c r="E24" s="39" t="n">
        <v>776562</v>
      </c>
      <c r="F24" s="39" t="n">
        <v>674639</v>
      </c>
      <c r="G24" s="39" t="n">
        <v>681894</v>
      </c>
      <c r="H24" s="39" t="n">
        <v>672241</v>
      </c>
      <c r="I24" s="39" t="n">
        <v>646296</v>
      </c>
      <c r="J24" s="39" t="n">
        <v>751222</v>
      </c>
      <c r="K24" s="39" t="n">
        <v>619136</v>
      </c>
      <c r="L24" s="39" t="n">
        <v>692340</v>
      </c>
      <c r="M24" s="39" t="n">
        <v>671146</v>
      </c>
      <c r="N24" s="39" t="n">
        <v>686979</v>
      </c>
      <c r="S24" s="39">
        <f>SUM(C24:E24)</f>
        <v/>
      </c>
      <c r="T24" s="39">
        <f>SUM(F24:H24)</f>
        <v/>
      </c>
      <c r="U24" s="39">
        <f>SUM(I24:K24)</f>
        <v/>
      </c>
      <c r="V24" s="39">
        <f>SUM(L24:N24)</f>
        <v/>
      </c>
      <c r="W24" s="45">
        <f>SUM(S24:V24)</f>
        <v/>
      </c>
      <c r="X24" s="39" t="n">
        <v>4960</v>
      </c>
      <c r="Y24" s="39" t="n">
        <v>5073</v>
      </c>
      <c r="Z24" s="39" t="n">
        <v>5072</v>
      </c>
      <c r="AA24" s="39" t="n">
        <v>5069</v>
      </c>
    </row>
    <row r="25" customFormat="1" s="39">
      <c r="B25" s="39" t="inlineStr">
        <is>
          <t>КС тг</t>
        </is>
      </c>
      <c r="C25" s="39" t="n">
        <v>30910</v>
      </c>
      <c r="D25" s="39" t="n">
        <v>26067</v>
      </c>
      <c r="E25" s="39" t="n">
        <v>29396</v>
      </c>
      <c r="F25" s="39" t="n">
        <v>18947</v>
      </c>
      <c r="G25" s="39" t="n">
        <v>21900</v>
      </c>
      <c r="H25" s="39" t="n">
        <v>17435</v>
      </c>
      <c r="I25" s="39" t="n">
        <v>16043</v>
      </c>
      <c r="J25" s="39" t="n">
        <v>11149</v>
      </c>
      <c r="K25" s="39" t="n">
        <v>14602</v>
      </c>
      <c r="L25" s="39" t="n">
        <v>27228</v>
      </c>
      <c r="M25" s="39" t="n">
        <v>18154</v>
      </c>
      <c r="N25" s="39" t="n">
        <v>25801</v>
      </c>
      <c r="S25" s="39">
        <f>SUM(C25:E25)</f>
        <v/>
      </c>
      <c r="T25" s="39">
        <f>SUM(F25:H25)</f>
        <v/>
      </c>
      <c r="U25" s="39">
        <f>SUM(I25:K25)</f>
        <v/>
      </c>
      <c r="V25" s="39">
        <f>SUM(L25:N25)</f>
        <v/>
      </c>
      <c r="W25" s="45">
        <f>SUM(S25:V25)</f>
        <v/>
      </c>
      <c r="X25" s="39" t="n">
        <v>956</v>
      </c>
      <c r="Y25" s="39" t="n">
        <v>926</v>
      </c>
      <c r="Z25" s="39" t="n">
        <v>911</v>
      </c>
      <c r="AA25" s="39" t="n">
        <v>910</v>
      </c>
    </row>
    <row r="26" customFormat="1" s="39">
      <c r="B26" s="39" t="inlineStr">
        <is>
          <t>НеОлениПишут тг</t>
        </is>
      </c>
      <c r="C26" s="39" t="n">
        <v>124223</v>
      </c>
      <c r="D26" s="39" t="n">
        <v>124171</v>
      </c>
      <c r="E26" s="39" t="n">
        <v>125747</v>
      </c>
      <c r="F26" s="39" t="n">
        <v>127202</v>
      </c>
      <c r="G26" s="39" t="n">
        <v>110749</v>
      </c>
      <c r="H26" s="39" t="n">
        <v>135362</v>
      </c>
      <c r="I26" s="39" t="n">
        <v>116034</v>
      </c>
      <c r="J26" s="39" t="n">
        <v>111748</v>
      </c>
      <c r="K26" s="39" t="n">
        <v>104960</v>
      </c>
      <c r="L26" s="39" t="n">
        <v>103318</v>
      </c>
      <c r="M26" s="39" t="n">
        <v>90748</v>
      </c>
      <c r="N26" s="39" t="n">
        <v>93134</v>
      </c>
      <c r="S26" s="39">
        <f>SUM(C26:E26)</f>
        <v/>
      </c>
      <c r="T26" s="39">
        <f>SUM(F26:H26)</f>
        <v/>
      </c>
      <c r="U26" s="39">
        <f>SUM(I26:K26)</f>
        <v/>
      </c>
      <c r="V26" s="39">
        <f>SUM(L26:N26)</f>
        <v/>
      </c>
      <c r="W26" s="45">
        <f>SUM(S26:V26)</f>
        <v/>
      </c>
      <c r="X26" s="39" t="n">
        <v>2503</v>
      </c>
      <c r="Y26" s="39" t="n">
        <v>2529</v>
      </c>
      <c r="Z26" s="39" t="n">
        <v>2504</v>
      </c>
      <c r="AA26" s="39" t="n">
        <v>2520</v>
      </c>
    </row>
    <row r="27" ht="57.6" customFormat="1" customHeight="1" s="39">
      <c r="B27" s="12" t="n"/>
      <c r="N27" s="6" t="inlineStr">
        <is>
          <t>сумма по телеграму</t>
        </is>
      </c>
      <c r="O27" s="48">
        <f>SUM(O23:O26)</f>
        <v/>
      </c>
      <c r="P27" s="48" t="n"/>
      <c r="Q27" s="48" t="n"/>
      <c r="R27" s="48" t="n"/>
      <c r="S27" s="48">
        <f>SUM(S23:S26)</f>
        <v/>
      </c>
      <c r="T27" s="48">
        <f>SUM(T23:T26)</f>
        <v/>
      </c>
      <c r="U27" s="48">
        <f>SUM(U23:U26)</f>
        <v/>
      </c>
      <c r="V27" s="48">
        <f>SUM(V23:V26)</f>
        <v/>
      </c>
      <c r="W27" s="48">
        <f>SUM(W23:W26)</f>
        <v/>
      </c>
      <c r="X27" s="48">
        <f>SUM(X23:X26)</f>
        <v/>
      </c>
      <c r="Y27" s="48">
        <f>SUM(Y23:Y26)</f>
        <v/>
      </c>
      <c r="Z27" s="48">
        <f>SUM(Z23:Z26)</f>
        <v/>
      </c>
      <c r="AA27" s="48">
        <f>SUM(AA23:AA26)</f>
        <v/>
      </c>
    </row>
    <row r="28" ht="72" customFormat="1" customHeight="1" s="39">
      <c r="B28" s="39" t="inlineStr">
        <is>
          <t>распределение по полу</t>
        </is>
      </c>
      <c r="N28" s="9" t="inlineStr">
        <is>
          <t>общие показатели с телеграмом</t>
        </is>
      </c>
      <c r="O28" s="10">
        <f>SUM(O19+O27)</f>
        <v/>
      </c>
      <c r="P28" s="10">
        <f>SUM(P19+P27)</f>
        <v/>
      </c>
      <c r="Q28" s="10">
        <f>SUM(Q19+Q27)</f>
        <v/>
      </c>
      <c r="R28" s="10">
        <f>SUM(R19+R27)</f>
        <v/>
      </c>
      <c r="S28" s="11">
        <f>SUM(S19+S27)</f>
        <v/>
      </c>
      <c r="T28" s="11">
        <f>SUM(T19+T27)</f>
        <v/>
      </c>
      <c r="U28" s="11">
        <f>SUM(U19+U27)</f>
        <v/>
      </c>
      <c r="V28" s="11">
        <f>SUM(V19+V27)</f>
        <v/>
      </c>
      <c r="W28" s="11">
        <f>SUM(W19+W27)</f>
        <v/>
      </c>
      <c r="X28" s="10">
        <f>SUM(X19+X27)</f>
        <v/>
      </c>
      <c r="Y28" s="10">
        <f>SUM(Y19+Y27)</f>
        <v/>
      </c>
      <c r="Z28" s="11">
        <f>SUM(Z19+Z27)</f>
        <v/>
      </c>
      <c r="AA28" s="11">
        <f>SUM(AA19+AA27)</f>
        <v/>
      </c>
    </row>
    <row r="29" customFormat="1" s="39">
      <c r="C29" s="39" t="inlineStr">
        <is>
          <t>М %</t>
        </is>
      </c>
      <c r="D29" s="39" t="inlineStr">
        <is>
          <t>Ж %</t>
        </is>
      </c>
    </row>
    <row r="30" customFormat="1" s="39">
      <c r="B30" s="39" t="inlineStr">
        <is>
          <t>Ям вк</t>
        </is>
      </c>
      <c r="C30" s="39" t="n">
        <v>37</v>
      </c>
      <c r="D30" s="39" t="n">
        <v>63</v>
      </c>
    </row>
    <row r="31" customFormat="1" s="39">
      <c r="B31" s="39" t="inlineStr">
        <is>
          <t>СП вк</t>
        </is>
      </c>
      <c r="C31" s="39" t="n">
        <v>32</v>
      </c>
      <c r="D31" s="39" t="n">
        <v>68</v>
      </c>
    </row>
    <row r="32" customFormat="1" s="39">
      <c r="B32" s="39" t="inlineStr">
        <is>
          <t>КС вк</t>
        </is>
      </c>
      <c r="C32" s="39" t="n">
        <v>36</v>
      </c>
      <c r="D32" s="39" t="n">
        <v>64</v>
      </c>
    </row>
    <row r="33" customFormat="1" s="39">
      <c r="B33" s="13" t="inlineStr">
        <is>
          <t xml:space="preserve">Неолени </t>
        </is>
      </c>
      <c r="C33" s="39" t="n">
        <v>28</v>
      </c>
      <c r="D33" s="39" t="n">
        <v>72</v>
      </c>
    </row>
    <row r="34" customFormat="1" s="39">
      <c r="B34" s="14" t="inlineStr">
        <is>
          <t>этогноарктика</t>
        </is>
      </c>
      <c r="C34" s="39" t="n">
        <v>33</v>
      </c>
      <c r="D34" s="39" t="n">
        <v>67</v>
      </c>
    </row>
    <row r="35" customFormat="1" s="39">
      <c r="B35" s="15" t="inlineStr">
        <is>
          <t>ЗажгиФАкел</t>
        </is>
      </c>
      <c r="C35" s="39" t="n">
        <v>47</v>
      </c>
      <c r="D35" s="39" t="n">
        <v>53</v>
      </c>
    </row>
    <row r="36" customFormat="1" s="39">
      <c r="B36" s="39" t="inlineStr">
        <is>
          <t>ЯМ ок</t>
        </is>
      </c>
      <c r="C36" s="39" t="n">
        <v>36</v>
      </c>
      <c r="D36" s="39" t="n">
        <v>64</v>
      </c>
    </row>
    <row r="37" customFormat="1" s="39">
      <c r="B37" s="39" t="inlineStr">
        <is>
          <t>СП ок</t>
        </is>
      </c>
      <c r="C37" s="39" t="n">
        <v>35</v>
      </c>
      <c r="D37" s="39" t="n">
        <v>65</v>
      </c>
    </row>
    <row r="38" customFormat="1" s="39">
      <c r="B38" s="39" t="inlineStr">
        <is>
          <t>Кс ок</t>
        </is>
      </c>
      <c r="C38" s="39" t="n">
        <v>35</v>
      </c>
      <c r="D38" s="39" t="n">
        <v>65</v>
      </c>
    </row>
    <row r="39" customFormat="1" s="39">
      <c r="B39" s="39" t="inlineStr">
        <is>
          <t>ЯМ тг</t>
        </is>
      </c>
      <c r="C39" s="39" t="n">
        <v>32</v>
      </c>
      <c r="D39" s="39" t="n">
        <v>68</v>
      </c>
    </row>
    <row r="40" customFormat="1" s="39">
      <c r="B40" s="39" t="inlineStr">
        <is>
          <t>Сп тг</t>
        </is>
      </c>
      <c r="C40" s="39" t="n">
        <v>30</v>
      </c>
      <c r="D40" s="39" t="n">
        <v>70</v>
      </c>
    </row>
    <row r="41" customFormat="1" s="39">
      <c r="B41" s="39" t="inlineStr">
        <is>
          <t>КС тг</t>
        </is>
      </c>
      <c r="C41" s="39" t="n">
        <v>32</v>
      </c>
      <c r="D41" s="39" t="n">
        <v>68</v>
      </c>
    </row>
    <row r="42" customFormat="1" s="39">
      <c r="B42" s="39" t="inlineStr">
        <is>
          <t>НеОлениПишут тг</t>
        </is>
      </c>
      <c r="C42" s="39" t="n">
        <v>29</v>
      </c>
      <c r="D42" s="39" t="n">
        <v>71</v>
      </c>
    </row>
    <row r="43" customFormat="1" s="39"/>
    <row r="44" customFormat="1" s="39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O98"/>
  <sheetViews>
    <sheetView tabSelected="1" zoomScale="31" workbookViewId="0">
      <selection activeCell="AE52" sqref="AE52"/>
    </sheetView>
  </sheetViews>
  <sheetFormatPr baseColWidth="8" defaultColWidth="8.86328125" defaultRowHeight="14.25"/>
  <cols>
    <col width="8.86328125" customWidth="1" style="39" min="1" max="1"/>
    <col width="19.3984375" customWidth="1" style="39" min="2" max="2"/>
    <col width="8.86328125" customWidth="1" style="39" min="3" max="14"/>
    <col width="11.265625" customWidth="1" style="39" min="15" max="15"/>
    <col width="10.73046875" customWidth="1" style="39" min="16" max="16"/>
    <col width="11.265625" customWidth="1" style="39" min="17" max="17"/>
    <col width="8.86328125" customWidth="1" style="39" min="18" max="18"/>
    <col width="13" customWidth="1" style="10" min="19" max="19"/>
    <col width="8.86328125" customWidth="1" style="39" min="20" max="36"/>
    <col width="11.265625" customWidth="1" style="39" min="37" max="37"/>
    <col width="10" customWidth="1" style="39" min="38" max="38"/>
    <col width="8.86328125" customWidth="1" style="39" min="39" max="40"/>
    <col width="11.265625" customWidth="1" style="10" min="41" max="41"/>
    <col width="8.86328125" customWidth="1" style="39" min="42" max="43"/>
    <col width="8.86328125" customWidth="1" style="39" min="44" max="16384"/>
  </cols>
  <sheetData>
    <row r="2" ht="86.45" customHeight="1">
      <c r="C2" s="39" t="inlineStr">
        <is>
          <t>Просмотры</t>
        </is>
      </c>
      <c r="O2" s="12" t="inlineStr">
        <is>
          <t>Сумма просмотров за 1 квартал</t>
        </is>
      </c>
      <c r="P2" s="12" t="inlineStr">
        <is>
          <t>Сумма просмотров за 2 квартал</t>
        </is>
      </c>
      <c r="Q2" s="12" t="inlineStr">
        <is>
          <t>Сумма просмотров за 3 квартал</t>
        </is>
      </c>
      <c r="R2" s="12" t="inlineStr">
        <is>
          <t>Сумма просмотров за 4 квартал</t>
        </is>
      </c>
      <c r="S2" s="9" t="inlineStr">
        <is>
          <t>сумма просмотров за год</t>
        </is>
      </c>
      <c r="T2" s="12" t="inlineStr">
        <is>
          <t>Количество подписчиков 1 квартал</t>
        </is>
      </c>
      <c r="U2" s="12" t="inlineStr">
        <is>
          <t>Количество подписчиков 2 квартал</t>
        </is>
      </c>
      <c r="V2" s="12" t="inlineStr">
        <is>
          <t>Количество подписчиков 3 квартал</t>
        </is>
      </c>
      <c r="W2" s="12" t="inlineStr">
        <is>
          <t>Количество подписчиков 4 квартал</t>
        </is>
      </c>
      <c r="X2" s="12" t="n"/>
      <c r="Y2" s="39" t="inlineStr">
        <is>
          <t>Охваты</t>
        </is>
      </c>
      <c r="AK2" s="12" t="inlineStr">
        <is>
          <t>сумма месячных охватов 1  квартал</t>
        </is>
      </c>
      <c r="AL2" s="12" t="inlineStr">
        <is>
          <t>сумма месячных охватов 2  квартал</t>
        </is>
      </c>
      <c r="AM2" s="12" t="inlineStr">
        <is>
          <t>сумма месячных охватов 3  квартал</t>
        </is>
      </c>
      <c r="AN2" s="12" t="inlineStr">
        <is>
          <t>сумма месячных охватов 4  квартал</t>
        </is>
      </c>
      <c r="AO2" s="10" t="inlineStr">
        <is>
          <t>сума за год</t>
        </is>
      </c>
    </row>
    <row r="3">
      <c r="B3" s="39" t="n">
        <v>2026</v>
      </c>
      <c r="C3" s="39" t="inlineStr">
        <is>
          <t>январь</t>
        </is>
      </c>
      <c r="D3" s="39" t="inlineStr">
        <is>
          <t>февраль</t>
        </is>
      </c>
      <c r="E3" s="39" t="inlineStr">
        <is>
          <t>март</t>
        </is>
      </c>
      <c r="F3" s="39" t="inlineStr">
        <is>
          <t>апрель</t>
        </is>
      </c>
      <c r="G3" s="39" t="inlineStr">
        <is>
          <t>май</t>
        </is>
      </c>
      <c r="H3" s="39" t="inlineStr">
        <is>
          <t>июнь</t>
        </is>
      </c>
      <c r="I3" s="39" t="inlineStr">
        <is>
          <t>июль</t>
        </is>
      </c>
      <c r="J3" s="39" t="inlineStr">
        <is>
          <t>август</t>
        </is>
      </c>
      <c r="K3" s="39" t="inlineStr">
        <is>
          <t>сентябрь</t>
        </is>
      </c>
      <c r="L3" s="39" t="inlineStr">
        <is>
          <t>октябрь</t>
        </is>
      </c>
      <c r="M3" s="39" t="inlineStr">
        <is>
          <t>ноябрь</t>
        </is>
      </c>
      <c r="N3" s="39" t="inlineStr">
        <is>
          <t>декабрь</t>
        </is>
      </c>
      <c r="Y3" s="39" t="inlineStr">
        <is>
          <t>январь</t>
        </is>
      </c>
      <c r="Z3" s="39" t="inlineStr">
        <is>
          <t>февраль</t>
        </is>
      </c>
      <c r="AA3" s="39" t="inlineStr">
        <is>
          <t>март</t>
        </is>
      </c>
      <c r="AB3" s="39" t="inlineStr">
        <is>
          <t>апрель</t>
        </is>
      </c>
      <c r="AC3" s="39" t="inlineStr">
        <is>
          <t>май</t>
        </is>
      </c>
      <c r="AD3" s="39" t="inlineStr">
        <is>
          <t>июнь</t>
        </is>
      </c>
      <c r="AE3" s="39" t="inlineStr">
        <is>
          <t>июль</t>
        </is>
      </c>
      <c r="AF3" s="39" t="inlineStr">
        <is>
          <t>август</t>
        </is>
      </c>
      <c r="AG3" s="39" t="inlineStr">
        <is>
          <t>сентябрь</t>
        </is>
      </c>
      <c r="AH3" s="39" t="inlineStr">
        <is>
          <t>октябрь</t>
        </is>
      </c>
      <c r="AI3" s="39" t="inlineStr">
        <is>
          <t>ноябрь</t>
        </is>
      </c>
      <c r="AJ3" s="39" t="inlineStr">
        <is>
          <t>декабрь</t>
        </is>
      </c>
    </row>
    <row r="4">
      <c r="A4" s="39" t="inlineStr">
        <is>
          <t>ВК</t>
        </is>
      </c>
      <c r="B4" s="39" t="inlineStr">
        <is>
          <t>Ям вк</t>
        </is>
      </c>
      <c r="C4" s="39" t="n">
        <v>2664063</v>
      </c>
      <c r="D4" s="39">
        <f>2497909</f>
        <v/>
      </c>
      <c r="E4" s="39" t="n">
        <v>2743046</v>
      </c>
      <c r="F4" s="39" t="n">
        <v>2420181</v>
      </c>
      <c r="G4" s="39" t="n">
        <v>3933363</v>
      </c>
      <c r="H4" s="39" t="n">
        <v>1709643</v>
      </c>
      <c r="I4" s="39" t="n">
        <v>2049840</v>
      </c>
      <c r="J4" s="39" t="n">
        <v>2106253</v>
      </c>
      <c r="K4" s="39" t="n">
        <v>5584227</v>
      </c>
      <c r="O4" s="39">
        <f>SUM(C4:E4)</f>
        <v/>
      </c>
      <c r="P4" s="39">
        <f>SUM(F4:H4)</f>
        <v/>
      </c>
      <c r="Q4" s="39">
        <f>SUM(I4:K4)</f>
        <v/>
      </c>
      <c r="R4" s="39">
        <f>SUM(L4:N4)</f>
        <v/>
      </c>
      <c r="S4" s="11">
        <f>SUM(O4:R4)</f>
        <v/>
      </c>
      <c r="T4" s="39" t="n">
        <v>87704</v>
      </c>
      <c r="U4" s="39" t="n">
        <v>86550</v>
      </c>
      <c r="V4" s="39" t="n">
        <v>89464</v>
      </c>
      <c r="X4" s="39" t="inlineStr">
        <is>
          <t>Ям вк</t>
        </is>
      </c>
      <c r="Y4" s="39" t="n">
        <v>559514</v>
      </c>
      <c r="Z4" s="39" t="n">
        <v>976222</v>
      </c>
      <c r="AA4" s="39" t="n">
        <v>756685</v>
      </c>
      <c r="AB4" s="39" t="n">
        <v>583023</v>
      </c>
      <c r="AC4" s="39" t="n">
        <v>463688</v>
      </c>
      <c r="AD4" s="39" t="n">
        <v>272430</v>
      </c>
      <c r="AE4" s="39" t="n">
        <v>527382</v>
      </c>
      <c r="AF4" s="39" t="n">
        <v>552768</v>
      </c>
      <c r="AG4" s="39" t="n">
        <v>923028</v>
      </c>
      <c r="AK4" s="39">
        <f>SUM(Y4:AA4)</f>
        <v/>
      </c>
      <c r="AL4" s="39">
        <f>SUM(AB4:AD4)</f>
        <v/>
      </c>
      <c r="AM4" s="39">
        <f>SUM(AE4:AG4)</f>
        <v/>
      </c>
      <c r="AN4" s="39">
        <f>SUM(AH4:AJ4)</f>
        <v/>
      </c>
      <c r="AO4" s="10">
        <f>SUM(AK4:AN4)</f>
        <v/>
      </c>
    </row>
    <row r="5">
      <c r="B5" s="39" t="inlineStr">
        <is>
          <t>СП вк</t>
        </is>
      </c>
      <c r="C5" s="39" t="n">
        <v>2252051</v>
      </c>
      <c r="D5" s="39" t="n">
        <v>2011371</v>
      </c>
      <c r="E5" s="39" t="n">
        <v>2162706</v>
      </c>
      <c r="F5" s="39" t="n">
        <v>2159920</v>
      </c>
      <c r="G5" s="39" t="n">
        <v>1510198</v>
      </c>
      <c r="H5" s="39" t="n">
        <v>1246123</v>
      </c>
      <c r="I5" s="39" t="n">
        <v>898912</v>
      </c>
      <c r="J5" s="39" t="n">
        <v>764033</v>
      </c>
      <c r="K5" s="39" t="n">
        <v>764913</v>
      </c>
      <c r="O5" s="39">
        <f>SUM(C5:E5)</f>
        <v/>
      </c>
      <c r="P5" s="39">
        <f>SUM(F5:H5)</f>
        <v/>
      </c>
      <c r="Q5" s="39">
        <f>SUM(I5:K5)</f>
        <v/>
      </c>
      <c r="R5" s="39">
        <f>SUM(L5:N5)</f>
        <v/>
      </c>
      <c r="S5" s="11">
        <f>SUM(O5:R5)</f>
        <v/>
      </c>
      <c r="T5" s="39" t="n">
        <v>27616</v>
      </c>
      <c r="U5" s="39" t="n">
        <v>26056</v>
      </c>
      <c r="V5" s="39" t="n">
        <v>26276</v>
      </c>
      <c r="X5" s="39" t="inlineStr">
        <is>
          <t>СП вк</t>
        </is>
      </c>
      <c r="Y5" s="39" t="n">
        <v>213097</v>
      </c>
      <c r="Z5" s="39" t="n">
        <v>195843</v>
      </c>
      <c r="AA5" s="39" t="n">
        <v>277430</v>
      </c>
      <c r="AB5" s="39" t="n">
        <v>543853</v>
      </c>
      <c r="AC5" s="39" t="n">
        <v>377656</v>
      </c>
      <c r="AD5" s="39" t="n">
        <v>204285</v>
      </c>
      <c r="AE5" s="39" t="n">
        <v>204089</v>
      </c>
      <c r="AF5" s="39" t="n">
        <v>185824</v>
      </c>
      <c r="AG5" s="39" t="n">
        <v>244777</v>
      </c>
      <c r="AK5" s="39">
        <f>SUM(Y5:AA5)</f>
        <v/>
      </c>
      <c r="AL5" s="39">
        <f>SUM(AB5:AD5)</f>
        <v/>
      </c>
      <c r="AM5" s="39">
        <f>SUM(AE5:AG5)</f>
        <v/>
      </c>
      <c r="AN5" s="39">
        <f>SUM(AH5:AJ5)</f>
        <v/>
      </c>
      <c r="AO5" s="10">
        <f>SUM(AK5:AN5)</f>
        <v/>
      </c>
    </row>
    <row r="6">
      <c r="B6" s="39" t="inlineStr">
        <is>
          <t>Лента СП ВК</t>
        </is>
      </c>
      <c r="C6" s="39" t="n">
        <v>176033</v>
      </c>
      <c r="D6" s="39" t="n">
        <v>125323</v>
      </c>
      <c r="E6" s="39" t="n">
        <v>149737</v>
      </c>
      <c r="F6" s="39" t="n">
        <v>75025</v>
      </c>
      <c r="G6" s="39" t="n">
        <v>33611</v>
      </c>
      <c r="H6" s="39" t="n">
        <v>31321</v>
      </c>
      <c r="I6" s="39" t="n">
        <v>25916</v>
      </c>
      <c r="J6" s="39" t="n">
        <v>21633</v>
      </c>
      <c r="K6" s="39" t="n">
        <v>20896</v>
      </c>
      <c r="O6" s="39">
        <f>SUM(C6:E6)</f>
        <v/>
      </c>
      <c r="P6" s="39">
        <f>SUM(F6:H6)</f>
        <v/>
      </c>
      <c r="Q6" s="39">
        <f>SUM(I6:K6)</f>
        <v/>
      </c>
      <c r="R6" s="39">
        <f>SUM(L6:N6)</f>
        <v/>
      </c>
      <c r="S6" s="11">
        <f>SUM(O6:R6)</f>
        <v/>
      </c>
      <c r="T6" s="39" t="n">
        <v>4983</v>
      </c>
      <c r="U6" s="39" t="n">
        <v>3507</v>
      </c>
      <c r="V6" s="39" t="n">
        <v>3502</v>
      </c>
      <c r="X6" s="39" t="inlineStr">
        <is>
          <t>Лента СП ВК</t>
        </is>
      </c>
      <c r="Y6" s="39" t="n">
        <v>2842</v>
      </c>
      <c r="Z6" s="39" t="n">
        <v>2156</v>
      </c>
      <c r="AA6" s="39" t="n">
        <v>2296</v>
      </c>
      <c r="AB6" s="39" t="n">
        <v>2085</v>
      </c>
      <c r="AC6" s="39" t="n">
        <v>1979</v>
      </c>
      <c r="AD6" s="39" t="n">
        <v>1935</v>
      </c>
      <c r="AE6" s="39" t="n">
        <v>1532</v>
      </c>
      <c r="AF6" s="39" t="n">
        <v>1331</v>
      </c>
      <c r="AG6" s="39" t="n">
        <v>1308</v>
      </c>
      <c r="AK6" s="39">
        <f>SUM(Y6:AA6)</f>
        <v/>
      </c>
      <c r="AL6" s="39">
        <f>SUM(AB6:AD6)</f>
        <v/>
      </c>
      <c r="AM6" s="39">
        <f>SUM(AE6:AG6)</f>
        <v/>
      </c>
      <c r="AN6" s="39">
        <f>SUM(AH6:AJ6)</f>
        <v/>
      </c>
      <c r="AO6" s="10">
        <f>SUM(AK6:AN6)</f>
        <v/>
      </c>
    </row>
    <row r="7">
      <c r="B7" s="39" t="inlineStr">
        <is>
          <t>КС вк</t>
        </is>
      </c>
      <c r="C7" s="39" t="n">
        <v>1692564</v>
      </c>
      <c r="D7" s="39">
        <f>1725656</f>
        <v/>
      </c>
      <c r="E7" s="39" t="n">
        <v>2463354</v>
      </c>
      <c r="F7" s="39" t="n">
        <v>2882236</v>
      </c>
      <c r="G7" s="39" t="n">
        <v>2909970</v>
      </c>
      <c r="H7" s="39" t="n">
        <v>714949</v>
      </c>
      <c r="I7" s="39" t="n">
        <v>530607</v>
      </c>
      <c r="J7" s="39" t="n">
        <v>504031</v>
      </c>
      <c r="K7" s="39" t="n">
        <v>296907</v>
      </c>
      <c r="O7" s="39">
        <f>SUM(C7:E7)</f>
        <v/>
      </c>
      <c r="P7" s="39">
        <f>SUM(F7:H7)</f>
        <v/>
      </c>
      <c r="Q7" s="39">
        <f>SUM(I7:K7)</f>
        <v/>
      </c>
      <c r="R7" s="39">
        <f>SUM(L7:N7)</f>
        <v/>
      </c>
      <c r="S7" s="11">
        <f>SUM(O7:R7)</f>
        <v/>
      </c>
      <c r="T7" s="39" t="n">
        <v>24207</v>
      </c>
      <c r="U7" s="39" t="n">
        <v>22855</v>
      </c>
      <c r="V7" s="39" t="n">
        <v>22938</v>
      </c>
      <c r="X7" s="39" t="inlineStr">
        <is>
          <t>КС вк</t>
        </is>
      </c>
      <c r="Y7" s="39" t="n">
        <v>144329</v>
      </c>
      <c r="Z7" s="39" t="n">
        <v>105917</v>
      </c>
      <c r="AA7" s="39" t="n">
        <v>297818</v>
      </c>
      <c r="AB7" s="39" t="n">
        <v>319785</v>
      </c>
      <c r="AC7" s="39" t="n">
        <v>260758</v>
      </c>
      <c r="AD7" s="39" t="n">
        <v>50373</v>
      </c>
      <c r="AE7" s="39" t="n">
        <v>44922</v>
      </c>
      <c r="AF7" s="39" t="n">
        <v>37890</v>
      </c>
      <c r="AG7" s="39" t="n">
        <v>27559</v>
      </c>
      <c r="AK7" s="39">
        <f>SUM(Y7:AA7)</f>
        <v/>
      </c>
      <c r="AL7" s="39">
        <f>SUM(AB7:AD7)</f>
        <v/>
      </c>
      <c r="AM7" s="39">
        <f>SUM(AE7:AG7)</f>
        <v/>
      </c>
      <c r="AN7" s="39">
        <f>SUM(AH7:AJ7)</f>
        <v/>
      </c>
      <c r="AO7" s="10">
        <f>SUM(AK7:AN7)</f>
        <v/>
      </c>
    </row>
    <row r="8" customFormat="1" s="13">
      <c r="B8" s="13" t="inlineStr">
        <is>
          <t xml:space="preserve">Неолени </t>
        </is>
      </c>
      <c r="C8" s="13" t="n">
        <v>56353</v>
      </c>
      <c r="D8" s="13" t="n">
        <v>100742</v>
      </c>
      <c r="E8" s="13" t="n">
        <v>79440</v>
      </c>
      <c r="F8" s="13" t="n">
        <v>145278</v>
      </c>
      <c r="G8" s="13" t="n">
        <v>484925</v>
      </c>
      <c r="H8" s="13" t="n">
        <v>601222</v>
      </c>
      <c r="I8" s="13" t="n">
        <v>268746</v>
      </c>
      <c r="J8" s="13" t="n">
        <v>377396</v>
      </c>
      <c r="K8" s="13" t="n">
        <v>289470</v>
      </c>
      <c r="O8" s="13">
        <f>SUM(C8:E8)</f>
        <v/>
      </c>
      <c r="P8" s="13">
        <f>SUM(F8:H8)</f>
        <v/>
      </c>
      <c r="Q8" s="13">
        <f>SUM(I8:K8)</f>
        <v/>
      </c>
      <c r="R8" s="13">
        <f>SUM(L8:N8)</f>
        <v/>
      </c>
      <c r="S8" s="11">
        <f>SUM(O8:R8)</f>
        <v/>
      </c>
      <c r="T8" s="21" t="n">
        <v>12233</v>
      </c>
      <c r="U8" s="21" t="n">
        <v>13349</v>
      </c>
      <c r="V8" s="21" t="n">
        <v>14664</v>
      </c>
      <c r="W8" s="21" t="n"/>
      <c r="X8" s="13" t="inlineStr">
        <is>
          <t xml:space="preserve">Неолени </t>
        </is>
      </c>
      <c r="Y8" s="13" t="n">
        <v>74737</v>
      </c>
      <c r="Z8" s="13" t="n">
        <v>141038</v>
      </c>
      <c r="AA8" s="13" t="n">
        <v>163914</v>
      </c>
      <c r="AB8" s="13" t="n">
        <v>291678</v>
      </c>
      <c r="AC8" s="13" t="n">
        <v>814620</v>
      </c>
      <c r="AD8" s="13" t="n">
        <v>569722</v>
      </c>
      <c r="AE8" s="13" t="n">
        <v>647949</v>
      </c>
      <c r="AF8" s="13" t="n">
        <v>350353</v>
      </c>
      <c r="AG8" s="13" t="n">
        <v>388279</v>
      </c>
      <c r="AK8" s="13">
        <f>SUM(Y8:AA8)</f>
        <v/>
      </c>
      <c r="AL8" s="13">
        <f>SUM(AB8:AD8)</f>
        <v/>
      </c>
      <c r="AM8" s="13">
        <f>SUM(AE8:AG8)</f>
        <v/>
      </c>
      <c r="AN8" s="13">
        <f>SUM(AH8:AJ8)</f>
        <v/>
      </c>
      <c r="AO8" s="10">
        <f>SUM(AK8:AN8)</f>
        <v/>
      </c>
    </row>
    <row r="9" customFormat="1" s="35">
      <c r="B9" s="35" t="inlineStr">
        <is>
          <t>этноарктика</t>
        </is>
      </c>
      <c r="C9" s="35" t="n">
        <v>120906</v>
      </c>
      <c r="D9" s="35">
        <f>319393</f>
        <v/>
      </c>
      <c r="E9" s="35" t="n">
        <v>265820</v>
      </c>
      <c r="F9" s="35" t="n">
        <v>110521</v>
      </c>
      <c r="G9" s="35" t="n">
        <v>69076</v>
      </c>
      <c r="H9" s="35" t="n">
        <v>71731</v>
      </c>
      <c r="I9" s="35" t="n">
        <v>47262</v>
      </c>
      <c r="J9" s="35" t="n">
        <v>32890</v>
      </c>
      <c r="K9" s="35" t="n">
        <v>42411</v>
      </c>
      <c r="O9" s="35">
        <f>SUM(C9:E9)</f>
        <v/>
      </c>
      <c r="P9" s="35">
        <f>SUM(F9:H9)</f>
        <v/>
      </c>
      <c r="Q9" s="35">
        <f>SUM(I9:K9)</f>
        <v/>
      </c>
      <c r="R9" s="35">
        <f>SUM(L9:N9)</f>
        <v/>
      </c>
      <c r="S9" s="11">
        <f>SUM(O9:R9)</f>
        <v/>
      </c>
      <c r="T9" s="40" t="n">
        <v>10840</v>
      </c>
      <c r="U9" s="40" t="n">
        <v>10554</v>
      </c>
      <c r="V9" s="40" t="n">
        <v>10603</v>
      </c>
      <c r="W9" s="40" t="n"/>
      <c r="X9" s="35" t="inlineStr">
        <is>
          <t>этноарктика</t>
        </is>
      </c>
      <c r="Y9" s="35" t="n">
        <v>48395</v>
      </c>
      <c r="Z9" s="35" t="n">
        <v>200004</v>
      </c>
      <c r="AA9" s="35" t="n">
        <v>171881</v>
      </c>
      <c r="AB9" s="35" t="n">
        <v>45953</v>
      </c>
      <c r="AC9" s="35" t="n">
        <v>37176</v>
      </c>
      <c r="AD9" s="35" t="n">
        <v>71096</v>
      </c>
      <c r="AE9" s="35" t="n">
        <v>95809</v>
      </c>
      <c r="AF9" s="35" t="n">
        <v>10854</v>
      </c>
      <c r="AG9" s="35" t="n">
        <v>30170</v>
      </c>
      <c r="AK9" s="35">
        <f>SUM(Y9:AA9)</f>
        <v/>
      </c>
      <c r="AL9" s="35">
        <f>SUM(AB9:AD9)</f>
        <v/>
      </c>
      <c r="AM9" s="35">
        <f>SUM(AE9:AG9)</f>
        <v/>
      </c>
      <c r="AN9" s="35">
        <f>SUM(AH9:AJ9)</f>
        <v/>
      </c>
      <c r="AO9" s="10">
        <f>SUM(AK9:AN9)</f>
        <v/>
      </c>
    </row>
    <row r="10" customFormat="1" s="15">
      <c r="B10" s="15" t="inlineStr">
        <is>
          <t>ЗажгиФАкел</t>
        </is>
      </c>
      <c r="C10" s="15" t="n">
        <v>26126</v>
      </c>
      <c r="D10" s="15" t="n">
        <v>29074</v>
      </c>
      <c r="E10" s="15" t="n">
        <v>22108</v>
      </c>
      <c r="F10" s="15" t="n">
        <v>24434</v>
      </c>
      <c r="G10" s="15" t="n">
        <v>19215</v>
      </c>
      <c r="H10" s="15" t="n">
        <v>21357</v>
      </c>
      <c r="I10" s="15" t="n">
        <v>18332</v>
      </c>
      <c r="J10" s="15" t="n">
        <v>19009</v>
      </c>
      <c r="K10" s="15" t="n">
        <v>40197</v>
      </c>
      <c r="O10" s="15">
        <f>SUM(C10:E10)</f>
        <v/>
      </c>
      <c r="P10" s="15">
        <f>SUM(F10:H10)</f>
        <v/>
      </c>
      <c r="Q10" s="15">
        <f>SUM(I10:K10)</f>
        <v/>
      </c>
      <c r="R10" s="15">
        <f>SUM(L10:N10)</f>
        <v/>
      </c>
      <c r="S10" s="11">
        <f>SUM(O10:R10)</f>
        <v/>
      </c>
      <c r="T10" s="22" t="n">
        <v>8165</v>
      </c>
      <c r="U10" s="15" t="n">
        <v>7423</v>
      </c>
      <c r="V10" s="22" t="n">
        <v>7373</v>
      </c>
      <c r="W10" s="22" t="n"/>
      <c r="X10" s="15" t="inlineStr">
        <is>
          <t>ЗажгиФАкел</t>
        </is>
      </c>
      <c r="Y10" s="15" t="n">
        <v>11527</v>
      </c>
      <c r="Z10" s="15" t="n">
        <v>6788</v>
      </c>
      <c r="AA10" s="15" t="n">
        <v>5076</v>
      </c>
      <c r="AB10" s="15" t="n">
        <v>4679</v>
      </c>
      <c r="AC10" s="15" t="n">
        <v>4043</v>
      </c>
      <c r="AD10" s="15" t="n">
        <v>4579</v>
      </c>
      <c r="AE10" s="15" t="n">
        <v>4387</v>
      </c>
      <c r="AF10" s="15" t="n">
        <v>5012</v>
      </c>
      <c r="AG10" s="15" t="n">
        <v>7588</v>
      </c>
      <c r="AK10" s="15">
        <f>SUM(Y10:AA10)</f>
        <v/>
      </c>
      <c r="AL10" s="15">
        <f>SUM(AB10:AD10)</f>
        <v/>
      </c>
      <c r="AM10" s="15">
        <f>SUM(AE10:AG10)</f>
        <v/>
      </c>
      <c r="AN10" s="15">
        <f>SUM(AH10:AJ10)</f>
        <v/>
      </c>
      <c r="AO10" s="10">
        <f>SUM(AK10:AN10)</f>
        <v/>
      </c>
    </row>
    <row r="11">
      <c r="B11" s="39" t="inlineStr">
        <is>
          <t>Нярьяна Нгэрм</t>
        </is>
      </c>
      <c r="C11" s="39" t="n">
        <v>182698</v>
      </c>
      <c r="D11" s="39" t="n">
        <v>293863</v>
      </c>
      <c r="E11" s="39" t="n">
        <v>224400</v>
      </c>
      <c r="F11" s="39" t="n">
        <v>147493</v>
      </c>
      <c r="G11" s="39" t="n">
        <v>91280</v>
      </c>
      <c r="H11" s="39" t="n">
        <v>128075</v>
      </c>
      <c r="I11" s="39" t="n">
        <v>56124</v>
      </c>
      <c r="J11" s="39" t="n">
        <v>55029</v>
      </c>
      <c r="K11" s="39" t="n">
        <v>57893</v>
      </c>
      <c r="O11" s="39">
        <f>SUM(C11:E11)</f>
        <v/>
      </c>
      <c r="P11" s="39">
        <f>SUM(F11:H11)</f>
        <v/>
      </c>
      <c r="Q11" s="39">
        <f>SUM(I11:K11)</f>
        <v/>
      </c>
      <c r="R11" s="39">
        <f>SUM(L11:N11)</f>
        <v/>
      </c>
      <c r="S11" s="11">
        <f>SUM(O11:R11)</f>
        <v/>
      </c>
      <c r="T11" s="45" t="n">
        <v>5963</v>
      </c>
      <c r="U11" s="39" t="n">
        <v>5518</v>
      </c>
      <c r="V11" s="45" t="n">
        <v>5624</v>
      </c>
      <c r="W11" s="45" t="n"/>
      <c r="X11" s="39" t="inlineStr">
        <is>
          <t>Нярьяна Нгэрм</t>
        </is>
      </c>
      <c r="Y11" s="39" t="n">
        <v>25182</v>
      </c>
      <c r="Z11" s="39" t="n">
        <v>36249</v>
      </c>
      <c r="AA11" s="39" t="n">
        <v>28790</v>
      </c>
      <c r="AB11" s="39" t="n">
        <v>26838</v>
      </c>
      <c r="AC11" s="39" t="n">
        <v>16924</v>
      </c>
      <c r="AD11" s="39" t="n">
        <v>16862</v>
      </c>
      <c r="AE11" s="39" t="n">
        <v>14810</v>
      </c>
      <c r="AF11" s="39" t="n">
        <v>13583</v>
      </c>
      <c r="AG11" s="39" t="n">
        <v>13397</v>
      </c>
      <c r="AK11" s="39">
        <f>SUM(Y11:AA11)</f>
        <v/>
      </c>
      <c r="AL11" s="39">
        <f>SUM(AB11:AD11)</f>
        <v/>
      </c>
      <c r="AM11" s="39">
        <f>SUM(AE11:AG11)</f>
        <v/>
      </c>
      <c r="AN11" s="39">
        <f>SUM(AH11:AJ11)</f>
        <v/>
      </c>
      <c r="AO11" s="10">
        <f>SUM(AK11:AN11)</f>
        <v/>
      </c>
    </row>
    <row r="12">
      <c r="B12" s="25" t="inlineStr">
        <is>
          <t>Лух Авт</t>
        </is>
      </c>
      <c r="C12" s="39" t="n">
        <v>72243</v>
      </c>
      <c r="D12" s="39" t="n">
        <v>114273</v>
      </c>
      <c r="E12" s="39" t="n">
        <v>180941</v>
      </c>
      <c r="F12" s="39" t="n">
        <v>84511</v>
      </c>
      <c r="G12" s="39" t="n">
        <v>67781</v>
      </c>
      <c r="H12" s="39" t="n">
        <v>86887</v>
      </c>
      <c r="I12" s="39" t="n">
        <v>69692</v>
      </c>
      <c r="J12" s="39" t="n">
        <v>46970</v>
      </c>
      <c r="K12" s="39" t="n">
        <v>55267</v>
      </c>
      <c r="O12" s="39">
        <f>SUM(C12:E12)</f>
        <v/>
      </c>
      <c r="P12" s="39">
        <f>SUM(F12:H12)</f>
        <v/>
      </c>
      <c r="Q12" s="39">
        <f>SUM(I12:K12)</f>
        <v/>
      </c>
      <c r="R12" s="39">
        <f>SUM(L12:N12)</f>
        <v/>
      </c>
      <c r="S12" s="11">
        <f>SUM(O12:R12)</f>
        <v/>
      </c>
      <c r="T12" s="45" t="n">
        <v>2497</v>
      </c>
      <c r="U12" s="39" t="n">
        <v>2287</v>
      </c>
      <c r="V12" s="45" t="n">
        <v>2340</v>
      </c>
      <c r="W12" s="45" t="n"/>
      <c r="X12" s="25" t="inlineStr">
        <is>
          <t>Лух Авт</t>
        </is>
      </c>
      <c r="Y12" s="39" t="n">
        <v>9078</v>
      </c>
      <c r="Z12" s="39" t="n">
        <v>15563</v>
      </c>
      <c r="AA12" s="39" t="n">
        <v>22841</v>
      </c>
      <c r="AB12" s="39" t="n">
        <v>10608</v>
      </c>
      <c r="AC12" s="39" t="n">
        <v>8835</v>
      </c>
      <c r="AD12" s="39" t="n">
        <v>9175</v>
      </c>
      <c r="AE12" s="39" t="n">
        <v>9937</v>
      </c>
      <c r="AF12" s="39" t="n">
        <v>5769</v>
      </c>
      <c r="AG12" s="39" t="n">
        <v>7485</v>
      </c>
      <c r="AK12" s="39">
        <f>SUM(Y12:AA12)</f>
        <v/>
      </c>
      <c r="AL12" s="39">
        <f>SUM(AB12:AD12)</f>
        <v/>
      </c>
      <c r="AM12" s="39">
        <f>SUM(AE12:AG12)</f>
        <v/>
      </c>
      <c r="AN12" s="39">
        <f>SUM(AH12:AJ12)</f>
        <v/>
      </c>
      <c r="AO12" s="10">
        <f>SUM(AK12:AN12)</f>
        <v/>
      </c>
    </row>
    <row r="13">
      <c r="B13" s="39" t="inlineStr">
        <is>
          <t>Ямальский меридиан</t>
        </is>
      </c>
      <c r="C13" s="39" t="n">
        <v>104121</v>
      </c>
      <c r="D13" s="39" t="n">
        <v>39866</v>
      </c>
      <c r="E13" s="39" t="n">
        <v>67220</v>
      </c>
      <c r="F13" s="39" t="n">
        <v>204220</v>
      </c>
      <c r="G13" s="39" t="n">
        <v>146243</v>
      </c>
      <c r="H13" s="39" t="n">
        <v>145741</v>
      </c>
      <c r="I13" s="39" t="n">
        <v>235248</v>
      </c>
      <c r="J13" s="39" t="n">
        <v>199541</v>
      </c>
      <c r="K13" s="39" t="n">
        <v>200278</v>
      </c>
      <c r="O13" s="39">
        <f>SUM(C13:E13)</f>
        <v/>
      </c>
      <c r="P13" s="39">
        <f>SUM(F13:H13)</f>
        <v/>
      </c>
      <c r="Q13" s="39">
        <f>SUM(I13:K13)</f>
        <v/>
      </c>
      <c r="R13" s="39">
        <f>SUM(L13:N13)</f>
        <v/>
      </c>
      <c r="S13" s="11">
        <f>SUM(O13:R13)</f>
        <v/>
      </c>
      <c r="T13" s="45" t="n">
        <v>6352</v>
      </c>
      <c r="U13" s="39" t="n">
        <v>5976</v>
      </c>
      <c r="V13" s="45" t="n">
        <v>6188</v>
      </c>
      <c r="W13" s="45" t="n"/>
      <c r="X13" s="39" t="inlineStr">
        <is>
          <t>Ямальский меридиан</t>
        </is>
      </c>
      <c r="Y13" s="39" t="n">
        <v>42851</v>
      </c>
      <c r="Z13" s="39" t="n">
        <v>38904</v>
      </c>
      <c r="AA13" s="39" t="n">
        <v>4055</v>
      </c>
      <c r="AB13" s="39" t="n">
        <v>88550</v>
      </c>
      <c r="AC13" s="39" t="n">
        <v>73060</v>
      </c>
      <c r="AD13" s="39" t="n">
        <v>56183</v>
      </c>
      <c r="AE13" s="39" t="n">
        <v>98088</v>
      </c>
      <c r="AF13" s="39" t="n">
        <v>71905</v>
      </c>
      <c r="AG13" s="39" t="n">
        <v>80540</v>
      </c>
      <c r="AK13" s="39">
        <f>SUM(Y13:AA13)</f>
        <v/>
      </c>
      <c r="AL13" s="39">
        <f>SUM(AB13:AD13)</f>
        <v/>
      </c>
      <c r="AM13" s="39">
        <f>SUM(AE13:AG13)</f>
        <v/>
      </c>
      <c r="AN13" s="39">
        <f>SUM(AH13:AJ13)</f>
        <v/>
      </c>
      <c r="AO13" s="10">
        <f>SUM(AK13:AN13)</f>
        <v/>
      </c>
    </row>
    <row r="14" customFormat="1" s="41">
      <c r="B14" s="41" t="inlineStr">
        <is>
          <t>МК-Ямал</t>
        </is>
      </c>
      <c r="C14" s="41" t="n">
        <v>1263556</v>
      </c>
      <c r="D14" s="41" t="n">
        <v>821893</v>
      </c>
      <c r="E14" s="41" t="n">
        <v>2645408</v>
      </c>
      <c r="F14" s="41" t="n">
        <v>3805848</v>
      </c>
      <c r="G14" s="41" t="n">
        <v>6247434</v>
      </c>
      <c r="H14" s="41" t="n">
        <v>488894</v>
      </c>
      <c r="I14" s="41" t="n">
        <v>347534</v>
      </c>
      <c r="J14" s="41" t="n">
        <v>203366</v>
      </c>
      <c r="K14" s="41" t="n">
        <v>262591</v>
      </c>
      <c r="O14" s="47">
        <f>SUM(C14:E14)</f>
        <v/>
      </c>
      <c r="P14" s="47">
        <f>SUM(F14:H14)</f>
        <v/>
      </c>
      <c r="Q14" s="47">
        <f>SUM(I14:K14)</f>
        <v/>
      </c>
      <c r="R14" s="47">
        <f>SUM(L14:N14)</f>
        <v/>
      </c>
      <c r="S14" s="11">
        <f>SUM(O14:R14)</f>
        <v/>
      </c>
      <c r="T14" s="46" t="n">
        <v>7045</v>
      </c>
      <c r="U14" s="47" t="n">
        <v>7759</v>
      </c>
      <c r="V14" s="46" t="n">
        <v>7947</v>
      </c>
      <c r="W14" s="46" t="n"/>
      <c r="X14" s="47" t="inlineStr">
        <is>
          <t>МК-Ямал</t>
        </is>
      </c>
      <c r="Y14" s="47" t="n">
        <v>273982</v>
      </c>
      <c r="Z14" s="47" t="n">
        <v>180116</v>
      </c>
      <c r="AA14" s="47" t="n">
        <v>793139</v>
      </c>
      <c r="AB14" s="47" t="n">
        <v>492680</v>
      </c>
      <c r="AC14" s="47" t="n">
        <v>608892</v>
      </c>
      <c r="AD14" s="47" t="n">
        <v>90860</v>
      </c>
      <c r="AE14" s="47" t="n">
        <v>83627</v>
      </c>
      <c r="AF14" s="39" t="n">
        <v>70989</v>
      </c>
      <c r="AG14" s="39" t="n">
        <v>100644</v>
      </c>
      <c r="AH14" s="47" t="n"/>
      <c r="AI14" s="47" t="n"/>
      <c r="AJ14" s="47" t="n"/>
      <c r="AK14" s="47">
        <f>SUM(Y14:AA14)</f>
        <v/>
      </c>
      <c r="AL14" s="47">
        <f>SUM(AB14:AD14)</f>
        <v/>
      </c>
      <c r="AM14" s="47">
        <f>SUM(AE14:AG14)</f>
        <v/>
      </c>
      <c r="AN14" s="47">
        <f>SUM(AH14:AJ14)</f>
        <v/>
      </c>
      <c r="AO14" s="10">
        <f>SUM(AK14:AN14)</f>
        <v/>
      </c>
    </row>
    <row r="15" customFormat="1" s="41">
      <c r="B15" s="41" t="inlineStr">
        <is>
          <t>Арктика Вконтакте</t>
        </is>
      </c>
      <c r="C15" s="41" t="n">
        <v>97136</v>
      </c>
      <c r="D15" s="41" t="n">
        <v>26892</v>
      </c>
      <c r="E15" s="41" t="n">
        <v>37862</v>
      </c>
      <c r="F15" s="41" t="n">
        <v>39797</v>
      </c>
      <c r="G15" s="41" t="n">
        <v>16666</v>
      </c>
      <c r="H15" s="41" t="n">
        <v>13397</v>
      </c>
      <c r="I15" s="41" t="n">
        <v>12649</v>
      </c>
      <c r="J15" s="41" t="n">
        <v>9347</v>
      </c>
      <c r="K15" s="41" t="n">
        <v>9415</v>
      </c>
      <c r="O15" s="47">
        <f>SUM(C15:E15)</f>
        <v/>
      </c>
      <c r="P15" s="47">
        <f>SUM(F15:H15)</f>
        <v/>
      </c>
      <c r="Q15" s="47">
        <f>SUM(I15:K15)</f>
        <v/>
      </c>
      <c r="R15" s="47">
        <f>SUM(L15:N15)</f>
        <v/>
      </c>
      <c r="S15" s="11">
        <f>SUM(O15:R15)</f>
        <v/>
      </c>
      <c r="T15" s="46" t="n">
        <v>17605</v>
      </c>
      <c r="U15" s="47" t="n">
        <v>16758</v>
      </c>
      <c r="V15" s="46" t="n">
        <v>16708</v>
      </c>
      <c r="W15" s="46" t="n"/>
      <c r="X15" s="47" t="inlineStr">
        <is>
          <t>Арктика Вконтакте</t>
        </is>
      </c>
      <c r="Y15" s="47" t="n">
        <v>33882</v>
      </c>
      <c r="Z15" s="47" t="n">
        <v>7251</v>
      </c>
      <c r="AA15" s="47" t="n">
        <v>9991</v>
      </c>
      <c r="AB15" s="47" t="n">
        <v>5583</v>
      </c>
      <c r="AC15" s="47" t="n">
        <v>4463</v>
      </c>
      <c r="AD15" s="47" t="n">
        <v>3483</v>
      </c>
      <c r="AE15" s="47" t="n">
        <v>12452</v>
      </c>
      <c r="AF15" s="47" t="n">
        <v>2600</v>
      </c>
      <c r="AG15" s="47" t="n">
        <v>2901</v>
      </c>
      <c r="AH15" s="47" t="n"/>
      <c r="AI15" s="47" t="n"/>
      <c r="AJ15" s="47" t="n"/>
      <c r="AK15" s="47">
        <f>SUM(Y15:AA15)</f>
        <v/>
      </c>
      <c r="AL15" s="47">
        <f>SUM(AB15:AD15)</f>
        <v/>
      </c>
      <c r="AM15" s="47">
        <f>SUM(AE15:AG15)</f>
        <v/>
      </c>
      <c r="AN15" s="47">
        <f>SUM(AH15:AJ15)</f>
        <v/>
      </c>
      <c r="AO15" s="10">
        <f>SUM(AK15:AN15)</f>
        <v/>
      </c>
    </row>
    <row r="16" customFormat="1" s="41">
      <c r="B16" s="41" t="inlineStr">
        <is>
          <t>Ямал Live</t>
        </is>
      </c>
      <c r="C16" s="41" t="n">
        <v>843566</v>
      </c>
      <c r="D16" s="41" t="n">
        <v>260320</v>
      </c>
      <c r="E16" s="41" t="n">
        <v>524868</v>
      </c>
      <c r="F16" s="41" t="n">
        <v>319782</v>
      </c>
      <c r="G16" s="41" t="n">
        <v>180542</v>
      </c>
      <c r="H16" s="41" t="n">
        <v>202276</v>
      </c>
      <c r="I16" s="41" t="n">
        <v>70004</v>
      </c>
      <c r="J16" s="41" t="n">
        <v>52300</v>
      </c>
      <c r="K16" s="41" t="n">
        <v>28892</v>
      </c>
      <c r="O16" s="47">
        <f>SUM(C16:E16)</f>
        <v/>
      </c>
      <c r="P16" s="47">
        <f>SUM(F16:H16)</f>
        <v/>
      </c>
      <c r="Q16" s="47">
        <f>SUM(I16:K16)</f>
        <v/>
      </c>
      <c r="R16" s="47">
        <f>SUM(L16:N16)</f>
        <v/>
      </c>
      <c r="S16" s="11">
        <f>SUM(O16:R16)</f>
        <v/>
      </c>
      <c r="T16" s="46" t="n">
        <v>23376</v>
      </c>
      <c r="U16" s="47" t="n">
        <v>21854</v>
      </c>
      <c r="V16" s="46" t="n">
        <v>21928</v>
      </c>
      <c r="W16" s="46" t="n"/>
      <c r="X16" s="47" t="inlineStr">
        <is>
          <t>Ямал Live</t>
        </is>
      </c>
      <c r="Y16" s="47" t="n">
        <v>196870</v>
      </c>
      <c r="Z16" s="47" t="n">
        <v>63664</v>
      </c>
      <c r="AA16" s="47" t="n">
        <v>102847</v>
      </c>
      <c r="AB16" s="47" t="n">
        <v>28993</v>
      </c>
      <c r="AC16" s="47" t="n">
        <v>26054</v>
      </c>
      <c r="AD16" s="47" t="n">
        <v>34418</v>
      </c>
      <c r="AE16" s="47" t="n">
        <v>4045</v>
      </c>
      <c r="AF16" s="47" t="n">
        <v>9057</v>
      </c>
      <c r="AG16" s="47" t="n">
        <v>7726</v>
      </c>
      <c r="AH16" s="47" t="n"/>
      <c r="AI16" s="47" t="n"/>
      <c r="AJ16" s="47" t="n"/>
      <c r="AK16" s="47">
        <f>SUM(Y16:AA16)</f>
        <v/>
      </c>
      <c r="AL16" s="47">
        <f>SUM(AB16:AD16)</f>
        <v/>
      </c>
      <c r="AM16" s="47">
        <f>SUM(AE16:AG16)</f>
        <v/>
      </c>
      <c r="AN16" s="47">
        <f>SUM(AH16:AJ16)</f>
        <v/>
      </c>
      <c r="AO16" s="10">
        <f>SUM(AK16:AN16)</f>
        <v/>
      </c>
    </row>
    <row r="17">
      <c r="B17" s="39" t="inlineStr">
        <is>
          <t>Нур</t>
        </is>
      </c>
      <c r="I17" s="39" t="n">
        <v>496389</v>
      </c>
      <c r="J17" s="39" t="n">
        <v>541782</v>
      </c>
      <c r="K17" s="39" t="n">
        <v>573893</v>
      </c>
      <c r="O17" s="39">
        <f>SUM(C17:E17)</f>
        <v/>
      </c>
      <c r="P17" s="39">
        <f>SUM(F17:H17)</f>
        <v/>
      </c>
      <c r="Q17" s="39">
        <f>SUM(I17:K17)</f>
        <v/>
      </c>
      <c r="R17" s="39">
        <f>SUM(L17:N17)</f>
        <v/>
      </c>
      <c r="S17" s="11">
        <f>SUM(O17:R17)</f>
        <v/>
      </c>
      <c r="T17" s="45" t="n"/>
      <c r="V17" s="45" t="n">
        <v>24881</v>
      </c>
      <c r="W17" s="45" t="n"/>
      <c r="X17" s="39" t="inlineStr">
        <is>
          <t>Нур</t>
        </is>
      </c>
      <c r="AE17" s="39" t="n">
        <v>69032</v>
      </c>
      <c r="AF17" s="39" t="n">
        <v>48085</v>
      </c>
      <c r="AG17" s="39" t="n">
        <v>64290</v>
      </c>
      <c r="AK17" s="39">
        <f>SUM(Y17:AA17)</f>
        <v/>
      </c>
      <c r="AL17" s="39">
        <f>SUM(AB17:AD17)</f>
        <v/>
      </c>
      <c r="AM17" s="39">
        <f>SUM(AE17:AG17)</f>
        <v/>
      </c>
      <c r="AN17" s="39">
        <f>SUM(AH17:AJ17)</f>
        <v/>
      </c>
      <c r="AO17" s="10">
        <f>SUM(AK17:AN17)</f>
        <v/>
      </c>
    </row>
    <row r="18">
      <c r="B18" s="39" t="inlineStr">
        <is>
          <t>Надым</t>
        </is>
      </c>
      <c r="I18" s="39" t="n">
        <v>1082435</v>
      </c>
      <c r="J18" s="39" t="n">
        <v>1283903</v>
      </c>
      <c r="K18" s="39" t="n">
        <v>1520719</v>
      </c>
      <c r="O18" s="39">
        <f>SUM(C18:E18)</f>
        <v/>
      </c>
      <c r="P18" s="39">
        <f>SUM(F18:H18)</f>
        <v/>
      </c>
      <c r="Q18" s="39">
        <f>SUM(I18:K18)</f>
        <v/>
      </c>
      <c r="R18" s="39">
        <f>SUM(L18:N18)</f>
        <v/>
      </c>
      <c r="S18" s="11">
        <f>SUM(O18:R18)</f>
        <v/>
      </c>
      <c r="V18" s="39" t="n">
        <v>21743</v>
      </c>
      <c r="X18" s="39" t="inlineStr">
        <is>
          <t>Надым</t>
        </is>
      </c>
      <c r="AE18" s="39" t="n">
        <v>214171</v>
      </c>
      <c r="AF18" s="39" t="n">
        <v>123757</v>
      </c>
      <c r="AG18" s="39" t="n">
        <v>126288</v>
      </c>
      <c r="AK18" s="39">
        <f>SUM(Y18:AA18)</f>
        <v/>
      </c>
      <c r="AL18" s="39">
        <f>SUM(AB18:AD18)</f>
        <v/>
      </c>
      <c r="AM18" s="39">
        <f>SUM(AE18:AG18)</f>
        <v/>
      </c>
      <c r="AN18" s="39">
        <f>SUM(AH18:AJ18)</f>
        <v/>
      </c>
      <c r="AO18" s="10">
        <f>SUM(AK18:AN18)</f>
        <v/>
      </c>
    </row>
    <row r="19">
      <c r="B19" s="39" t="inlineStr">
        <is>
          <t>Ноябрьск</t>
        </is>
      </c>
      <c r="I19" s="39" t="n">
        <v>1704922</v>
      </c>
      <c r="J19" s="39" t="n">
        <v>1880908</v>
      </c>
      <c r="K19" s="39" t="n">
        <v>1872004</v>
      </c>
      <c r="O19" s="39">
        <f>SUM(C19:E19)</f>
        <v/>
      </c>
      <c r="P19" s="39">
        <f>SUM(F19:H19)</f>
        <v/>
      </c>
      <c r="Q19" s="39">
        <f>SUM(I19:K19)</f>
        <v/>
      </c>
      <c r="R19" s="39">
        <f>SUM(L19:N19)</f>
        <v/>
      </c>
      <c r="S19" s="11">
        <f>SUM(O19:R19)</f>
        <v/>
      </c>
      <c r="V19" s="39" t="n">
        <v>31336</v>
      </c>
      <c r="X19" s="39" t="inlineStr">
        <is>
          <t>Ноябрьск</t>
        </is>
      </c>
      <c r="AE19" s="39" t="n">
        <v>106512</v>
      </c>
      <c r="AF19" s="39" t="n">
        <v>107377</v>
      </c>
      <c r="AG19" s="39" t="n">
        <v>100819</v>
      </c>
      <c r="AK19" s="39">
        <f>SUM(Y19:AA19)</f>
        <v/>
      </c>
      <c r="AL19" s="39">
        <f>SUM(AB19:AD19)</f>
        <v/>
      </c>
      <c r="AM19" s="39">
        <f>SUM(AE19:AG19)</f>
        <v/>
      </c>
      <c r="AN19" s="39">
        <f>SUM(AH19:AJ19)</f>
        <v/>
      </c>
      <c r="AO19" s="10">
        <f>SUM(AK19:AN19)</f>
        <v/>
      </c>
    </row>
    <row r="20">
      <c r="B20" s="39" t="inlineStr">
        <is>
          <t>ЯМ-Схд</t>
        </is>
      </c>
      <c r="C20" s="39" t="n">
        <v>1688047</v>
      </c>
      <c r="D20" s="39" t="n">
        <v>913976</v>
      </c>
      <c r="E20" s="39" t="n">
        <v>2526991</v>
      </c>
      <c r="F20" s="39" t="n">
        <v>1667702</v>
      </c>
      <c r="G20" s="39" t="n">
        <v>1325863</v>
      </c>
      <c r="H20" s="39" t="n">
        <v>1137152</v>
      </c>
      <c r="I20" s="39" t="n">
        <v>814289</v>
      </c>
      <c r="J20" s="39" t="n">
        <v>571173</v>
      </c>
      <c r="K20" s="39" t="n">
        <v>855147</v>
      </c>
      <c r="O20" s="39">
        <f>SUM(C20:E20)</f>
        <v/>
      </c>
      <c r="P20" s="39">
        <f>SUM(F20:H20)</f>
        <v/>
      </c>
      <c r="Q20" s="39">
        <f>SUM(I20:K20)</f>
        <v/>
      </c>
      <c r="R20" s="39">
        <f>SUM(L20:N20)</f>
        <v/>
      </c>
      <c r="S20" s="11">
        <f>SUM(O20:R20)</f>
        <v/>
      </c>
      <c r="T20" s="39" t="n">
        <v>21697</v>
      </c>
      <c r="U20" s="39" t="n">
        <v>21292</v>
      </c>
      <c r="V20" s="39" t="n">
        <v>21591</v>
      </c>
      <c r="X20" s="39" t="inlineStr">
        <is>
          <t>ЯМ-Схд</t>
        </is>
      </c>
      <c r="Y20" s="39" t="n">
        <v>462750</v>
      </c>
      <c r="Z20" s="39" t="n">
        <v>79502</v>
      </c>
      <c r="AA20" s="39" t="n">
        <v>223310</v>
      </c>
      <c r="AB20" s="39" t="n">
        <v>58579</v>
      </c>
      <c r="AC20" s="39" t="n">
        <v>34030</v>
      </c>
      <c r="AD20" s="39" t="n">
        <v>23091</v>
      </c>
      <c r="AE20" s="39" t="n">
        <v>24458</v>
      </c>
      <c r="AF20" s="39" t="n">
        <v>17798</v>
      </c>
      <c r="AG20" s="39" t="n">
        <v>46878</v>
      </c>
      <c r="AK20" s="39">
        <f>SUM(Y20:AA20)</f>
        <v/>
      </c>
      <c r="AL20" s="39">
        <f>SUM(AB20:AD20)</f>
        <v/>
      </c>
      <c r="AM20" s="39">
        <f>SUM(AE20:AG20)</f>
        <v/>
      </c>
      <c r="AN20" s="39">
        <f>SUM(AH20:AJ20)</f>
        <v/>
      </c>
      <c r="AO20" s="10">
        <f>SUM(AK20:AN20)</f>
        <v/>
      </c>
    </row>
    <row r="21">
      <c r="B21" s="39" t="inlineStr">
        <is>
          <t>ЯМ-БПРЛ</t>
        </is>
      </c>
      <c r="C21" s="39" t="n">
        <v>3661183</v>
      </c>
      <c r="D21" s="39" t="n">
        <v>3712820</v>
      </c>
      <c r="E21" s="39" t="n">
        <v>4422381</v>
      </c>
      <c r="F21" s="39" t="n">
        <v>2960974</v>
      </c>
      <c r="G21" s="39" t="n">
        <v>2771597</v>
      </c>
      <c r="H21" s="39" t="n">
        <v>2611191</v>
      </c>
      <c r="I21" s="39" t="n">
        <v>2243645</v>
      </c>
      <c r="J21" s="39" t="n">
        <v>1703404</v>
      </c>
      <c r="K21" s="39" t="n">
        <v>2122471</v>
      </c>
      <c r="O21" s="39">
        <f>SUM(C21:E21)</f>
        <v/>
      </c>
      <c r="P21" s="39">
        <f>SUM(F21:H21)</f>
        <v/>
      </c>
      <c r="Q21" s="39">
        <f>SUM(I21:K21)</f>
        <v/>
      </c>
      <c r="R21" s="39">
        <f>SUM(L21:N21)</f>
        <v/>
      </c>
      <c r="S21" s="11">
        <f>SUM(O21:R21)</f>
        <v/>
      </c>
      <c r="T21" s="39" t="n">
        <v>20313</v>
      </c>
      <c r="U21" s="39" t="n">
        <v>20107</v>
      </c>
      <c r="V21" s="39" t="n">
        <v>20796</v>
      </c>
      <c r="X21" s="39" t="inlineStr">
        <is>
          <t>ЯМ-БПРЛ</t>
        </is>
      </c>
      <c r="Y21" s="39" t="n">
        <v>367866</v>
      </c>
      <c r="Z21" s="39" t="n">
        <v>370494</v>
      </c>
      <c r="AA21" s="39" t="n">
        <v>443601</v>
      </c>
      <c r="AB21" s="39" t="n">
        <v>539138</v>
      </c>
      <c r="AC21" s="39" t="n">
        <v>142880</v>
      </c>
      <c r="AD21" s="39" t="n">
        <v>167372</v>
      </c>
      <c r="AE21" s="39" t="n">
        <v>476776</v>
      </c>
      <c r="AF21" s="39" t="n">
        <v>488726</v>
      </c>
      <c r="AG21" s="39" t="n">
        <v>314835</v>
      </c>
      <c r="AK21" s="39">
        <f>SUM(Y21:AA21)</f>
        <v/>
      </c>
      <c r="AL21" s="39">
        <f>SUM(AB21:AD21)</f>
        <v/>
      </c>
      <c r="AM21" s="39">
        <f>SUM(AE21:AG21)</f>
        <v/>
      </c>
      <c r="AN21" s="39">
        <f>SUM(AH21:AJ21)</f>
        <v/>
      </c>
      <c r="AO21" s="10">
        <f>SUM(AK21:AN21)</f>
        <v/>
      </c>
    </row>
    <row r="22">
      <c r="B22" s="39" t="inlineStr">
        <is>
          <t>ЛБТ</t>
        </is>
      </c>
      <c r="I22" s="39" t="n">
        <v>524835</v>
      </c>
      <c r="J22" s="39" t="n">
        <v>455203</v>
      </c>
      <c r="K22" s="39" t="n">
        <v>649046</v>
      </c>
      <c r="O22" s="39">
        <f>SUM(C22:E22)</f>
        <v/>
      </c>
      <c r="P22" s="39">
        <f>SUM(F22:H22)</f>
        <v/>
      </c>
      <c r="Q22" s="39">
        <f>SUM(I22:K22)</f>
        <v/>
      </c>
      <c r="R22" s="39">
        <f>SUM(L22:N22)</f>
        <v/>
      </c>
      <c r="S22" s="11">
        <f>SUM(O22:R22)</f>
        <v/>
      </c>
      <c r="V22" s="39" t="n">
        <v>15525</v>
      </c>
      <c r="X22" s="39" t="inlineStr">
        <is>
          <t>ЛБТ</t>
        </is>
      </c>
      <c r="AE22" s="39" t="n">
        <v>980937</v>
      </c>
      <c r="AF22" s="39" t="n">
        <v>982836</v>
      </c>
      <c r="AG22" s="39" t="n">
        <v>371259</v>
      </c>
      <c r="AK22" s="39">
        <f>SUM(Y22:AA22)</f>
        <v/>
      </c>
      <c r="AL22" s="39">
        <f>SUM(AB22:AD22)</f>
        <v/>
      </c>
      <c r="AM22" s="39">
        <f>SUM(AE22:AG22)</f>
        <v/>
      </c>
      <c r="AN22" s="39">
        <f>SUM(AH22:AJ22)</f>
        <v/>
      </c>
      <c r="AO22" s="10">
        <f>SUM(AK22:AN22)</f>
        <v/>
      </c>
    </row>
    <row r="23">
      <c r="B23" s="39" t="inlineStr">
        <is>
          <t>ПурР</t>
        </is>
      </c>
      <c r="I23" s="39" t="n">
        <v>140248</v>
      </c>
      <c r="J23" s="39" t="n">
        <v>283080</v>
      </c>
      <c r="K23" s="39" t="n">
        <v>217911</v>
      </c>
      <c r="O23" s="39">
        <f>SUM(C23:E23)</f>
        <v/>
      </c>
      <c r="P23" s="39">
        <f>SUM(F23:H23)</f>
        <v/>
      </c>
      <c r="Q23" s="39">
        <f>SUM(I23:K23)</f>
        <v/>
      </c>
      <c r="R23" s="39">
        <f>SUM(L23:N23)</f>
        <v/>
      </c>
      <c r="S23" s="11">
        <f>SUM(O23:R23)</f>
        <v/>
      </c>
      <c r="V23" s="39" t="n">
        <v>16433</v>
      </c>
      <c r="X23" s="39" t="inlineStr">
        <is>
          <t>ПурР</t>
        </is>
      </c>
      <c r="AE23" s="39" t="n">
        <v>19812</v>
      </c>
      <c r="AF23" s="39" t="n">
        <v>23070</v>
      </c>
      <c r="AG23" s="39" t="n">
        <v>22355</v>
      </c>
      <c r="AK23" s="39">
        <f>SUM(Y23:AA23)</f>
        <v/>
      </c>
      <c r="AL23" s="39">
        <f>SUM(AB23:AD23)</f>
        <v/>
      </c>
      <c r="AM23" s="39">
        <f>SUM(AE23:AG23)</f>
        <v/>
      </c>
      <c r="AN23" s="39">
        <f>SUM(AH23:AJ23)</f>
        <v/>
      </c>
      <c r="AO23" s="10">
        <f>SUM(AK23:AN23)</f>
        <v/>
      </c>
    </row>
    <row r="24">
      <c r="B24" s="39" t="inlineStr">
        <is>
          <t>ТазР</t>
        </is>
      </c>
      <c r="I24" s="39" t="n">
        <v>201397</v>
      </c>
      <c r="J24" s="39" t="n">
        <v>191605</v>
      </c>
      <c r="K24" s="39" t="n">
        <v>279160</v>
      </c>
      <c r="O24" s="39">
        <f>SUM(C24:E24)</f>
        <v/>
      </c>
      <c r="P24" s="39">
        <f>SUM(F24:H24)</f>
        <v/>
      </c>
      <c r="Q24" s="39">
        <f>SUM(I24:K24)</f>
        <v/>
      </c>
      <c r="R24" s="39">
        <f>SUM(L24:N24)</f>
        <v/>
      </c>
      <c r="S24" s="11">
        <f>SUM(O24:R24)</f>
        <v/>
      </c>
      <c r="V24" s="39" t="n">
        <v>6448</v>
      </c>
      <c r="X24" s="39" t="inlineStr">
        <is>
          <t>ТазР</t>
        </is>
      </c>
      <c r="AE24" s="39" t="n">
        <v>14092</v>
      </c>
      <c r="AF24" s="39" t="n">
        <v>17527</v>
      </c>
      <c r="AG24" s="39" t="n">
        <v>20123</v>
      </c>
      <c r="AK24" s="39">
        <f>SUM(Y24:AA24)</f>
        <v/>
      </c>
      <c r="AL24" s="39">
        <f>SUM(AB24:AD24)</f>
        <v/>
      </c>
      <c r="AM24" s="39">
        <f>SUM(AE24:AG24)</f>
        <v/>
      </c>
      <c r="AN24" s="39">
        <f>SUM(AH24:AJ24)</f>
        <v/>
      </c>
      <c r="AO24" s="10">
        <f>SUM(AK24:AN24)</f>
        <v/>
      </c>
    </row>
    <row r="25">
      <c r="B25" s="39" t="inlineStr">
        <is>
          <t>ЯМ-КСК</t>
        </is>
      </c>
      <c r="C25" s="39" t="n">
        <v>198411</v>
      </c>
      <c r="D25" s="39">
        <f>253117</f>
        <v/>
      </c>
      <c r="E25" s="39" t="n">
        <v>221184</v>
      </c>
      <c r="F25" s="39" t="n">
        <v>202807</v>
      </c>
      <c r="G25" s="39" t="n">
        <v>195330</v>
      </c>
      <c r="H25" s="39" t="n">
        <v>152508</v>
      </c>
      <c r="I25" s="39" t="n">
        <v>143017</v>
      </c>
      <c r="J25" s="39" t="n">
        <v>123211</v>
      </c>
      <c r="K25" s="39" t="n">
        <v>182303</v>
      </c>
      <c r="O25" s="39">
        <f>SUM(C25:E25)</f>
        <v/>
      </c>
      <c r="P25" s="39">
        <f>SUM(F25:H25)</f>
        <v/>
      </c>
      <c r="Q25" s="39">
        <f>SUM(I25:K25)</f>
        <v/>
      </c>
      <c r="R25" s="39">
        <f>SUM(L25:N25)</f>
        <v/>
      </c>
      <c r="S25" s="11">
        <f>SUM(O25:R25)</f>
        <v/>
      </c>
      <c r="T25" s="39" t="n">
        <v>3650</v>
      </c>
      <c r="U25" s="39" t="n">
        <v>3607</v>
      </c>
      <c r="V25" s="39" t="n">
        <v>3692</v>
      </c>
      <c r="X25" s="39" t="inlineStr">
        <is>
          <t>ЯМ-КСК</t>
        </is>
      </c>
      <c r="Y25" s="39" t="n">
        <v>13236</v>
      </c>
      <c r="Z25" s="39" t="n">
        <v>27754</v>
      </c>
      <c r="AA25" s="39" t="n">
        <v>10044</v>
      </c>
      <c r="AB25" s="39" t="n">
        <v>8240</v>
      </c>
      <c r="AC25" s="39" t="n">
        <v>8915</v>
      </c>
      <c r="AD25" s="39" t="n">
        <v>8250</v>
      </c>
      <c r="AE25" s="39" t="n">
        <v>7146</v>
      </c>
      <c r="AF25" s="39" t="n">
        <v>8042</v>
      </c>
      <c r="AG25" s="39" t="n">
        <v>24770</v>
      </c>
      <c r="AK25" s="39">
        <f>SUM(Y25:AA25)</f>
        <v/>
      </c>
      <c r="AL25" s="39">
        <f>SUM(AB25:AD25)</f>
        <v/>
      </c>
      <c r="AM25" s="39">
        <f>SUM(AE25:AG25)</f>
        <v/>
      </c>
      <c r="AN25" s="39">
        <f>SUM(AH25:AJ25)</f>
        <v/>
      </c>
      <c r="AO25" s="10">
        <f>SUM(AK25:AN25)</f>
        <v/>
      </c>
    </row>
    <row r="26">
      <c r="B26" s="39" t="inlineStr">
        <is>
          <t>ЯмР</t>
        </is>
      </c>
      <c r="I26" s="39" t="n">
        <v>617479</v>
      </c>
      <c r="J26" s="39" t="n">
        <v>644143</v>
      </c>
      <c r="K26" s="39" t="n">
        <v>584701</v>
      </c>
      <c r="O26" s="39">
        <f>SUM(C26:E26)</f>
        <v/>
      </c>
      <c r="P26" s="39">
        <f>SUM(F26:H26)</f>
        <v/>
      </c>
      <c r="Q26" s="39">
        <f>SUM(I26:K26)</f>
        <v/>
      </c>
      <c r="R26" s="39">
        <f>SUM(L26:N26)</f>
        <v/>
      </c>
      <c r="S26" s="11">
        <f>SUM(O26:R26)</f>
        <v/>
      </c>
      <c r="V26" s="39" t="n">
        <v>12835</v>
      </c>
      <c r="X26" s="39" t="inlineStr">
        <is>
          <t>ЯмР</t>
        </is>
      </c>
      <c r="AE26" s="39" t="n">
        <v>33716</v>
      </c>
      <c r="AF26" s="39" t="n">
        <v>45315</v>
      </c>
      <c r="AG26" s="39" t="n">
        <v>507212</v>
      </c>
      <c r="AK26" s="39">
        <f>SUM(Y26:AA26)</f>
        <v/>
      </c>
      <c r="AL26" s="39">
        <f>SUM(AB26:AD26)</f>
        <v/>
      </c>
      <c r="AM26" s="39">
        <f>SUM(AE26:AG26)</f>
        <v/>
      </c>
      <c r="AN26" s="39">
        <f>SUM(AH26:AJ26)</f>
        <v/>
      </c>
      <c r="AO26" s="10">
        <f>SUM(AK26:AN26)</f>
        <v/>
      </c>
    </row>
    <row r="27">
      <c r="B27" s="39" t="inlineStr">
        <is>
          <t>ШурР</t>
        </is>
      </c>
      <c r="I27" s="39" t="n">
        <v>814688</v>
      </c>
      <c r="J27" s="39" t="n">
        <v>676106</v>
      </c>
      <c r="K27" s="39" t="n">
        <v>913089</v>
      </c>
      <c r="O27" s="39">
        <f>SUM(C27:E27)</f>
        <v/>
      </c>
      <c r="P27" s="39">
        <f>SUM(F27:H27)</f>
        <v/>
      </c>
      <c r="Q27" s="39">
        <f>SUM(I27:K27)</f>
        <v/>
      </c>
      <c r="R27" s="39">
        <f>SUM(L27:N27)</f>
        <v/>
      </c>
      <c r="S27" s="11">
        <f>SUM(O27:R27)</f>
        <v/>
      </c>
      <c r="V27" s="39" t="n">
        <v>7824</v>
      </c>
      <c r="X27" s="39" t="inlineStr">
        <is>
          <t>ШурР</t>
        </is>
      </c>
      <c r="AE27" s="39" t="n">
        <v>23365</v>
      </c>
      <c r="AF27" s="39" t="n">
        <v>24417</v>
      </c>
      <c r="AG27" s="39" t="n">
        <v>29098</v>
      </c>
      <c r="AK27" s="39">
        <f>SUM(Y27:AA27)</f>
        <v/>
      </c>
      <c r="AL27" s="39">
        <f>SUM(AB27:AD27)</f>
        <v/>
      </c>
      <c r="AM27" s="39">
        <f>SUM(AE27:AG27)</f>
        <v/>
      </c>
      <c r="AN27" s="39">
        <f>SUM(AH27:AJ27)</f>
        <v/>
      </c>
      <c r="AO27" s="10">
        <f>SUM(AK27:AN27)</f>
        <v/>
      </c>
    </row>
    <row r="28">
      <c r="B28" s="39" t="inlineStr">
        <is>
          <t>Мур-ко</t>
        </is>
      </c>
      <c r="I28" s="39" t="n">
        <v>1061561</v>
      </c>
      <c r="J28" s="39" t="n">
        <v>986943</v>
      </c>
      <c r="K28" s="39" t="n">
        <v>866792</v>
      </c>
      <c r="O28" s="39">
        <f>SUM(C28:E28)</f>
        <v/>
      </c>
      <c r="P28" s="39">
        <f>SUM(F28:H28)</f>
        <v/>
      </c>
      <c r="Q28" s="39">
        <f>SUM(I28:K28)</f>
        <v/>
      </c>
      <c r="R28" s="39">
        <f>SUM(L28:N28)</f>
        <v/>
      </c>
      <c r="S28" s="11">
        <f>SUM(O28:R28)</f>
        <v/>
      </c>
      <c r="V28" s="39" t="n">
        <v>18238</v>
      </c>
      <c r="X28" s="39" t="inlineStr">
        <is>
          <t>Мур-ко</t>
        </is>
      </c>
      <c r="AE28" s="39" t="n">
        <v>64970</v>
      </c>
      <c r="AF28" s="39" t="n">
        <v>57742</v>
      </c>
      <c r="AG28" s="39" t="n">
        <v>51454</v>
      </c>
      <c r="AK28" s="39">
        <f>SUM(Y28:AA28)</f>
        <v/>
      </c>
      <c r="AL28" s="39">
        <f>SUM(AB28:AD28)</f>
        <v/>
      </c>
      <c r="AM28" s="39">
        <f>SUM(AE28:AG28)</f>
        <v/>
      </c>
      <c r="AN28" s="39">
        <f>SUM(AH28:AJ28)</f>
        <v/>
      </c>
      <c r="AO28" s="10">
        <f>SUM(AK28:AN28)</f>
        <v/>
      </c>
    </row>
    <row r="29">
      <c r="B29" s="39" t="inlineStr">
        <is>
          <t>Губ-й</t>
        </is>
      </c>
      <c r="I29" s="39" t="n">
        <v>789072</v>
      </c>
      <c r="J29" s="39" t="n">
        <v>938218</v>
      </c>
      <c r="K29" s="39" t="n">
        <v>629221</v>
      </c>
      <c r="O29" s="39">
        <f>SUM(C29:E29)</f>
        <v/>
      </c>
      <c r="P29" s="39">
        <f>SUM(F29:H29)</f>
        <v/>
      </c>
      <c r="Q29" s="39">
        <f>SUM(I29:K29)</f>
        <v/>
      </c>
      <c r="R29" s="39">
        <f>SUM(L29:N29)</f>
        <v/>
      </c>
      <c r="S29" s="11">
        <f>SUM(O29:R29)</f>
        <v/>
      </c>
      <c r="V29" s="39" t="n">
        <v>19032</v>
      </c>
      <c r="X29" s="39" t="inlineStr">
        <is>
          <t>Губ-й</t>
        </is>
      </c>
      <c r="AE29" s="39" t="n">
        <v>52496</v>
      </c>
      <c r="AF29" s="39" t="n">
        <v>49449</v>
      </c>
      <c r="AG29" s="39" t="n">
        <v>53003</v>
      </c>
      <c r="AK29" s="39">
        <f>SUM(Y29:AA29)</f>
        <v/>
      </c>
      <c r="AL29" s="39">
        <f>SUM(AB29:AD29)</f>
        <v/>
      </c>
      <c r="AM29" s="39">
        <f>SUM(AE29:AG29)</f>
        <v/>
      </c>
      <c r="AN29" s="39">
        <f>SUM(AH29:AJ29)</f>
        <v/>
      </c>
      <c r="AO29" s="10">
        <f>SUM(AK29:AN29)</f>
        <v/>
      </c>
    </row>
    <row r="30" customFormat="1" s="42">
      <c r="A30" s="42" t="inlineStr">
        <is>
          <t>ОК</t>
        </is>
      </c>
      <c r="B30" s="42" t="inlineStr">
        <is>
          <t>ЯМ ок</t>
        </is>
      </c>
      <c r="C30" s="42" t="n">
        <v>1025629</v>
      </c>
      <c r="D30" s="42" t="n">
        <v>752395</v>
      </c>
      <c r="E30" s="42" t="n">
        <v>1028833</v>
      </c>
      <c r="F30" s="42" t="n">
        <v>629680</v>
      </c>
      <c r="G30" s="42" t="n">
        <v>557666</v>
      </c>
      <c r="H30" s="42" t="n">
        <v>275978</v>
      </c>
      <c r="I30" s="42" t="n">
        <v>233881</v>
      </c>
      <c r="J30" s="42" t="n">
        <v>194441</v>
      </c>
      <c r="K30" s="42" t="n">
        <v>591637</v>
      </c>
      <c r="O30" s="42">
        <f>SUM(C30:E30)</f>
        <v/>
      </c>
      <c r="P30" s="42">
        <f>SUM(F30:H30)</f>
        <v/>
      </c>
      <c r="Q30" s="42">
        <f>SUM(I30:K30)</f>
        <v/>
      </c>
      <c r="R30" s="42">
        <f>SUM(L30:N30)</f>
        <v/>
      </c>
      <c r="S30" s="11">
        <f>SUM(O30:R30)</f>
        <v/>
      </c>
      <c r="T30" s="42" t="n">
        <v>31921</v>
      </c>
      <c r="U30" s="42" t="n">
        <v>32204</v>
      </c>
      <c r="V30" s="42" t="n">
        <v>32494</v>
      </c>
      <c r="X30" s="42" t="inlineStr">
        <is>
          <t>ЯМ ок</t>
        </is>
      </c>
      <c r="Y30" s="42" t="n">
        <v>378251</v>
      </c>
      <c r="Z30" s="42" t="n">
        <v>215723</v>
      </c>
      <c r="AA30" s="42" t="n">
        <v>302834</v>
      </c>
      <c r="AB30" s="42" t="n">
        <v>195738</v>
      </c>
      <c r="AC30" s="42" t="n">
        <v>182443</v>
      </c>
      <c r="AD30" s="42" t="n">
        <v>110201</v>
      </c>
      <c r="AE30" s="42" t="n">
        <v>71922</v>
      </c>
      <c r="AF30" s="42" t="n">
        <v>222764</v>
      </c>
      <c r="AG30" s="42" t="n">
        <v>388700</v>
      </c>
      <c r="AK30" s="42">
        <f>SUM(Y30:AA30)</f>
        <v/>
      </c>
      <c r="AL30" s="42">
        <f>SUM(AB30:AD30)</f>
        <v/>
      </c>
      <c r="AM30" s="42">
        <f>SUM(AE30:AG30)</f>
        <v/>
      </c>
      <c r="AN30" s="42">
        <f>SUM(AH30:AJ30)</f>
        <v/>
      </c>
      <c r="AO30" s="10">
        <f>SUM(AK30:AN30)</f>
        <v/>
      </c>
    </row>
    <row r="31" customFormat="1" s="42">
      <c r="B31" s="42" t="inlineStr">
        <is>
          <t>СП ок</t>
        </is>
      </c>
      <c r="C31" s="42" t="n">
        <v>1420792</v>
      </c>
      <c r="D31" s="42" t="n">
        <v>1211548</v>
      </c>
      <c r="E31" s="42" t="n">
        <v>887399</v>
      </c>
      <c r="F31" s="42" t="n">
        <v>1217186</v>
      </c>
      <c r="G31" s="42" t="n">
        <v>1195003</v>
      </c>
      <c r="H31" s="42" t="n">
        <v>307134</v>
      </c>
      <c r="I31" s="42" t="n">
        <v>168154</v>
      </c>
      <c r="J31" s="42" t="n">
        <v>205305</v>
      </c>
      <c r="K31" s="42" t="n">
        <v>287795</v>
      </c>
      <c r="O31" s="42">
        <f>SUM(C31:E31)</f>
        <v/>
      </c>
      <c r="P31" s="42">
        <f>SUM(F31:H31)</f>
        <v/>
      </c>
      <c r="Q31" s="42">
        <f>SUM(I31:K31)</f>
        <v/>
      </c>
      <c r="R31" s="42">
        <f>SUM(L31:N31)</f>
        <v/>
      </c>
      <c r="S31" s="11">
        <f>SUM(O31:R31)</f>
        <v/>
      </c>
      <c r="T31" s="42" t="n">
        <v>21521</v>
      </c>
      <c r="U31" s="42" t="n">
        <v>21725</v>
      </c>
      <c r="V31" s="42" t="n">
        <v>21739</v>
      </c>
      <c r="X31" s="42" t="inlineStr">
        <is>
          <t>СП ок</t>
        </is>
      </c>
      <c r="Y31" s="42" t="n">
        <v>326077</v>
      </c>
      <c r="Z31" s="42" t="n">
        <v>288523</v>
      </c>
      <c r="AA31" s="42" t="n">
        <v>1102613</v>
      </c>
      <c r="AB31" s="42" t="n">
        <v>568723</v>
      </c>
      <c r="AC31" s="42" t="n">
        <v>264455</v>
      </c>
      <c r="AD31" s="42" t="n">
        <v>110998</v>
      </c>
      <c r="AE31" s="42" t="n">
        <v>37185</v>
      </c>
      <c r="AF31" s="42" t="n">
        <v>68934</v>
      </c>
      <c r="AG31" s="42" t="n">
        <v>174220</v>
      </c>
      <c r="AK31" s="42">
        <f>SUM(Y31:AA31)</f>
        <v/>
      </c>
      <c r="AL31" s="42">
        <f>SUM(AB31:AD31)</f>
        <v/>
      </c>
      <c r="AM31" s="42">
        <f>SUM(AE31:AG31)</f>
        <v/>
      </c>
      <c r="AN31" s="42">
        <f>SUM(AH31:AJ31)</f>
        <v/>
      </c>
      <c r="AO31" s="10">
        <f>SUM(AK31:AN31)</f>
        <v/>
      </c>
    </row>
    <row r="32" customFormat="1" s="42">
      <c r="B32" s="42" t="inlineStr">
        <is>
          <t>Кс ок</t>
        </is>
      </c>
      <c r="C32" s="42" t="n">
        <v>257958</v>
      </c>
      <c r="D32" s="42" t="n">
        <v>173697</v>
      </c>
      <c r="E32" s="42" t="n">
        <v>133762</v>
      </c>
      <c r="F32" s="42" t="n">
        <v>145472</v>
      </c>
      <c r="G32" s="42" t="n">
        <v>130599</v>
      </c>
      <c r="H32" s="42" t="n">
        <v>221374</v>
      </c>
      <c r="I32" s="42" t="n">
        <v>101252</v>
      </c>
      <c r="J32" s="42" t="n">
        <v>156317</v>
      </c>
      <c r="K32" s="42" t="n">
        <v>132035</v>
      </c>
      <c r="O32" s="42">
        <f>SUM(C32:E32)</f>
        <v/>
      </c>
      <c r="P32" s="42">
        <f>SUM(F32:H32)</f>
        <v/>
      </c>
      <c r="Q32" s="42">
        <f>SUM(I32:K32)</f>
        <v/>
      </c>
      <c r="R32" s="42">
        <f>SUM(L32:N32)</f>
        <v/>
      </c>
      <c r="S32" s="11">
        <f>SUM(O32:R32)</f>
        <v/>
      </c>
      <c r="T32" s="42" t="n">
        <v>8906</v>
      </c>
      <c r="U32" s="43" t="n">
        <v>8949</v>
      </c>
      <c r="V32" s="42" t="n">
        <v>8961</v>
      </c>
      <c r="X32" s="42" t="inlineStr">
        <is>
          <t>Кс ок</t>
        </is>
      </c>
      <c r="Y32" s="42" t="n">
        <v>74410</v>
      </c>
      <c r="Z32" s="42" t="n">
        <v>63974</v>
      </c>
      <c r="AA32" s="42" t="n">
        <v>26463</v>
      </c>
      <c r="AB32" s="42" t="n">
        <v>37110</v>
      </c>
      <c r="AC32" s="42" t="n">
        <v>28378</v>
      </c>
      <c r="AD32" s="42" t="n">
        <v>100893</v>
      </c>
      <c r="AE32" s="42" t="n">
        <v>28462</v>
      </c>
      <c r="AF32" s="42" t="n">
        <v>61406</v>
      </c>
      <c r="AG32" s="42" t="n">
        <v>57209</v>
      </c>
      <c r="AK32" s="42">
        <f>SUM(Y32:AA32)</f>
        <v/>
      </c>
      <c r="AL32" s="42">
        <f>SUM(AB32:AD32)</f>
        <v/>
      </c>
      <c r="AM32" s="42">
        <f>SUM(AE32:AG32)</f>
        <v/>
      </c>
      <c r="AN32" s="42">
        <f>SUM(AH32:AJ32)</f>
        <v/>
      </c>
      <c r="AO32" s="10">
        <f>SUM(AK32:AN32)</f>
        <v/>
      </c>
    </row>
    <row r="33" customFormat="1" s="42">
      <c r="B33" s="42" t="inlineStr">
        <is>
          <t>Нярьяна Нгэрм</t>
        </is>
      </c>
      <c r="C33" s="42" t="n">
        <v>17672</v>
      </c>
      <c r="D33" s="42" t="n">
        <v>9885</v>
      </c>
      <c r="E33" s="42" t="n">
        <v>5461</v>
      </c>
      <c r="F33" s="42" t="n">
        <v>8006</v>
      </c>
      <c r="G33" s="42" t="n">
        <v>8984</v>
      </c>
      <c r="H33" s="42" t="n">
        <v>12231</v>
      </c>
      <c r="I33" s="42" t="n">
        <v>11286</v>
      </c>
      <c r="J33" s="42" t="n">
        <v>10143</v>
      </c>
      <c r="K33" s="42" t="n">
        <v>6751</v>
      </c>
      <c r="O33" s="42">
        <f>SUM(C33:E33)</f>
        <v/>
      </c>
      <c r="P33" s="42">
        <f>SUM(F33:H33)</f>
        <v/>
      </c>
      <c r="Q33" s="42">
        <f>SUM(I33:K33)</f>
        <v/>
      </c>
      <c r="R33" s="42">
        <f>SUM(L33:N33)</f>
        <v/>
      </c>
      <c r="S33" s="11">
        <f>SUM(O33:R33)</f>
        <v/>
      </c>
      <c r="T33" s="42" t="n">
        <v>827</v>
      </c>
      <c r="U33" s="43" t="n">
        <v>841</v>
      </c>
      <c r="V33" s="42" t="n">
        <v>857</v>
      </c>
      <c r="X33" s="42" t="inlineStr">
        <is>
          <t>Нярьяна Нгэрм</t>
        </is>
      </c>
      <c r="Y33" s="42" t="n">
        <v>3492</v>
      </c>
      <c r="Z33" s="42" t="n">
        <v>3373</v>
      </c>
      <c r="AA33" s="42" t="n">
        <v>1888</v>
      </c>
      <c r="AB33" s="42" t="n">
        <v>1141</v>
      </c>
      <c r="AC33" s="42" t="n">
        <v>1105</v>
      </c>
      <c r="AD33" s="42" t="n">
        <v>3321</v>
      </c>
      <c r="AE33" s="42" t="n">
        <v>3317</v>
      </c>
      <c r="AF33" s="42" t="n">
        <v>5239</v>
      </c>
      <c r="AG33" s="42" t="n">
        <v>1556</v>
      </c>
      <c r="AK33" s="42">
        <f>SUM(Y33:AA33)</f>
        <v/>
      </c>
      <c r="AL33" s="42">
        <f>SUM(AB33:AD33)</f>
        <v/>
      </c>
      <c r="AM33" s="42">
        <f>SUM(AE33:AG33)</f>
        <v/>
      </c>
      <c r="AN33" s="42">
        <f>SUM(AH33:AJ33)</f>
        <v/>
      </c>
      <c r="AO33" s="10">
        <f>SUM(AK33:AN33)</f>
        <v/>
      </c>
    </row>
    <row r="34" customFormat="1" s="42">
      <c r="B34" s="44" t="inlineStr">
        <is>
          <t>Лух Авт</t>
        </is>
      </c>
      <c r="C34" s="42" t="n">
        <v>8543</v>
      </c>
      <c r="D34" s="42" t="n">
        <v>5232</v>
      </c>
      <c r="E34" s="42" t="n">
        <v>9321</v>
      </c>
      <c r="F34" s="42" t="n">
        <v>12528</v>
      </c>
      <c r="G34" s="42" t="n">
        <v>13742</v>
      </c>
      <c r="H34" s="42" t="n">
        <v>26993</v>
      </c>
      <c r="I34" s="42" t="n">
        <v>20463</v>
      </c>
      <c r="J34" s="42" t="n">
        <v>11863</v>
      </c>
      <c r="K34" s="42" t="n">
        <v>20949</v>
      </c>
      <c r="O34" s="42">
        <f>SUM(C34:E34)</f>
        <v/>
      </c>
      <c r="P34" s="42">
        <f>SUM(F34:H34)</f>
        <v/>
      </c>
      <c r="Q34" s="42">
        <f>SUM(I34:K34)</f>
        <v/>
      </c>
      <c r="R34" s="42">
        <f>SUM(L34:N34)</f>
        <v/>
      </c>
      <c r="S34" s="11">
        <f>SUM(O34:R34)</f>
        <v/>
      </c>
      <c r="T34" s="42" t="n">
        <v>793</v>
      </c>
      <c r="U34" s="43" t="n">
        <v>824</v>
      </c>
      <c r="V34" s="42" t="n">
        <v>864</v>
      </c>
      <c r="X34" s="44" t="inlineStr">
        <is>
          <t>Лух Авт</t>
        </is>
      </c>
      <c r="Y34" s="42" t="n">
        <v>3261</v>
      </c>
      <c r="Z34" s="42" t="n">
        <v>2445</v>
      </c>
      <c r="AA34" s="42" t="n">
        <v>3203</v>
      </c>
      <c r="AB34" s="42" t="n">
        <v>3735</v>
      </c>
      <c r="AC34" s="42" t="n">
        <v>4020</v>
      </c>
      <c r="AD34" s="42" t="n">
        <v>7134</v>
      </c>
      <c r="AE34" s="42" t="n">
        <v>7538</v>
      </c>
      <c r="AF34" s="42" t="n">
        <v>4975</v>
      </c>
      <c r="AG34" s="42" t="n">
        <v>6916</v>
      </c>
      <c r="AK34" s="42">
        <f>SUM(Y34:AA34)</f>
        <v/>
      </c>
      <c r="AL34" s="42">
        <f>SUM(AB34:AD34)</f>
        <v/>
      </c>
      <c r="AM34" s="42">
        <f>SUM(AE34:AG34)</f>
        <v/>
      </c>
      <c r="AN34" s="42">
        <f>SUM(AH34:AJ34)</f>
        <v/>
      </c>
      <c r="AO34" s="10">
        <f>SUM(AK34:AN34)</f>
        <v/>
      </c>
    </row>
    <row r="35" customFormat="1" s="42">
      <c r="B35" s="44" t="inlineStr">
        <is>
          <t>МК-Ямал</t>
        </is>
      </c>
      <c r="C35" s="42" t="n">
        <v>50327</v>
      </c>
      <c r="D35" s="42" t="n">
        <v>48955</v>
      </c>
      <c r="E35" s="42" t="n">
        <v>49836</v>
      </c>
      <c r="F35" s="42" t="n">
        <v>56128</v>
      </c>
      <c r="G35" s="42" t="n">
        <v>53734</v>
      </c>
      <c r="H35" s="42" t="n">
        <v>40554</v>
      </c>
      <c r="I35" s="42" t="n">
        <v>42144</v>
      </c>
      <c r="J35" s="42" t="n">
        <v>46660</v>
      </c>
      <c r="K35" s="42" t="n">
        <v>42275</v>
      </c>
      <c r="O35" s="42">
        <f>SUM(C35:E35)</f>
        <v/>
      </c>
      <c r="P35" s="42">
        <f>SUM(F35:H35)</f>
        <v/>
      </c>
      <c r="Q35" s="42">
        <f>SUM(I35:K35)</f>
        <v/>
      </c>
      <c r="R35" s="42">
        <f>SUM(L35:N35)</f>
        <v/>
      </c>
      <c r="S35" s="11">
        <f>SUM(O35:R35)</f>
        <v/>
      </c>
      <c r="T35" s="42" t="n">
        <v>4773</v>
      </c>
      <c r="U35" s="43" t="n">
        <v>4795</v>
      </c>
      <c r="V35" s="42" t="n">
        <v>4820</v>
      </c>
      <c r="X35" s="44" t="inlineStr">
        <is>
          <t>МК-Ямал</t>
        </is>
      </c>
      <c r="Y35" s="42" t="n">
        <v>2895</v>
      </c>
      <c r="Z35" s="42" t="n">
        <v>761</v>
      </c>
      <c r="AA35" s="42" t="n">
        <v>607</v>
      </c>
      <c r="AB35" s="42" t="n">
        <v>601</v>
      </c>
      <c r="AC35" s="42" t="n">
        <v>817</v>
      </c>
      <c r="AD35" s="42" t="n">
        <v>417</v>
      </c>
      <c r="AE35" s="42" t="n">
        <v>666</v>
      </c>
      <c r="AF35" s="42" t="n">
        <v>618</v>
      </c>
      <c r="AG35" s="42" t="n">
        <v>638</v>
      </c>
      <c r="AK35" s="42">
        <f>SUM(Y35:AA35)</f>
        <v/>
      </c>
      <c r="AL35" s="42">
        <f>SUM(AB35:AD35)</f>
        <v/>
      </c>
      <c r="AM35" s="42">
        <f>SUM(AE35:AG35)</f>
        <v/>
      </c>
      <c r="AN35" s="42">
        <f>SUM(AH35:AJ35)</f>
        <v/>
      </c>
      <c r="AO35" s="10">
        <f>SUM(AK35:AN35)</f>
        <v/>
      </c>
    </row>
    <row r="36" customFormat="1" s="42">
      <c r="B36" s="42" t="inlineStr">
        <is>
          <t>Нур</t>
        </is>
      </c>
      <c r="I36" s="42" t="n">
        <v>0</v>
      </c>
      <c r="J36" s="42" t="n">
        <v>2802</v>
      </c>
      <c r="K36" s="42" t="n">
        <v>5556</v>
      </c>
      <c r="O36" s="42">
        <f>SUM(C36:E36)</f>
        <v/>
      </c>
      <c r="P36" s="42">
        <f>SUM(F36:H36)</f>
        <v/>
      </c>
      <c r="Q36" s="42">
        <f>SUM(I36:K36)</f>
        <v/>
      </c>
      <c r="R36" s="42">
        <f>SUM(L36:N36)</f>
        <v/>
      </c>
      <c r="S36" s="11">
        <f>SUM(O36:R36)</f>
        <v/>
      </c>
      <c r="U36" s="43" t="n"/>
      <c r="V36" s="42" t="n">
        <v>6</v>
      </c>
      <c r="X36" s="42" t="inlineStr">
        <is>
          <t>Нур</t>
        </is>
      </c>
      <c r="AE36" s="42" t="n">
        <v>0</v>
      </c>
      <c r="AF36" s="42" t="n">
        <v>36</v>
      </c>
      <c r="AG36" s="42" t="n">
        <v>36</v>
      </c>
      <c r="AK36" s="42">
        <f>SUM(Y36:AA36)</f>
        <v/>
      </c>
      <c r="AL36" s="42">
        <f>SUM(AB36:AD36)</f>
        <v/>
      </c>
      <c r="AM36" s="42">
        <f>SUM(AE36:AG36)</f>
        <v/>
      </c>
      <c r="AN36" s="42">
        <f>SUM(AH36:AJ36)</f>
        <v/>
      </c>
      <c r="AO36" s="10">
        <f>SUM(AK36:AN36)</f>
        <v/>
      </c>
    </row>
    <row r="37" customFormat="1" s="42">
      <c r="B37" s="42" t="inlineStr">
        <is>
          <t>Надым</t>
        </is>
      </c>
      <c r="I37" s="42" t="n">
        <v>47149</v>
      </c>
      <c r="J37" s="42" t="n">
        <v>55772</v>
      </c>
      <c r="K37" s="42" t="n">
        <v>55839</v>
      </c>
      <c r="O37" s="42">
        <f>SUM(C37:E37)</f>
        <v/>
      </c>
      <c r="P37" s="42">
        <f>SUM(F37:H37)</f>
        <v/>
      </c>
      <c r="Q37" s="42">
        <f>SUM(I37:K37)</f>
        <v/>
      </c>
      <c r="R37" s="42">
        <f>SUM(L37:N37)</f>
        <v/>
      </c>
      <c r="S37" s="11">
        <f>SUM(O37:R37)</f>
        <v/>
      </c>
      <c r="U37" s="43" t="n"/>
      <c r="V37" s="42" t="n">
        <v>1941</v>
      </c>
      <c r="X37" s="42" t="inlineStr">
        <is>
          <t>Надым</t>
        </is>
      </c>
      <c r="AE37" s="42" t="n">
        <v>2691</v>
      </c>
      <c r="AF37" s="42" t="n">
        <v>3487</v>
      </c>
      <c r="AG37" s="42" t="n">
        <v>4249</v>
      </c>
      <c r="AK37" s="42">
        <f>SUM(Y37:AA37)</f>
        <v/>
      </c>
      <c r="AL37" s="42">
        <f>SUM(AB37:AD37)</f>
        <v/>
      </c>
      <c r="AM37" s="42">
        <f>SUM(AE37:AG37)</f>
        <v/>
      </c>
      <c r="AN37" s="42">
        <f>SUM(AH37:AJ37)</f>
        <v/>
      </c>
      <c r="AO37" s="10">
        <f>SUM(AK37:AN37)</f>
        <v/>
      </c>
    </row>
    <row r="38" customFormat="1" s="42">
      <c r="B38" s="42" t="inlineStr">
        <is>
          <t>Ноябрьск</t>
        </is>
      </c>
      <c r="I38" s="42" t="n">
        <v>203359</v>
      </c>
      <c r="J38" s="42" t="n">
        <v>210265</v>
      </c>
      <c r="K38" s="42" t="n">
        <v>215763</v>
      </c>
      <c r="O38" s="42">
        <f>SUM(C38:E38)</f>
        <v/>
      </c>
      <c r="P38" s="42">
        <f>SUM(F38:H38)</f>
        <v/>
      </c>
      <c r="Q38" s="42">
        <f>SUM(I38:K38)</f>
        <v/>
      </c>
      <c r="R38" s="42">
        <f>SUM(L38:N38)</f>
        <v/>
      </c>
      <c r="S38" s="11">
        <f>SUM(O38:R38)</f>
        <v/>
      </c>
      <c r="U38" s="43" t="n"/>
      <c r="V38" s="42" t="n">
        <v>5892</v>
      </c>
      <c r="X38" s="42" t="inlineStr">
        <is>
          <t>Ноябрьск</t>
        </is>
      </c>
      <c r="AE38" s="42" t="n">
        <v>13258</v>
      </c>
      <c r="AF38" s="42" t="n">
        <v>18091</v>
      </c>
      <c r="AG38" s="42" t="n">
        <v>16956</v>
      </c>
      <c r="AK38" s="42">
        <f>SUM(Y38:AA38)</f>
        <v/>
      </c>
      <c r="AL38" s="42">
        <f>SUM(AB38:AD38)</f>
        <v/>
      </c>
      <c r="AM38" s="42">
        <f>SUM(AE38:AG38)</f>
        <v/>
      </c>
      <c r="AN38" s="42">
        <f>SUM(AH38:AJ38)</f>
        <v/>
      </c>
      <c r="AO38" s="10">
        <f>SUM(AK38:AN38)</f>
        <v/>
      </c>
    </row>
    <row r="39" customFormat="1" s="42">
      <c r="B39" s="42" t="inlineStr">
        <is>
          <t>ЯМ-Схд</t>
        </is>
      </c>
      <c r="C39" s="42" t="n">
        <v>4364</v>
      </c>
      <c r="D39" s="42" t="n">
        <v>169809</v>
      </c>
      <c r="E39" s="42" t="n">
        <v>174230</v>
      </c>
      <c r="F39" s="42" t="n">
        <v>97594</v>
      </c>
      <c r="G39" s="42" t="n">
        <v>46586</v>
      </c>
      <c r="H39" s="42" t="n">
        <v>32602</v>
      </c>
      <c r="I39" s="42" t="n">
        <v>55727</v>
      </c>
      <c r="J39" s="42" t="n">
        <v>33437</v>
      </c>
      <c r="K39" s="42" t="n">
        <v>36807</v>
      </c>
      <c r="O39" s="42">
        <f>SUM(C39:E39)</f>
        <v/>
      </c>
      <c r="P39" s="42">
        <f>SUM(F39:H39)</f>
        <v/>
      </c>
      <c r="Q39" s="42">
        <f>SUM(I39:K39)</f>
        <v/>
      </c>
      <c r="R39" s="42">
        <f>SUM(L39:N39)</f>
        <v/>
      </c>
      <c r="S39" s="11">
        <f>SUM(O39:R39)</f>
        <v/>
      </c>
      <c r="T39" s="42" t="n">
        <v>3184</v>
      </c>
      <c r="U39" s="42" t="n">
        <v>3211</v>
      </c>
      <c r="V39" s="42" t="n">
        <v>3239</v>
      </c>
      <c r="X39" s="42" t="inlineStr">
        <is>
          <t>ЯМ-Схд</t>
        </is>
      </c>
      <c r="Y39" s="42" t="n">
        <v>844</v>
      </c>
      <c r="Z39" s="42" t="n">
        <v>78753</v>
      </c>
      <c r="AA39" s="42" t="n">
        <v>288387</v>
      </c>
      <c r="AB39" s="42" t="n">
        <v>47941</v>
      </c>
      <c r="AC39" s="42" t="n">
        <v>3870</v>
      </c>
      <c r="AD39" s="42" t="n">
        <v>2621</v>
      </c>
      <c r="AE39" s="42" t="n">
        <v>8249</v>
      </c>
      <c r="AF39" s="42" t="n">
        <v>4787</v>
      </c>
      <c r="AG39" s="42" t="n">
        <v>1612</v>
      </c>
      <c r="AK39" s="42">
        <f>SUM(Y39:AA39)</f>
        <v/>
      </c>
      <c r="AL39" s="42">
        <f>SUM(AB39:AD39)</f>
        <v/>
      </c>
      <c r="AM39" s="42">
        <f>SUM(AE39:AG39)</f>
        <v/>
      </c>
      <c r="AN39" s="42">
        <f>SUM(AH39:AJ39)</f>
        <v/>
      </c>
      <c r="AO39" s="10">
        <f>SUM(AK39:AN39)</f>
        <v/>
      </c>
    </row>
    <row r="40" customFormat="1" s="42">
      <c r="B40" s="42" t="inlineStr">
        <is>
          <t>ЯМ-БПРЛ</t>
        </is>
      </c>
      <c r="C40" s="42" t="n">
        <v>25370</v>
      </c>
      <c r="D40" s="42" t="n">
        <v>36024</v>
      </c>
      <c r="E40" s="42" t="n">
        <v>114605</v>
      </c>
      <c r="F40" s="42" t="n">
        <v>138040</v>
      </c>
      <c r="G40" s="42" t="n">
        <v>54202</v>
      </c>
      <c r="H40" s="42" t="n">
        <v>53509</v>
      </c>
      <c r="I40" s="42" t="n">
        <v>57087</v>
      </c>
      <c r="J40" s="42" t="n">
        <v>40161</v>
      </c>
      <c r="K40" s="42" t="n">
        <v>59883</v>
      </c>
      <c r="O40" s="42">
        <f>SUM(C40:E40)</f>
        <v/>
      </c>
      <c r="P40" s="42">
        <f>SUM(F40:H40)</f>
        <v/>
      </c>
      <c r="Q40" s="42">
        <f>SUM(I40:K40)</f>
        <v/>
      </c>
      <c r="R40" s="42">
        <f>SUM(L40:N40)</f>
        <v/>
      </c>
      <c r="S40" s="11">
        <f>SUM(O40:R40)</f>
        <v/>
      </c>
      <c r="T40" s="42" t="n">
        <v>1539</v>
      </c>
      <c r="U40" s="43" t="n">
        <v>1670</v>
      </c>
      <c r="V40" s="42" t="n">
        <v>1715</v>
      </c>
      <c r="X40" s="42" t="inlineStr">
        <is>
          <t>ЯМ-БПРЛ</t>
        </is>
      </c>
      <c r="Y40" s="42" t="n">
        <v>1584</v>
      </c>
      <c r="Z40" s="42" t="n">
        <v>2767</v>
      </c>
      <c r="AA40" s="42" t="n">
        <v>53693</v>
      </c>
      <c r="AB40" s="42" t="n">
        <v>29527</v>
      </c>
      <c r="AC40" s="42" t="n">
        <v>40125</v>
      </c>
      <c r="AD40" s="42" t="n">
        <v>22108</v>
      </c>
      <c r="AE40" s="42" t="n">
        <v>10071</v>
      </c>
      <c r="AF40" s="42" t="n">
        <v>5210</v>
      </c>
      <c r="AG40" s="42" t="n">
        <v>7667</v>
      </c>
      <c r="AK40" s="42">
        <f>SUM(Y40:AA40)</f>
        <v/>
      </c>
      <c r="AL40" s="42">
        <f>SUM(AB40:AD40)</f>
        <v/>
      </c>
      <c r="AM40" s="42">
        <f>SUM(AE40:AG40)</f>
        <v/>
      </c>
      <c r="AN40" s="42">
        <f>SUM(AH40:AJ40)</f>
        <v/>
      </c>
      <c r="AO40" s="10">
        <f>SUM(AK40:AN40)</f>
        <v/>
      </c>
    </row>
    <row r="41" customFormat="1" s="42">
      <c r="B41" s="42" t="inlineStr">
        <is>
          <t>ЛБТ</t>
        </is>
      </c>
      <c r="I41" s="42" t="n">
        <v>14551</v>
      </c>
      <c r="J41" s="42" t="n">
        <v>27625</v>
      </c>
      <c r="K41" s="42" t="n">
        <v>21173</v>
      </c>
      <c r="O41" s="42">
        <f>SUM(C41:E41)</f>
        <v/>
      </c>
      <c r="P41" s="42">
        <f>SUM(F41:H41)</f>
        <v/>
      </c>
      <c r="Q41" s="42">
        <f>SUM(I41:K41)</f>
        <v/>
      </c>
      <c r="R41" s="42">
        <f>SUM(L41:N41)</f>
        <v/>
      </c>
      <c r="S41" s="11">
        <f>SUM(O41:R41)</f>
        <v/>
      </c>
      <c r="U41" s="43" t="n"/>
      <c r="V41" s="42" t="n">
        <v>225</v>
      </c>
      <c r="X41" s="42" t="inlineStr">
        <is>
          <t>ЛБТ</t>
        </is>
      </c>
      <c r="AE41" s="42" t="n">
        <v>746</v>
      </c>
      <c r="AF41" s="42" t="n">
        <v>893</v>
      </c>
      <c r="AG41" s="42" t="n">
        <v>404</v>
      </c>
      <c r="AK41" s="42">
        <f>SUM(Y41:AA41)</f>
        <v/>
      </c>
      <c r="AL41" s="42">
        <f>SUM(AB41:AD41)</f>
        <v/>
      </c>
      <c r="AM41" s="42">
        <f>SUM(AE41:AG41)</f>
        <v/>
      </c>
      <c r="AN41" s="42">
        <f>SUM(AH41:AJ41)</f>
        <v/>
      </c>
      <c r="AO41" s="10">
        <f>SUM(AK41:AN41)</f>
        <v/>
      </c>
    </row>
    <row r="42" customFormat="1" s="42">
      <c r="B42" s="42" t="inlineStr">
        <is>
          <t>ПурР</t>
        </is>
      </c>
      <c r="I42" s="42" t="n">
        <v>0</v>
      </c>
      <c r="J42" s="42" t="n">
        <v>11190</v>
      </c>
      <c r="K42" s="42" t="n">
        <v>38046</v>
      </c>
      <c r="O42" s="42">
        <f>SUM(C42:E42)</f>
        <v/>
      </c>
      <c r="P42" s="42">
        <f>SUM(F42:H42)</f>
        <v/>
      </c>
      <c r="Q42" s="42">
        <f>SUM(I42:K42)</f>
        <v/>
      </c>
      <c r="R42" s="42">
        <f>SUM(L42:N42)</f>
        <v/>
      </c>
      <c r="S42" s="11">
        <f>SUM(O42:R42)</f>
        <v/>
      </c>
      <c r="U42" s="43" t="n"/>
      <c r="V42" s="42" t="n">
        <v>4962</v>
      </c>
      <c r="X42" s="42" t="inlineStr">
        <is>
          <t>ПурР</t>
        </is>
      </c>
      <c r="AE42" s="42" t="n">
        <v>0</v>
      </c>
      <c r="AF42" s="42" t="n">
        <v>4646</v>
      </c>
      <c r="AG42" s="42" t="n">
        <v>3312</v>
      </c>
      <c r="AK42" s="42">
        <f>SUM(Y42:AA42)</f>
        <v/>
      </c>
      <c r="AL42" s="42">
        <f>SUM(AB42:AD42)</f>
        <v/>
      </c>
      <c r="AM42" s="42">
        <f>SUM(AE42:AG42)</f>
        <v/>
      </c>
      <c r="AN42" s="42">
        <f>SUM(AH42:AJ42)</f>
        <v/>
      </c>
      <c r="AO42" s="10">
        <f>SUM(AK42:AN42)</f>
        <v/>
      </c>
    </row>
    <row r="43" customFormat="1" s="42">
      <c r="B43" s="42" t="inlineStr">
        <is>
          <t>ТазР</t>
        </is>
      </c>
      <c r="I43" s="42" t="n">
        <v>54602</v>
      </c>
      <c r="J43" s="42" t="n">
        <v>52008</v>
      </c>
      <c r="K43" s="42" t="n">
        <v>58567</v>
      </c>
      <c r="O43" s="42">
        <f>SUM(C43:E43)</f>
        <v/>
      </c>
      <c r="P43" s="42">
        <f>SUM(F43:H43)</f>
        <v/>
      </c>
      <c r="Q43" s="42">
        <f>SUM(I43:K43)</f>
        <v/>
      </c>
      <c r="R43" s="42">
        <f>SUM(L43:N43)</f>
        <v/>
      </c>
      <c r="S43" s="11">
        <f>SUM(O43:R43)</f>
        <v/>
      </c>
      <c r="U43" s="43" t="n"/>
      <c r="V43" s="42" t="n">
        <v>3532</v>
      </c>
      <c r="X43" s="42" t="inlineStr">
        <is>
          <t>ТазР</t>
        </is>
      </c>
      <c r="AE43" s="42" t="n">
        <v>3009</v>
      </c>
      <c r="AF43" s="42" t="n">
        <v>4047</v>
      </c>
      <c r="AG43" s="42" t="n">
        <v>4122</v>
      </c>
      <c r="AK43" s="42">
        <f>SUM(Y43:AA43)</f>
        <v/>
      </c>
      <c r="AL43" s="42">
        <f>SUM(AB43:AD43)</f>
        <v/>
      </c>
      <c r="AM43" s="42">
        <f>SUM(AE43:AG43)</f>
        <v/>
      </c>
      <c r="AN43" s="42">
        <f>SUM(AH43:AJ43)</f>
        <v/>
      </c>
      <c r="AO43" s="10">
        <f>SUM(AK43:AN43)</f>
        <v/>
      </c>
    </row>
    <row r="44" customFormat="1" s="42">
      <c r="B44" s="42" t="inlineStr">
        <is>
          <t>ЯМ-КСК</t>
        </is>
      </c>
      <c r="C44" s="42" t="n">
        <v>19001</v>
      </c>
      <c r="D44" s="42" t="n">
        <v>26093</v>
      </c>
      <c r="E44" s="42" t="n">
        <v>236478</v>
      </c>
      <c r="F44" s="42" t="n">
        <v>37440</v>
      </c>
      <c r="G44" s="42" t="n">
        <v>40349</v>
      </c>
      <c r="H44" s="42" t="n">
        <v>36527</v>
      </c>
      <c r="I44" s="42" t="n">
        <v>51214</v>
      </c>
      <c r="J44" s="42" t="n">
        <v>42529</v>
      </c>
      <c r="K44" s="42" t="n">
        <v>50359</v>
      </c>
      <c r="O44" s="42">
        <f>SUM(C44:E44)</f>
        <v/>
      </c>
      <c r="P44" s="42">
        <f>SUM(F44:H44)</f>
        <v/>
      </c>
      <c r="Q44" s="42">
        <f>SUM(I44:K44)</f>
        <v/>
      </c>
      <c r="R44" s="42">
        <f>SUM(L44:N44)</f>
        <v/>
      </c>
      <c r="S44" s="11">
        <f>SUM(O44:R44)</f>
        <v/>
      </c>
      <c r="T44" s="42" t="n">
        <v>550</v>
      </c>
      <c r="U44" s="43" t="n">
        <v>601</v>
      </c>
      <c r="V44" s="42" t="n">
        <v>653</v>
      </c>
      <c r="X44" s="42" t="inlineStr">
        <is>
          <t>ЯМ-КСК</t>
        </is>
      </c>
      <c r="Y44" s="42" t="n">
        <v>1210</v>
      </c>
      <c r="Z44" s="42" t="n">
        <v>1844</v>
      </c>
      <c r="AA44" s="42" t="n">
        <v>68292</v>
      </c>
      <c r="AB44" s="42" t="n">
        <v>5766</v>
      </c>
      <c r="AC44" s="42" t="n">
        <v>5115</v>
      </c>
      <c r="AD44" s="42" t="n">
        <v>4052</v>
      </c>
      <c r="AE44" s="42" t="n">
        <v>6636</v>
      </c>
      <c r="AF44" s="42" t="n">
        <v>9715</v>
      </c>
      <c r="AG44" s="42" t="n">
        <v>7410</v>
      </c>
      <c r="AK44" s="42">
        <f>SUM(Y44:AA44)</f>
        <v/>
      </c>
      <c r="AL44" s="42">
        <f>SUM(AB44:AD44)</f>
        <v/>
      </c>
      <c r="AM44" s="42">
        <f>SUM(AE44:AG44)</f>
        <v/>
      </c>
      <c r="AN44" s="42">
        <f>SUM(AH44:AJ44)</f>
        <v/>
      </c>
      <c r="AO44" s="10">
        <f>SUM(AK44:AN44)</f>
        <v/>
      </c>
    </row>
    <row r="45" customFormat="1" s="42">
      <c r="B45" s="42" t="inlineStr">
        <is>
          <t>ЯмР</t>
        </is>
      </c>
      <c r="I45" s="42" t="n">
        <v>24249</v>
      </c>
      <c r="J45" s="42" t="n">
        <v>24473</v>
      </c>
      <c r="K45" s="42" t="n">
        <v>20837</v>
      </c>
      <c r="O45" s="42">
        <f>SUM(C45:E45)</f>
        <v/>
      </c>
      <c r="P45" s="42">
        <f>SUM(F45:H45)</f>
        <v/>
      </c>
      <c r="Q45" s="42">
        <f>SUM(I45:K45)</f>
        <v/>
      </c>
      <c r="R45" s="42">
        <f>SUM(L45:N45)</f>
        <v/>
      </c>
      <c r="S45" s="11">
        <f>SUM(O45:R45)</f>
        <v/>
      </c>
      <c r="U45" s="43" t="n"/>
      <c r="V45" s="42" t="n">
        <v>1952</v>
      </c>
      <c r="X45" s="42" t="inlineStr">
        <is>
          <t>ЯмР</t>
        </is>
      </c>
      <c r="AE45" s="42" t="n">
        <v>2371</v>
      </c>
      <c r="AF45" s="42" t="n">
        <v>1994</v>
      </c>
      <c r="AG45" s="42" t="n">
        <v>1857</v>
      </c>
      <c r="AK45" s="42">
        <f>SUM(Y45:AA45)</f>
        <v/>
      </c>
      <c r="AL45" s="42">
        <f>SUM(AB45:AD45)</f>
        <v/>
      </c>
      <c r="AM45" s="42">
        <f>SUM(AE45:AG45)</f>
        <v/>
      </c>
      <c r="AN45" s="42">
        <f>SUM(AH45:AJ45)</f>
        <v/>
      </c>
      <c r="AO45" s="10">
        <f>SUM(AK45:AN45)</f>
        <v/>
      </c>
    </row>
    <row r="46" customFormat="1" s="42">
      <c r="B46" s="42" t="inlineStr">
        <is>
          <t>ШурР</t>
        </is>
      </c>
      <c r="I46" s="42" t="n">
        <v>70890</v>
      </c>
      <c r="J46" s="42" t="n">
        <v>73065</v>
      </c>
      <c r="K46" s="42" t="n">
        <v>86012</v>
      </c>
      <c r="O46" s="42">
        <f>SUM(C46:E46)</f>
        <v/>
      </c>
      <c r="P46" s="42">
        <f>SUM(F46:H46)</f>
        <v/>
      </c>
      <c r="Q46" s="42">
        <f>SUM(I46:K46)</f>
        <v/>
      </c>
      <c r="R46" s="42">
        <f>SUM(L46:N46)</f>
        <v/>
      </c>
      <c r="S46" s="11">
        <f>SUM(O46:R46)</f>
        <v/>
      </c>
      <c r="U46" s="43" t="n"/>
      <c r="V46" s="42" t="n">
        <v>4896</v>
      </c>
      <c r="X46" s="42" t="inlineStr">
        <is>
          <t>ШурР</t>
        </is>
      </c>
      <c r="AE46" s="42" t="n">
        <v>6227</v>
      </c>
      <c r="AF46" s="42" t="n">
        <v>12518</v>
      </c>
      <c r="AG46" s="42" t="n">
        <v>11043</v>
      </c>
      <c r="AK46" s="42">
        <f>SUM(Y46:AA46)</f>
        <v/>
      </c>
      <c r="AL46" s="42">
        <f>SUM(AB46:AD46)</f>
        <v/>
      </c>
      <c r="AM46" s="42">
        <f>SUM(AE46:AG46)</f>
        <v/>
      </c>
      <c r="AN46" s="42">
        <f>SUM(AH46:AJ46)</f>
        <v/>
      </c>
      <c r="AO46" s="10">
        <f>SUM(AK46:AN46)</f>
        <v/>
      </c>
    </row>
    <row r="47" customFormat="1" s="42">
      <c r="B47" s="42" t="inlineStr">
        <is>
          <t>Мур-ко</t>
        </is>
      </c>
      <c r="I47" s="42" t="n">
        <v>140583</v>
      </c>
      <c r="J47" s="42" t="n">
        <v>141552</v>
      </c>
      <c r="K47" s="42" t="n">
        <v>135832</v>
      </c>
      <c r="O47" s="42">
        <f>SUM(C47:E47)</f>
        <v/>
      </c>
      <c r="P47" s="42">
        <f>SUM(F47:H47)</f>
        <v/>
      </c>
      <c r="Q47" s="42">
        <f>SUM(I47:K47)</f>
        <v/>
      </c>
      <c r="R47" s="42">
        <f>SUM(L47:N47)</f>
        <v/>
      </c>
      <c r="S47" s="11">
        <f>SUM(O47:R47)</f>
        <v/>
      </c>
      <c r="U47" s="43" t="n"/>
      <c r="V47" s="42" t="n">
        <v>3750</v>
      </c>
      <c r="X47" s="42" t="inlineStr">
        <is>
          <t>Мур-ко</t>
        </is>
      </c>
      <c r="AE47" s="42" t="n">
        <v>1850</v>
      </c>
      <c r="AF47" s="42" t="n">
        <v>16275</v>
      </c>
      <c r="AG47" s="42" t="n">
        <v>6057</v>
      </c>
      <c r="AK47" s="42">
        <f>SUM(Y47:AA47)</f>
        <v/>
      </c>
      <c r="AL47" s="42">
        <f>SUM(AB47:AD47)</f>
        <v/>
      </c>
      <c r="AM47" s="42">
        <f>SUM(AE47:AG47)</f>
        <v/>
      </c>
      <c r="AN47" s="42">
        <f>SUM(AH47:AJ47)</f>
        <v/>
      </c>
      <c r="AO47" s="10">
        <f>SUM(AK47:AN47)</f>
        <v/>
      </c>
    </row>
    <row r="48">
      <c r="A48" s="42" t="n"/>
      <c r="B48" s="42" t="inlineStr">
        <is>
          <t>Губ-й</t>
        </is>
      </c>
      <c r="C48" s="42" t="n"/>
      <c r="D48" s="42" t="n"/>
      <c r="E48" s="42" t="n"/>
      <c r="F48" s="42" t="n"/>
      <c r="G48" s="42" t="n"/>
      <c r="H48" s="42" t="n"/>
      <c r="I48" s="42" t="n">
        <v>82378</v>
      </c>
      <c r="J48" s="42" t="n">
        <v>183463</v>
      </c>
      <c r="K48" s="42" t="n">
        <v>138237</v>
      </c>
      <c r="L48" s="42" t="n"/>
      <c r="M48" s="42" t="n"/>
      <c r="N48" s="42" t="n"/>
      <c r="O48" s="42">
        <f>SUM(C48:E48)</f>
        <v/>
      </c>
      <c r="P48" s="42">
        <f>SUM(F48:H48)</f>
        <v/>
      </c>
      <c r="Q48" s="42">
        <f>SUM(I48:K48)</f>
        <v/>
      </c>
      <c r="R48" s="42">
        <f>SUM(L48:N48)</f>
        <v/>
      </c>
      <c r="S48" s="11">
        <f>SUM(O48:R48)</f>
        <v/>
      </c>
      <c r="T48" s="42" t="n"/>
      <c r="U48" s="42" t="n"/>
      <c r="V48" s="42" t="n">
        <v>4506</v>
      </c>
      <c r="W48" s="42" t="n"/>
      <c r="X48" s="42" t="inlineStr">
        <is>
          <t>Губ-й</t>
        </is>
      </c>
      <c r="Y48" s="42" t="n"/>
      <c r="Z48" s="42" t="n"/>
      <c r="AA48" s="42" t="n"/>
      <c r="AB48" s="42" t="n"/>
      <c r="AC48" s="42" t="n"/>
      <c r="AD48" s="42" t="n"/>
      <c r="AE48" s="42" t="n">
        <v>12128</v>
      </c>
      <c r="AF48" s="42" t="n">
        <v>19680</v>
      </c>
      <c r="AG48" s="42" t="n">
        <v>14127</v>
      </c>
      <c r="AH48" s="42" t="n"/>
      <c r="AI48" s="42" t="n"/>
      <c r="AJ48" s="42" t="n"/>
      <c r="AK48" s="42">
        <f>SUM(Y48:AA48)</f>
        <v/>
      </c>
      <c r="AL48" s="42">
        <f>SUM(AB48:AD48)</f>
        <v/>
      </c>
      <c r="AM48" s="42">
        <f>SUM(AE48:AG48)</f>
        <v/>
      </c>
      <c r="AN48" s="42">
        <f>SUM(AH48:AJ48)</f>
        <v/>
      </c>
      <c r="AO48" s="10">
        <f>SUM(AK48:AN48)</f>
        <v/>
      </c>
    </row>
    <row r="49" ht="51.6" customHeight="1">
      <c r="N49" s="6" t="inlineStr">
        <is>
          <t>сумма по соцсетям</t>
        </is>
      </c>
      <c r="O49" s="48">
        <f>SUM(O4:O48)</f>
        <v/>
      </c>
      <c r="P49" s="48">
        <f>SUM(P4:P48)</f>
        <v/>
      </c>
      <c r="Q49" s="48">
        <f>SUM(Q4:Q48)</f>
        <v/>
      </c>
      <c r="R49" s="48">
        <f>SUM(R4:R48)</f>
        <v/>
      </c>
      <c r="S49" s="8">
        <f>SUM(S4:S48)</f>
        <v/>
      </c>
      <c r="T49" s="48">
        <f>SUM(T4:T48)</f>
        <v/>
      </c>
      <c r="U49" s="48">
        <f>SUM(U4:U48)</f>
        <v/>
      </c>
      <c r="V49" s="48">
        <f>SUM(V4:V48)</f>
        <v/>
      </c>
      <c r="W49" s="48">
        <f>SUM(W4:W48)</f>
        <v/>
      </c>
      <c r="X49" s="48" t="n"/>
      <c r="Y49" s="48">
        <f>SUM(Y4:Y48)</f>
        <v/>
      </c>
      <c r="Z49" s="48">
        <f>SUM(Z4:Z48)</f>
        <v/>
      </c>
      <c r="AA49" s="48">
        <f>SUM(AA4:AA48)</f>
        <v/>
      </c>
      <c r="AB49" s="48">
        <f>SUM(AB4:AB48)</f>
        <v/>
      </c>
      <c r="AC49" s="48">
        <f>SUM(AC4:AC48)</f>
        <v/>
      </c>
      <c r="AD49" s="48">
        <f>SUM(AD4:AD48)</f>
        <v/>
      </c>
      <c r="AE49" s="48">
        <f>SUM(AE4:AE48)</f>
        <v/>
      </c>
      <c r="AF49" s="48">
        <f>SUM(AF4:AF48)</f>
        <v/>
      </c>
      <c r="AG49" s="48">
        <f>SUM(AG4:AG48)</f>
        <v/>
      </c>
      <c r="AH49" s="48">
        <f>SUM(AH4:AH48)</f>
        <v/>
      </c>
      <c r="AI49" s="48">
        <f>SUM(AI4:AI48)</f>
        <v/>
      </c>
      <c r="AJ49" s="48">
        <f>SUM(AJ4:AJ48)</f>
        <v/>
      </c>
      <c r="AK49" s="8">
        <f>SUM(AK4:AK48)</f>
        <v/>
      </c>
      <c r="AL49" s="8">
        <f>SUM(AL4:AL48)</f>
        <v/>
      </c>
      <c r="AM49" s="48">
        <f>SUM(AM4:AM48)</f>
        <v/>
      </c>
      <c r="AN49" s="8">
        <f>SUM(AN4:AN48)</f>
        <v/>
      </c>
      <c r="AO49" s="8">
        <f>SUM(AO4:AO48)</f>
        <v/>
      </c>
    </row>
    <row r="50">
      <c r="S50" s="11">
        <f>SUM(O50:R50)</f>
        <v/>
      </c>
    </row>
    <row r="51">
      <c r="I51" s="45" t="n"/>
      <c r="S51" s="11">
        <f>SUM(O51:R51)</f>
        <v/>
      </c>
    </row>
    <row r="52" ht="72" customHeight="1">
      <c r="B52" s="39" t="n">
        <v>2026</v>
      </c>
      <c r="C52" s="39" t="inlineStr">
        <is>
          <t>январь</t>
        </is>
      </c>
      <c r="D52" s="39" t="inlineStr">
        <is>
          <t>февраль</t>
        </is>
      </c>
      <c r="E52" s="39" t="inlineStr">
        <is>
          <t>март</t>
        </is>
      </c>
      <c r="F52" s="39" t="inlineStr">
        <is>
          <t>апрель</t>
        </is>
      </c>
      <c r="G52" s="39" t="inlineStr">
        <is>
          <t>май</t>
        </is>
      </c>
      <c r="H52" s="39" t="inlineStr">
        <is>
          <t>июнь</t>
        </is>
      </c>
      <c r="I52" s="39" t="inlineStr">
        <is>
          <t>июль</t>
        </is>
      </c>
      <c r="J52" s="39" t="inlineStr">
        <is>
          <t>август</t>
        </is>
      </c>
      <c r="K52" s="39" t="inlineStr">
        <is>
          <t>сентябрь</t>
        </is>
      </c>
      <c r="L52" s="39" t="inlineStr">
        <is>
          <t>октябрь</t>
        </is>
      </c>
      <c r="M52" s="39" t="inlineStr">
        <is>
          <t>ноябрь</t>
        </is>
      </c>
      <c r="N52" s="39" t="inlineStr">
        <is>
          <t>декабрь</t>
        </is>
      </c>
      <c r="O52" s="12" t="inlineStr">
        <is>
          <t>Сумма просмотров за 1 квартал</t>
        </is>
      </c>
      <c r="P52" s="12" t="inlineStr">
        <is>
          <t>Сумма просмотров за 2 квартал</t>
        </is>
      </c>
      <c r="Q52" s="12" t="inlineStr">
        <is>
          <t>Сумма просмотров за 3 квартал</t>
        </is>
      </c>
      <c r="R52" s="12" t="inlineStr">
        <is>
          <t>Сумма просмотров за 4 квартал</t>
        </is>
      </c>
      <c r="S52" s="11">
        <f>SUM(O52:R52)</f>
        <v/>
      </c>
      <c r="T52" s="12" t="inlineStr">
        <is>
          <t>Количество подписчиков 1 квартал</t>
        </is>
      </c>
      <c r="U52" s="12" t="inlineStr">
        <is>
          <t>Количество подписчиков 2 квартал</t>
        </is>
      </c>
      <c r="V52" s="12" t="inlineStr">
        <is>
          <t>Количество подписчиков 3 квартал</t>
        </is>
      </c>
      <c r="W52" s="12" t="inlineStr">
        <is>
          <t>Количество подписчиков 4 квартал</t>
        </is>
      </c>
      <c r="X52" s="12" t="n"/>
    </row>
    <row r="53">
      <c r="A53" s="39" t="inlineStr">
        <is>
          <t>тг</t>
        </is>
      </c>
      <c r="B53" s="39" t="inlineStr">
        <is>
          <t>ЯМ тг</t>
        </is>
      </c>
      <c r="C53" s="39" t="n">
        <v>886252</v>
      </c>
      <c r="D53" s="39" t="n">
        <v>789101</v>
      </c>
      <c r="E53" s="39" t="n">
        <v>676127</v>
      </c>
      <c r="F53" s="39" t="n">
        <v>328622</v>
      </c>
      <c r="G53" s="39" t="n">
        <v>238177</v>
      </c>
      <c r="H53" s="39" t="n">
        <v>230988</v>
      </c>
      <c r="I53" s="39" t="n">
        <v>237921</v>
      </c>
      <c r="J53" s="39" t="n">
        <v>198639</v>
      </c>
      <c r="K53" s="39" t="n">
        <v>274503</v>
      </c>
      <c r="O53" s="39">
        <f>SUM(C53:E53)</f>
        <v/>
      </c>
      <c r="P53" s="39">
        <f>SUM(F53:H53)</f>
        <v/>
      </c>
      <c r="Q53" s="39">
        <f>SUM(I53:K53)</f>
        <v/>
      </c>
      <c r="R53" s="39">
        <f>SUM(L53:N53)</f>
        <v/>
      </c>
      <c r="S53" s="11">
        <f>SUM(O53:R53)</f>
        <v/>
      </c>
      <c r="T53" s="39" t="n">
        <v>12289</v>
      </c>
      <c r="U53" s="39" t="n">
        <v>11870</v>
      </c>
      <c r="V53" s="39" t="n">
        <v>11758</v>
      </c>
      <c r="X53" s="39" t="inlineStr">
        <is>
          <t>ЯМ тг</t>
        </is>
      </c>
    </row>
    <row r="54">
      <c r="B54" s="39" t="inlineStr">
        <is>
          <t>Сп тг</t>
        </is>
      </c>
      <c r="C54" s="39" t="n">
        <v>575206</v>
      </c>
      <c r="D54" s="39" t="n">
        <v>516211</v>
      </c>
      <c r="E54" s="39" t="n">
        <v>467208</v>
      </c>
      <c r="F54" s="39" t="n">
        <v>211786</v>
      </c>
      <c r="G54" s="39" t="n">
        <v>140545</v>
      </c>
      <c r="H54" s="39" t="n">
        <v>174925</v>
      </c>
      <c r="I54" s="39" t="n">
        <v>170004</v>
      </c>
      <c r="J54" s="39" t="n">
        <v>150215</v>
      </c>
      <c r="K54" s="39" t="n">
        <v>133225</v>
      </c>
      <c r="O54" s="39">
        <f>SUM(C54:E54)</f>
        <v/>
      </c>
      <c r="P54" s="39">
        <f>SUM(F54:H54)</f>
        <v/>
      </c>
      <c r="Q54" s="39">
        <f>SUM(I54:K54)</f>
        <v/>
      </c>
      <c r="R54" s="39">
        <f>SUM(L54:N54)</f>
        <v/>
      </c>
      <c r="S54" s="11">
        <f>SUM(O54:R54)</f>
        <v/>
      </c>
      <c r="T54" s="39" t="n">
        <v>4949</v>
      </c>
      <c r="U54" s="39" t="n">
        <v>4879</v>
      </c>
      <c r="V54" s="39" t="n">
        <v>4800</v>
      </c>
      <c r="X54" s="39" t="inlineStr">
        <is>
          <t>Сп тг</t>
        </is>
      </c>
    </row>
    <row r="55">
      <c r="B55" s="39" t="inlineStr">
        <is>
          <t>КС тг</t>
        </is>
      </c>
      <c r="C55" s="39" t="n">
        <v>20484</v>
      </c>
      <c r="D55" s="39" t="n">
        <v>25482</v>
      </c>
      <c r="E55" s="39" t="n">
        <v>51901</v>
      </c>
      <c r="F55" s="39" t="n">
        <v>7240</v>
      </c>
      <c r="G55" s="39" t="n">
        <v>7440</v>
      </c>
      <c r="H55" s="39" t="n">
        <v>6074</v>
      </c>
      <c r="I55" s="39" t="n">
        <v>9204</v>
      </c>
      <c r="J55" s="39" t="n">
        <v>8890</v>
      </c>
      <c r="K55" s="39" t="n">
        <v>9592</v>
      </c>
      <c r="O55" s="39">
        <f>SUM(C55:E55)</f>
        <v/>
      </c>
      <c r="P55" s="39">
        <f>SUM(F55:H55)</f>
        <v/>
      </c>
      <c r="Q55" s="39">
        <f>SUM(I55:K55)</f>
        <v/>
      </c>
      <c r="R55" s="39">
        <f>SUM(L55:N55)</f>
        <v/>
      </c>
      <c r="S55" s="11">
        <f>SUM(O55:R55)</f>
        <v/>
      </c>
      <c r="T55" s="39" t="n">
        <v>906</v>
      </c>
      <c r="U55" s="39" t="n">
        <v>880</v>
      </c>
      <c r="V55" s="39" t="n">
        <v>868</v>
      </c>
      <c r="X55" s="39" t="inlineStr">
        <is>
          <t>КС тг</t>
        </is>
      </c>
    </row>
    <row r="56">
      <c r="B56" s="39" t="inlineStr">
        <is>
          <t>НеОлениПишут тг</t>
        </is>
      </c>
      <c r="C56" s="39" t="n">
        <v>69447</v>
      </c>
      <c r="D56" s="39" t="n">
        <v>92927</v>
      </c>
      <c r="E56" s="39" t="n">
        <v>75985</v>
      </c>
      <c r="F56" s="39" t="n">
        <v>48906</v>
      </c>
      <c r="G56" s="39" t="n">
        <v>34918</v>
      </c>
      <c r="H56" s="39" t="n">
        <v>47358</v>
      </c>
      <c r="I56" s="39" t="n">
        <v>34295</v>
      </c>
      <c r="J56" s="39" t="n">
        <v>40136</v>
      </c>
      <c r="K56" s="39" t="n">
        <v>30434</v>
      </c>
      <c r="O56" s="39">
        <f>SUM(C56:E56)</f>
        <v/>
      </c>
      <c r="P56" s="39">
        <f>SUM(F56:H56)</f>
        <v/>
      </c>
      <c r="Q56" s="39">
        <f>SUM(I56:K56)</f>
        <v/>
      </c>
      <c r="R56" s="39">
        <f>SUM(L56:N56)</f>
        <v/>
      </c>
      <c r="S56" s="11">
        <f>SUM(O56:R56)</f>
        <v/>
      </c>
      <c r="T56" s="39" t="n">
        <v>2498</v>
      </c>
      <c r="U56" s="39" t="n">
        <v>2498</v>
      </c>
      <c r="V56" s="39" t="n">
        <v>2480</v>
      </c>
      <c r="X56" s="39" t="inlineStr">
        <is>
          <t>НеОлениПишут тг</t>
        </is>
      </c>
    </row>
    <row r="57">
      <c r="B57" s="39" t="inlineStr">
        <is>
          <t>МК-Ямал</t>
        </is>
      </c>
      <c r="C57" s="39" t="n">
        <v>51759</v>
      </c>
      <c r="D57" s="39" t="n">
        <v>84475</v>
      </c>
      <c r="E57" s="39" t="n">
        <v>66502</v>
      </c>
      <c r="F57" s="39" t="n">
        <v>35132</v>
      </c>
      <c r="G57" s="39" t="n">
        <v>31558</v>
      </c>
      <c r="H57" s="39" t="n">
        <v>25021</v>
      </c>
      <c r="I57" s="39" t="n">
        <v>20844</v>
      </c>
      <c r="J57" s="39" t="n">
        <v>19869</v>
      </c>
      <c r="K57" s="39" t="n">
        <v>18098</v>
      </c>
      <c r="O57" s="39">
        <f>SUM(C57:E57)</f>
        <v/>
      </c>
      <c r="P57" s="39">
        <f>SUM(F57:H57)</f>
        <v/>
      </c>
      <c r="Q57" s="39">
        <f>SUM(I57:K57)</f>
        <v/>
      </c>
      <c r="R57" s="39">
        <f>SUM(L57:N57)</f>
        <v/>
      </c>
      <c r="S57" s="11">
        <f>SUM(O57:R57)</f>
        <v/>
      </c>
      <c r="T57" s="39" t="n">
        <v>727</v>
      </c>
      <c r="U57" s="39" t="n">
        <v>699</v>
      </c>
      <c r="V57" s="39" t="n">
        <v>687</v>
      </c>
      <c r="X57" s="39" t="inlineStr">
        <is>
          <t>МК-Ямал</t>
        </is>
      </c>
    </row>
    <row r="58">
      <c r="B58" s="39" t="inlineStr">
        <is>
          <t>СМП</t>
        </is>
      </c>
      <c r="C58" s="39" t="n">
        <v>90227</v>
      </c>
      <c r="D58" s="39" t="n">
        <v>74687</v>
      </c>
      <c r="E58" s="39" t="n">
        <v>53276</v>
      </c>
      <c r="F58" s="39" t="n">
        <v>49483</v>
      </c>
      <c r="G58" s="39" t="n">
        <v>55183</v>
      </c>
      <c r="H58" s="39" t="n">
        <v>36539</v>
      </c>
      <c r="I58" s="39" t="n">
        <v>135069</v>
      </c>
      <c r="J58" s="39" t="n">
        <v>91112</v>
      </c>
      <c r="K58" s="39" t="n">
        <v>94982</v>
      </c>
      <c r="O58" s="39">
        <f>SUM(C58:E58)</f>
        <v/>
      </c>
      <c r="P58" s="39">
        <f>SUM(F58:H58)</f>
        <v/>
      </c>
      <c r="Q58" s="39">
        <f>SUM(I58:K58)</f>
        <v/>
      </c>
      <c r="R58" s="39">
        <f>SUM(L58:N58)</f>
        <v/>
      </c>
      <c r="S58" s="11">
        <f>SUM(O58:R58)</f>
        <v/>
      </c>
      <c r="T58" s="39" t="n">
        <v>16681</v>
      </c>
      <c r="U58" s="39" t="n">
        <v>14419</v>
      </c>
      <c r="V58" s="39" t="n">
        <v>13798</v>
      </c>
      <c r="X58" s="39" t="inlineStr">
        <is>
          <t>СМП</t>
        </is>
      </c>
    </row>
    <row r="59">
      <c r="B59" s="39" t="inlineStr">
        <is>
          <t>СШХ</t>
        </is>
      </c>
      <c r="C59" s="39" t="n">
        <v>51950</v>
      </c>
      <c r="D59" s="39" t="n">
        <v>14556</v>
      </c>
      <c r="E59" s="39" t="n">
        <v>9726</v>
      </c>
      <c r="F59" s="39" t="n">
        <v>55707</v>
      </c>
      <c r="G59" s="39" t="n">
        <v>35416</v>
      </c>
      <c r="H59" s="39" t="n">
        <v>3698</v>
      </c>
      <c r="I59" s="39" t="n">
        <v>16029</v>
      </c>
      <c r="J59" s="39" t="n">
        <v>36294</v>
      </c>
      <c r="K59" s="39" t="n">
        <v>11034</v>
      </c>
      <c r="O59" s="39">
        <f>SUM(C59:E59)</f>
        <v/>
      </c>
      <c r="P59" s="39">
        <f>SUM(F59:H59)</f>
        <v/>
      </c>
      <c r="Q59" s="39">
        <f>SUM(I59:K59)</f>
        <v/>
      </c>
      <c r="R59" s="39">
        <f>SUM(L59:N59)</f>
        <v/>
      </c>
      <c r="S59" s="11">
        <f>SUM(O59:R59)</f>
        <v/>
      </c>
      <c r="T59" s="39" t="n">
        <v>10663</v>
      </c>
      <c r="U59" s="39" t="n">
        <v>8889</v>
      </c>
      <c r="V59" s="39" t="n">
        <v>8656</v>
      </c>
      <c r="X59" s="39" t="inlineStr">
        <is>
          <t>СШХ</t>
        </is>
      </c>
    </row>
    <row r="60">
      <c r="B60" s="39" t="inlineStr">
        <is>
          <t>Нур</t>
        </is>
      </c>
      <c r="I60" s="39" t="n">
        <v>269960</v>
      </c>
      <c r="J60" s="39" t="n">
        <v>298105</v>
      </c>
      <c r="K60" s="39" t="n">
        <v>383882</v>
      </c>
      <c r="O60" s="39">
        <f>SUM(C60:E60)</f>
        <v/>
      </c>
      <c r="P60" s="39">
        <f>SUM(F60:H60)</f>
        <v/>
      </c>
      <c r="Q60" s="39">
        <f>SUM(I60:K60)</f>
        <v/>
      </c>
      <c r="R60" s="39">
        <f>SUM(L60:N60)</f>
        <v/>
      </c>
      <c r="S60" s="11">
        <f>SUM(O60:R60)</f>
        <v/>
      </c>
      <c r="V60" s="39" t="n">
        <v>10870</v>
      </c>
      <c r="X60" s="39" t="inlineStr">
        <is>
          <t>Нур</t>
        </is>
      </c>
    </row>
    <row r="61">
      <c r="B61" s="39" t="inlineStr">
        <is>
          <t>Надым</t>
        </is>
      </c>
      <c r="I61" s="39" t="n">
        <v>105173</v>
      </c>
      <c r="J61" s="39" t="n">
        <v>122151</v>
      </c>
      <c r="K61" s="39" t="n">
        <v>107349</v>
      </c>
      <c r="O61" s="39">
        <f>SUM(C61:E61)</f>
        <v/>
      </c>
      <c r="P61" s="39">
        <f>SUM(F61:H61)</f>
        <v/>
      </c>
      <c r="Q61" s="39">
        <f>SUM(I61:K61)</f>
        <v/>
      </c>
      <c r="R61" s="39">
        <f>SUM(L61:N61)</f>
        <v/>
      </c>
      <c r="S61" s="11">
        <f>SUM(O61:R61)</f>
        <v/>
      </c>
      <c r="V61" s="39" t="n">
        <v>4100</v>
      </c>
      <c r="X61" s="39" t="inlineStr">
        <is>
          <t>Надым</t>
        </is>
      </c>
    </row>
    <row r="62">
      <c r="B62" s="39" t="inlineStr">
        <is>
          <t>Ноябрьск</t>
        </is>
      </c>
      <c r="I62" s="39" t="n">
        <v>183372</v>
      </c>
      <c r="J62" s="39" t="n">
        <v>160535</v>
      </c>
      <c r="K62" s="39" t="n">
        <v>170133</v>
      </c>
      <c r="O62" s="39">
        <f>SUM(C62:E62)</f>
        <v/>
      </c>
      <c r="P62" s="39">
        <f>SUM(F62:H62)</f>
        <v/>
      </c>
      <c r="Q62" s="39">
        <f>SUM(I62:K62)</f>
        <v/>
      </c>
      <c r="R62" s="39">
        <f>SUM(L62:N62)</f>
        <v/>
      </c>
      <c r="S62" s="11">
        <f>SUM(O62:R62)</f>
        <v/>
      </c>
      <c r="V62" s="39" t="n">
        <v>5509</v>
      </c>
      <c r="X62" s="39" t="inlineStr">
        <is>
          <t>Ноябрьск</t>
        </is>
      </c>
    </row>
    <row r="63">
      <c r="B63" s="39" t="inlineStr">
        <is>
          <t>ЯМ-Схд</t>
        </is>
      </c>
      <c r="C63" s="39" t="n">
        <v>973820</v>
      </c>
      <c r="D63" s="39" t="n">
        <v>813071</v>
      </c>
      <c r="E63" s="39" t="n">
        <v>761476</v>
      </c>
      <c r="F63" s="39" t="n">
        <v>378182</v>
      </c>
      <c r="G63" s="39" t="n">
        <v>387642</v>
      </c>
      <c r="H63" s="39" t="n">
        <v>332255</v>
      </c>
      <c r="I63" s="39" t="n">
        <v>266604</v>
      </c>
      <c r="J63" s="39" t="n">
        <v>267895</v>
      </c>
      <c r="K63" s="39" t="n">
        <v>311706</v>
      </c>
      <c r="O63" s="39">
        <f>SUM(C63:E63)</f>
        <v/>
      </c>
      <c r="P63" s="39">
        <f>SUM(F63:H63)</f>
        <v/>
      </c>
      <c r="Q63" s="39">
        <f>SUM(I63:K63)</f>
        <v/>
      </c>
      <c r="R63" s="39">
        <f>SUM(L63:N63)</f>
        <v/>
      </c>
      <c r="S63" s="11">
        <f>SUM(O63:R63)</f>
        <v/>
      </c>
      <c r="T63" s="39" t="n">
        <v>11009</v>
      </c>
      <c r="U63" s="39" t="n">
        <v>10554</v>
      </c>
      <c r="V63" s="39" t="n">
        <v>10392</v>
      </c>
      <c r="X63" s="39" t="inlineStr">
        <is>
          <t>ЯМ-Схд</t>
        </is>
      </c>
    </row>
    <row r="64">
      <c r="B64" s="39" t="inlineStr">
        <is>
          <t>ЯМ-БПРЛ</t>
        </is>
      </c>
      <c r="C64" s="39" t="n">
        <v>305837</v>
      </c>
      <c r="D64" s="39" t="n">
        <v>262569</v>
      </c>
      <c r="E64" s="39" t="n">
        <v>250159</v>
      </c>
      <c r="F64" s="39" t="n">
        <v>107422</v>
      </c>
      <c r="G64" s="39" t="n">
        <v>95404</v>
      </c>
      <c r="H64" s="39" t="n">
        <v>77715</v>
      </c>
      <c r="I64" s="39" t="n">
        <v>67312</v>
      </c>
      <c r="J64" s="39" t="n">
        <v>113958</v>
      </c>
      <c r="K64" s="39" t="n">
        <v>81694</v>
      </c>
      <c r="O64" s="39">
        <f>SUM(C64:E64)</f>
        <v/>
      </c>
      <c r="P64" s="39">
        <f>SUM(F64:H64)</f>
        <v/>
      </c>
      <c r="Q64" s="39">
        <f>SUM(I64:K64)</f>
        <v/>
      </c>
      <c r="R64" s="39">
        <f>SUM(L64:N64)</f>
        <v/>
      </c>
      <c r="S64" s="11">
        <f>SUM(O64:R64)</f>
        <v/>
      </c>
      <c r="T64" s="39" t="n">
        <v>2448</v>
      </c>
      <c r="U64" s="39" t="n">
        <v>2360</v>
      </c>
      <c r="V64" s="39" t="n">
        <v>2311</v>
      </c>
      <c r="X64" s="39" t="inlineStr">
        <is>
          <t>ЯМ-БПРЛ</t>
        </is>
      </c>
    </row>
    <row r="65">
      <c r="B65" s="39" t="inlineStr">
        <is>
          <t>ЛБТ</t>
        </is>
      </c>
      <c r="I65" s="39" t="n">
        <v>27928</v>
      </c>
      <c r="J65" s="39" t="n">
        <v>52660</v>
      </c>
      <c r="K65" s="39" t="n">
        <v>22428</v>
      </c>
      <c r="O65" s="39">
        <f>SUM(C65:E65)</f>
        <v/>
      </c>
      <c r="P65" s="39">
        <f>SUM(F65:H65)</f>
        <v/>
      </c>
      <c r="Q65" s="39">
        <f>SUM(I65:K65)</f>
        <v/>
      </c>
      <c r="R65" s="39">
        <f>SUM(L65:N65)</f>
        <v/>
      </c>
      <c r="S65" s="11">
        <f>SUM(O65:R65)</f>
        <v/>
      </c>
      <c r="V65" s="39" t="n">
        <v>1371</v>
      </c>
      <c r="X65" s="39" t="inlineStr">
        <is>
          <t>ЛБТ</t>
        </is>
      </c>
    </row>
    <row r="66">
      <c r="B66" s="39" t="inlineStr">
        <is>
          <t>ПурР</t>
        </is>
      </c>
      <c r="I66" s="39" t="n">
        <v>101565</v>
      </c>
      <c r="J66" s="39" t="n">
        <v>122899</v>
      </c>
      <c r="K66" s="39" t="n">
        <v>112884</v>
      </c>
      <c r="O66" s="39">
        <f>SUM(C66:E66)</f>
        <v/>
      </c>
      <c r="P66" s="39">
        <f>SUM(F66:H66)</f>
        <v/>
      </c>
      <c r="Q66" s="39">
        <f>SUM(I66:K66)</f>
        <v/>
      </c>
      <c r="R66" s="39">
        <f>SUM(L66:N66)</f>
        <v/>
      </c>
      <c r="S66" s="11">
        <f>SUM(O66:R66)</f>
        <v/>
      </c>
      <c r="V66" s="39" t="n">
        <v>5625</v>
      </c>
      <c r="X66" s="39" t="inlineStr">
        <is>
          <t>ПурР</t>
        </is>
      </c>
    </row>
    <row r="67">
      <c r="B67" s="39" t="inlineStr">
        <is>
          <t>ТазР</t>
        </is>
      </c>
      <c r="I67" s="39" t="n">
        <v>24189</v>
      </c>
      <c r="J67" s="39" t="n">
        <v>24169</v>
      </c>
      <c r="K67" s="39" t="n">
        <v>23333</v>
      </c>
      <c r="O67" s="39">
        <f>SUM(C67:E67)</f>
        <v/>
      </c>
      <c r="P67" s="39">
        <f>SUM(F67:H67)</f>
        <v/>
      </c>
      <c r="Q67" s="39">
        <f>SUM(I67:K67)</f>
        <v/>
      </c>
      <c r="R67" s="39">
        <f>SUM(L67:N67)</f>
        <v/>
      </c>
      <c r="S67" s="11">
        <f>SUM(O67:R67)</f>
        <v/>
      </c>
      <c r="V67" s="39" t="n">
        <v>1818</v>
      </c>
      <c r="X67" s="39" t="inlineStr">
        <is>
          <t>ТазР</t>
        </is>
      </c>
    </row>
    <row r="68">
      <c r="B68" s="39" t="inlineStr">
        <is>
          <t>ЯМ-КСК</t>
        </is>
      </c>
      <c r="C68" s="39" t="n">
        <v>57810</v>
      </c>
      <c r="D68" s="39" t="n">
        <v>56473</v>
      </c>
      <c r="E68" s="39" t="n">
        <v>46525</v>
      </c>
      <c r="F68" s="39" t="n">
        <v>23176</v>
      </c>
      <c r="G68" s="39" t="n">
        <v>20591</v>
      </c>
      <c r="H68" s="39" t="n">
        <v>17899</v>
      </c>
      <c r="I68" s="39" t="n">
        <v>14823</v>
      </c>
      <c r="J68" s="39" t="n">
        <v>12935</v>
      </c>
      <c r="K68" s="39" t="n">
        <v>15161</v>
      </c>
      <c r="O68" s="39">
        <f>SUM(C68:E68)</f>
        <v/>
      </c>
      <c r="P68" s="39">
        <f>SUM(F68:H68)</f>
        <v/>
      </c>
      <c r="Q68" s="39">
        <f>SUM(I68:K68)</f>
        <v/>
      </c>
      <c r="R68" s="39">
        <f>SUM(L68:N68)</f>
        <v/>
      </c>
      <c r="S68" s="11">
        <f>SUM(O68:R68)</f>
        <v/>
      </c>
      <c r="T68" s="39" t="n">
        <v>919</v>
      </c>
      <c r="U68" s="39" t="n">
        <v>889</v>
      </c>
      <c r="V68" s="39" t="n">
        <v>868</v>
      </c>
      <c r="X68" s="39" t="inlineStr">
        <is>
          <t>ЯМ-КСК</t>
        </is>
      </c>
    </row>
    <row r="69">
      <c r="B69" s="39" t="inlineStr">
        <is>
          <t>ЯмР</t>
        </is>
      </c>
      <c r="I69" s="39" t="n">
        <v>15606</v>
      </c>
      <c r="J69" s="39" t="n">
        <v>15420</v>
      </c>
      <c r="K69" s="39" t="n">
        <v>17146</v>
      </c>
      <c r="O69" s="39">
        <f>SUM(C69:E69)</f>
        <v/>
      </c>
      <c r="P69" s="39">
        <f>SUM(F69:H69)</f>
        <v/>
      </c>
      <c r="Q69" s="39">
        <f>SUM(I69:K69)</f>
        <v/>
      </c>
      <c r="R69" s="39">
        <f>SUM(L69:N69)</f>
        <v/>
      </c>
      <c r="S69" s="11">
        <f>SUM(O69:R69)</f>
        <v/>
      </c>
      <c r="V69" s="39" t="n">
        <v>847</v>
      </c>
      <c r="X69" s="39" t="inlineStr">
        <is>
          <t>ЯмР</t>
        </is>
      </c>
    </row>
    <row r="70">
      <c r="B70" s="39" t="inlineStr">
        <is>
          <t>ШурР</t>
        </is>
      </c>
      <c r="I70" s="39" t="n">
        <v>27311</v>
      </c>
      <c r="J70" s="39" t="n">
        <v>30464</v>
      </c>
      <c r="K70" s="39" t="n">
        <v>20668</v>
      </c>
      <c r="O70" s="39">
        <f>SUM(C70:E70)</f>
        <v/>
      </c>
      <c r="P70" s="39">
        <f>SUM(F70:H70)</f>
        <v/>
      </c>
      <c r="Q70" s="39">
        <f>SUM(I70:K70)</f>
        <v/>
      </c>
      <c r="R70" s="39">
        <f>SUM(L70:N70)</f>
        <v/>
      </c>
      <c r="S70" s="11">
        <f>SUM(O70:R70)</f>
        <v/>
      </c>
      <c r="V70" s="39" t="n">
        <v>1162</v>
      </c>
      <c r="X70" s="39" t="inlineStr">
        <is>
          <t>ШурР</t>
        </is>
      </c>
    </row>
    <row r="71">
      <c r="B71" s="39" t="inlineStr">
        <is>
          <t>Мур-ко</t>
        </is>
      </c>
      <c r="I71" s="39" t="n">
        <v>98745</v>
      </c>
      <c r="J71" s="39" t="n">
        <v>108659</v>
      </c>
      <c r="K71" s="39" t="n">
        <v>97025</v>
      </c>
      <c r="O71" s="39">
        <f>SUM(C71:E71)</f>
        <v/>
      </c>
      <c r="P71" s="39">
        <f>SUM(F71:H71)</f>
        <v/>
      </c>
      <c r="Q71" s="39">
        <f>SUM(I71:K71)</f>
        <v/>
      </c>
      <c r="R71" s="39">
        <f>SUM(L71:N71)</f>
        <v/>
      </c>
      <c r="S71" s="11">
        <f>SUM(O71:R71)</f>
        <v/>
      </c>
      <c r="V71" s="39" t="n">
        <v>4397</v>
      </c>
      <c r="X71" s="39" t="inlineStr">
        <is>
          <t>Мур-ко</t>
        </is>
      </c>
    </row>
    <row r="72">
      <c r="B72" s="39" t="inlineStr">
        <is>
          <t>Губ-й</t>
        </is>
      </c>
      <c r="I72" s="39" t="n">
        <v>179856</v>
      </c>
      <c r="J72" s="39" t="n">
        <v>208886</v>
      </c>
      <c r="K72" s="39" t="n">
        <v>153812</v>
      </c>
      <c r="O72" s="39">
        <f>SUM(C72:E72)</f>
        <v/>
      </c>
      <c r="P72" s="39">
        <f>SUM(F72:H72)</f>
        <v/>
      </c>
      <c r="Q72" s="39">
        <f>SUM(I72:K72)</f>
        <v/>
      </c>
      <c r="R72" s="39">
        <f>SUM(L72:N72)</f>
        <v/>
      </c>
      <c r="S72" s="11">
        <f>SUM(O72:R72)</f>
        <v/>
      </c>
      <c r="V72" s="39" t="n">
        <v>5472</v>
      </c>
      <c r="X72" s="39" t="inlineStr">
        <is>
          <t>Губ-й</t>
        </is>
      </c>
    </row>
    <row r="73" ht="57.6" customHeight="1">
      <c r="B73" s="12" t="n"/>
      <c r="N73" s="6" t="inlineStr">
        <is>
          <t>сумма по телеграму</t>
        </is>
      </c>
      <c r="O73" s="48">
        <f>SUM(O53:O72)</f>
        <v/>
      </c>
      <c r="P73" s="48">
        <f>SUM(P53:P72)</f>
        <v/>
      </c>
      <c r="Q73" s="48">
        <f>SUM(Q53:Q72)</f>
        <v/>
      </c>
      <c r="R73" s="48">
        <f>SUM(R53:R72)</f>
        <v/>
      </c>
      <c r="S73" s="11">
        <f>SUM(O73:R73)</f>
        <v/>
      </c>
      <c r="T73" s="48">
        <f>SUM(T53:T72)</f>
        <v/>
      </c>
      <c r="U73" s="48">
        <f>SUM(U53:U72)</f>
        <v/>
      </c>
      <c r="V73" s="48">
        <f>SUM(V53:V72)</f>
        <v/>
      </c>
      <c r="W73" s="48">
        <f>SUM(W53:W72)</f>
        <v/>
      </c>
      <c r="X73" s="48" t="n"/>
    </row>
    <row r="74" ht="72" customHeight="1">
      <c r="N74" s="9" t="inlineStr">
        <is>
          <t>общие показатели с телеграмом</t>
        </is>
      </c>
      <c r="O74" s="11">
        <f>SUM(O73+O49)</f>
        <v/>
      </c>
      <c r="P74" s="11">
        <f>SUM(P73+P49)</f>
        <v/>
      </c>
      <c r="Q74" s="11">
        <f>SUM(Q73+Q49)</f>
        <v/>
      </c>
      <c r="R74" s="11">
        <f>SUM(R73+R49)</f>
        <v/>
      </c>
      <c r="S74" s="11">
        <f>SUM(O74:R74)</f>
        <v/>
      </c>
      <c r="T74" s="11">
        <f>SUM(T49+T73)</f>
        <v/>
      </c>
      <c r="U74" s="11">
        <f>SUM(U49+U73)</f>
        <v/>
      </c>
      <c r="V74" s="11">
        <f>SUM(V49+V73)</f>
        <v/>
      </c>
      <c r="W74" s="11">
        <f>SUM(W49+W73)</f>
        <v/>
      </c>
      <c r="X74" s="11" t="n"/>
    </row>
    <row r="76" ht="72" customHeight="1">
      <c r="A76" s="39" t="inlineStr">
        <is>
          <t>макс</t>
        </is>
      </c>
      <c r="B76" s="39" t="n">
        <v>2026</v>
      </c>
      <c r="C76" s="39" t="inlineStr">
        <is>
          <t>январь</t>
        </is>
      </c>
      <c r="D76" s="39" t="inlineStr">
        <is>
          <t>февраль</t>
        </is>
      </c>
      <c r="E76" s="39" t="inlineStr">
        <is>
          <t>март</t>
        </is>
      </c>
      <c r="F76" s="39" t="inlineStr">
        <is>
          <t>апрель</t>
        </is>
      </c>
      <c r="G76" s="39" t="inlineStr">
        <is>
          <t>май</t>
        </is>
      </c>
      <c r="H76" s="39" t="inlineStr">
        <is>
          <t>июнь</t>
        </is>
      </c>
      <c r="I76" s="39" t="inlineStr">
        <is>
          <t>июль</t>
        </is>
      </c>
      <c r="J76" s="39" t="inlineStr">
        <is>
          <t>август</t>
        </is>
      </c>
      <c r="K76" s="39" t="inlineStr">
        <is>
          <t>сентябрь</t>
        </is>
      </c>
      <c r="L76" s="39" t="inlineStr">
        <is>
          <t>октябрь</t>
        </is>
      </c>
      <c r="M76" s="39" t="inlineStr">
        <is>
          <t>ноябрь</t>
        </is>
      </c>
      <c r="N76" s="39" t="inlineStr">
        <is>
          <t>декабрь</t>
        </is>
      </c>
      <c r="O76" s="12" t="inlineStr">
        <is>
          <t>Сумма просмотров за 1 квартал</t>
        </is>
      </c>
      <c r="P76" s="12" t="inlineStr">
        <is>
          <t>Сумма просмотров за 2 квартал</t>
        </is>
      </c>
      <c r="Q76" s="12" t="inlineStr">
        <is>
          <t>Сумма просмотров за 3 квартал</t>
        </is>
      </c>
      <c r="R76" s="12" t="inlineStr">
        <is>
          <t>Сумма просмотров за 4 квартал</t>
        </is>
      </c>
      <c r="S76" s="11">
        <f>SUM(O76:R76)</f>
        <v/>
      </c>
      <c r="T76" s="12" t="inlineStr">
        <is>
          <t>Количество подписчиков 1 квартал</t>
        </is>
      </c>
      <c r="U76" s="12" t="inlineStr">
        <is>
          <t>Количество подписчиков 2 квартал</t>
        </is>
      </c>
      <c r="V76" s="12" t="inlineStr">
        <is>
          <t>Количество подписчиков 3 квартал</t>
        </is>
      </c>
      <c r="W76" s="12" t="inlineStr">
        <is>
          <t>Количество подписчиков 4 квартал</t>
        </is>
      </c>
      <c r="X76" s="12" t="n"/>
    </row>
    <row r="77">
      <c r="B77" s="39" t="inlineStr">
        <is>
          <t>ЯМ тг</t>
        </is>
      </c>
      <c r="C77" t="n">
        <v>206630</v>
      </c>
      <c r="D77" t="n">
        <v>409253</v>
      </c>
      <c r="E77" t="n">
        <v>1721230</v>
      </c>
      <c r="F77" t="n">
        <v>3055773</v>
      </c>
      <c r="G77" t="n">
        <v>2534263</v>
      </c>
      <c r="H77" t="n">
        <v>1355025</v>
      </c>
      <c r="I77" t="n">
        <v>675786</v>
      </c>
      <c r="J77" t="n">
        <v>731004</v>
      </c>
      <c r="K77" t="n">
        <v>700599</v>
      </c>
      <c r="O77" s="39">
        <f>SUM(C77:E77)</f>
        <v/>
      </c>
      <c r="P77" s="39">
        <f>SUM(F77:H77)</f>
        <v/>
      </c>
      <c r="Q77" s="39">
        <f>SUM(I77:K77)</f>
        <v/>
      </c>
      <c r="R77" s="39">
        <f>SUM(L77:N77)</f>
        <v/>
      </c>
      <c r="S77" s="11">
        <f>SUM(O77:R77)</f>
        <v/>
      </c>
      <c r="T77" t="n">
        <v>1373</v>
      </c>
      <c r="U77" t="n">
        <v>3501</v>
      </c>
      <c r="V77" t="n">
        <v>4469</v>
      </c>
      <c r="X77" s="39" t="inlineStr">
        <is>
          <t>ЯМ тг</t>
        </is>
      </c>
    </row>
    <row r="78">
      <c r="B78" s="39" t="inlineStr">
        <is>
          <t>Сп тг</t>
        </is>
      </c>
      <c r="E78" t="n">
        <v>243573</v>
      </c>
      <c r="F78" t="n">
        <v>838784</v>
      </c>
      <c r="G78" t="n">
        <v>655962</v>
      </c>
      <c r="H78" t="n">
        <v>472587</v>
      </c>
      <c r="I78" t="n">
        <v>355303</v>
      </c>
      <c r="J78" t="n">
        <v>357234</v>
      </c>
      <c r="K78" t="n">
        <v>313473</v>
      </c>
      <c r="O78" s="39">
        <f>SUM(C78:E78)</f>
        <v/>
      </c>
      <c r="P78" s="39">
        <f>SUM(F78:H78)</f>
        <v/>
      </c>
      <c r="Q78" s="39">
        <f>SUM(I78:K78)</f>
        <v/>
      </c>
      <c r="R78" s="39">
        <f>SUM(L78:N78)</f>
        <v/>
      </c>
      <c r="S78" s="11">
        <f>SUM(O78:R78)</f>
        <v/>
      </c>
      <c r="T78" t="n">
        <v>342</v>
      </c>
      <c r="U78" t="n">
        <v>2036</v>
      </c>
      <c r="V78" t="n">
        <v>2252</v>
      </c>
      <c r="X78" s="39" t="inlineStr">
        <is>
          <t>Сп тг</t>
        </is>
      </c>
    </row>
    <row r="79">
      <c r="B79" s="39" t="inlineStr">
        <is>
          <t>КС тг</t>
        </is>
      </c>
      <c r="E79" t="n">
        <v>55528</v>
      </c>
      <c r="F79" t="n">
        <v>202059</v>
      </c>
      <c r="G79" t="n">
        <v>161887</v>
      </c>
      <c r="H79" t="n">
        <v>95380</v>
      </c>
      <c r="I79" t="n">
        <v>39815</v>
      </c>
      <c r="J79" t="n">
        <v>34536</v>
      </c>
      <c r="K79" t="n">
        <v>30033</v>
      </c>
      <c r="O79" s="39">
        <f>SUM(C79:E79)</f>
        <v/>
      </c>
      <c r="P79" s="39">
        <f>SUM(F79:H79)</f>
        <v/>
      </c>
      <c r="Q79" s="39">
        <f>SUM(I79:K79)</f>
        <v/>
      </c>
      <c r="R79" s="39">
        <f>SUM(L79:N79)</f>
        <v/>
      </c>
      <c r="S79" s="11">
        <f>SUM(O79:R79)</f>
        <v/>
      </c>
      <c r="T79" t="n">
        <v>56</v>
      </c>
      <c r="U79" t="n">
        <v>222</v>
      </c>
      <c r="V79" t="n">
        <v>277</v>
      </c>
      <c r="X79" s="39" t="inlineStr">
        <is>
          <t>КС тг</t>
        </is>
      </c>
    </row>
    <row r="80">
      <c r="B80" s="39" t="inlineStr">
        <is>
          <t>НеОлениПишут тг</t>
        </is>
      </c>
      <c r="E80" t="n">
        <v>178467</v>
      </c>
      <c r="F80" t="n">
        <v>316632</v>
      </c>
      <c r="G80" t="n">
        <v>188135</v>
      </c>
      <c r="H80" t="n">
        <v>98828</v>
      </c>
      <c r="I80" t="n">
        <v>63163</v>
      </c>
      <c r="J80" t="n">
        <v>69548</v>
      </c>
      <c r="K80" t="n">
        <v>63641</v>
      </c>
      <c r="O80" s="39">
        <f>SUM(C80:E80)</f>
        <v/>
      </c>
      <c r="P80" s="39">
        <f>SUM(F80:H80)</f>
        <v/>
      </c>
      <c r="Q80" s="39">
        <f>SUM(I80:K80)</f>
        <v/>
      </c>
      <c r="R80" s="39">
        <f>SUM(L80:N80)</f>
        <v/>
      </c>
      <c r="S80" s="11">
        <f>SUM(O80:R80)</f>
        <v/>
      </c>
      <c r="T80" t="n">
        <v>151</v>
      </c>
      <c r="U80" t="n">
        <v>1152</v>
      </c>
      <c r="V80" t="n">
        <v>1354</v>
      </c>
      <c r="X80" s="39" t="inlineStr">
        <is>
          <t>НеОлениПишут тг</t>
        </is>
      </c>
    </row>
    <row r="81">
      <c r="B81" s="39" t="inlineStr">
        <is>
          <t>МК-Ямал</t>
        </is>
      </c>
      <c r="O81" s="39">
        <f>SUM(C81:E81)</f>
        <v/>
      </c>
      <c r="P81" s="39">
        <f>SUM(F81:H81)</f>
        <v/>
      </c>
      <c r="Q81" s="39">
        <f>SUM(I81:K81)</f>
        <v/>
      </c>
      <c r="R81" s="39">
        <f>SUM(L81:N81)</f>
        <v/>
      </c>
      <c r="S81" s="11">
        <f>SUM(O81:R81)</f>
        <v/>
      </c>
      <c r="X81" s="39" t="inlineStr">
        <is>
          <t>МК-Ямал</t>
        </is>
      </c>
    </row>
    <row r="82">
      <c r="B82" s="39" t="inlineStr">
        <is>
          <t>СМП</t>
        </is>
      </c>
      <c r="F82" t="n">
        <v>4873</v>
      </c>
      <c r="G82" t="n">
        <v>13231</v>
      </c>
      <c r="H82" t="n">
        <v>7266</v>
      </c>
      <c r="I82" t="n">
        <v>6742</v>
      </c>
      <c r="J82" t="n">
        <v>6156</v>
      </c>
      <c r="K82" t="n">
        <v>12047</v>
      </c>
      <c r="O82" s="39">
        <f>SUM(C82:E82)</f>
        <v/>
      </c>
      <c r="P82" s="39">
        <f>SUM(F82:H82)</f>
        <v/>
      </c>
      <c r="Q82" s="39">
        <f>SUM(I82:K82)</f>
        <v/>
      </c>
      <c r="R82" s="39">
        <f>SUM(L82:N82)</f>
        <v/>
      </c>
      <c r="S82" s="11">
        <f>SUM(O82:R82)</f>
        <v/>
      </c>
      <c r="U82" t="n">
        <v>115</v>
      </c>
      <c r="V82" t="n">
        <v>212</v>
      </c>
      <c r="X82" s="39" t="inlineStr">
        <is>
          <t>СМП</t>
        </is>
      </c>
    </row>
    <row r="83">
      <c r="B83" s="39" t="inlineStr">
        <is>
          <t>СШХ</t>
        </is>
      </c>
      <c r="F83" t="n">
        <v>580</v>
      </c>
      <c r="G83" t="n">
        <v>4923</v>
      </c>
      <c r="H83" t="n">
        <v>3780</v>
      </c>
      <c r="I83" t="n">
        <v>3243</v>
      </c>
      <c r="J83" t="n">
        <v>2092</v>
      </c>
      <c r="K83" t="n">
        <v>905</v>
      </c>
      <c r="O83" s="39">
        <f>SUM(C83:E83)</f>
        <v/>
      </c>
      <c r="P83" s="39">
        <f>SUM(F83:H83)</f>
        <v/>
      </c>
      <c r="Q83" s="39">
        <f>SUM(I83:K83)</f>
        <v/>
      </c>
      <c r="R83" s="39">
        <f>SUM(L83:N83)</f>
        <v/>
      </c>
      <c r="S83" s="11">
        <f>SUM(O83:R83)</f>
        <v/>
      </c>
      <c r="U83" t="n">
        <v>24</v>
      </c>
      <c r="V83" t="n">
        <v>37</v>
      </c>
      <c r="X83" s="39" t="inlineStr">
        <is>
          <t>СШХ</t>
        </is>
      </c>
    </row>
    <row r="84">
      <c r="B84" s="39" t="inlineStr">
        <is>
          <t>Нур</t>
        </is>
      </c>
      <c r="C84" t="n">
        <v>1079433</v>
      </c>
      <c r="D84" t="n">
        <v>1846001</v>
      </c>
      <c r="E84" t="n">
        <v>2421858</v>
      </c>
      <c r="F84" t="n">
        <v>2722722</v>
      </c>
      <c r="G84" t="n">
        <v>2067271</v>
      </c>
      <c r="H84" t="n">
        <v>1029400</v>
      </c>
      <c r="I84" t="n">
        <v>558528</v>
      </c>
      <c r="J84" t="n">
        <v>669262</v>
      </c>
      <c r="K84" t="n">
        <v>839009</v>
      </c>
      <c r="O84" s="39">
        <f>SUM(C84:E84)</f>
        <v/>
      </c>
      <c r="P84" s="39">
        <f>SUM(F84:H84)</f>
        <v/>
      </c>
      <c r="Q84" s="39">
        <f>SUM(I84:K84)</f>
        <v/>
      </c>
      <c r="R84" s="39">
        <f>SUM(L84:N84)</f>
        <v/>
      </c>
      <c r="S84" s="11">
        <f>SUM(O84:R84)</f>
        <v/>
      </c>
      <c r="T84" t="n">
        <v>2278</v>
      </c>
      <c r="U84" t="n">
        <v>3333</v>
      </c>
      <c r="V84" t="n">
        <v>4353</v>
      </c>
      <c r="X84" s="39" t="inlineStr">
        <is>
          <t>Нур</t>
        </is>
      </c>
    </row>
    <row r="85">
      <c r="B85" s="39" t="inlineStr">
        <is>
          <t>Надым</t>
        </is>
      </c>
      <c r="C85" t="n">
        <v>1137500</v>
      </c>
      <c r="D85" t="n">
        <v>1743989</v>
      </c>
      <c r="E85" t="n">
        <v>2146984</v>
      </c>
      <c r="F85" t="n">
        <v>1725000</v>
      </c>
      <c r="G85" t="n">
        <v>1214853</v>
      </c>
      <c r="H85" t="n">
        <v>537666</v>
      </c>
      <c r="I85" t="n">
        <v>275479</v>
      </c>
      <c r="J85" t="n">
        <v>290256</v>
      </c>
      <c r="K85" t="n">
        <v>398407</v>
      </c>
      <c r="O85" s="39">
        <f>SUM(C85:E85)</f>
        <v/>
      </c>
      <c r="P85" s="39">
        <f>SUM(F85:H85)</f>
        <v/>
      </c>
      <c r="Q85" s="39">
        <f>SUM(I85:K85)</f>
        <v/>
      </c>
      <c r="R85" s="39">
        <f>SUM(L85:N85)</f>
        <v/>
      </c>
      <c r="S85" s="11">
        <f>SUM(O85:R85)</f>
        <v/>
      </c>
      <c r="T85" t="n">
        <v>1586</v>
      </c>
      <c r="U85" t="n">
        <v>1778</v>
      </c>
      <c r="V85" t="n">
        <v>2523</v>
      </c>
      <c r="X85" s="39" t="inlineStr">
        <is>
          <t>Надым</t>
        </is>
      </c>
    </row>
    <row r="86">
      <c r="B86" s="39" t="inlineStr">
        <is>
          <t>Ноябрьск</t>
        </is>
      </c>
      <c r="C86" t="n">
        <v>787124</v>
      </c>
      <c r="D86" t="n">
        <v>1364589</v>
      </c>
      <c r="E86" t="n">
        <v>2605034</v>
      </c>
      <c r="F86" t="n">
        <v>3115926</v>
      </c>
      <c r="G86" t="n">
        <v>3005536</v>
      </c>
      <c r="H86" t="n">
        <v>1513416</v>
      </c>
      <c r="I86" t="n">
        <v>689002</v>
      </c>
      <c r="J86" t="n">
        <v>676966</v>
      </c>
      <c r="K86" t="n">
        <v>827122</v>
      </c>
      <c r="O86" s="39">
        <f>SUM(C86:E86)</f>
        <v/>
      </c>
      <c r="P86" s="39">
        <f>SUM(F86:H86)</f>
        <v/>
      </c>
      <c r="Q86" s="39">
        <f>SUM(I86:K86)</f>
        <v/>
      </c>
      <c r="R86" s="39">
        <f>SUM(L86:N86)</f>
        <v/>
      </c>
      <c r="S86" s="11">
        <f>SUM(O86:R86)</f>
        <v/>
      </c>
      <c r="T86" t="n">
        <v>1786</v>
      </c>
      <c r="U86" t="n">
        <v>3068</v>
      </c>
      <c r="V86" t="n">
        <v>3775</v>
      </c>
      <c r="X86" s="39" t="inlineStr">
        <is>
          <t>Ноябрьск</t>
        </is>
      </c>
    </row>
    <row r="87">
      <c r="B87" s="39" t="inlineStr">
        <is>
          <t>ЯМ-Схд</t>
        </is>
      </c>
      <c r="F87" t="n">
        <v>154961</v>
      </c>
      <c r="G87" t="n">
        <v>723289</v>
      </c>
      <c r="H87" t="n">
        <v>648146</v>
      </c>
      <c r="I87" t="n">
        <v>286421</v>
      </c>
      <c r="J87" t="n">
        <v>281724</v>
      </c>
      <c r="K87" t="n">
        <v>395537</v>
      </c>
      <c r="O87" s="39">
        <f>SUM(C87:E87)</f>
        <v/>
      </c>
      <c r="P87" s="39">
        <f>SUM(F87:H87)</f>
        <v/>
      </c>
      <c r="Q87" s="39">
        <f>SUM(I87:K87)</f>
        <v/>
      </c>
      <c r="R87" s="39">
        <f>SUM(L87:N87)</f>
        <v/>
      </c>
      <c r="S87" s="11">
        <f>SUM(O87:R87)</f>
        <v/>
      </c>
      <c r="U87" t="n">
        <v>1203</v>
      </c>
      <c r="V87" t="n">
        <v>1800</v>
      </c>
      <c r="X87" s="39" t="inlineStr">
        <is>
          <t>ЯМ-Схд</t>
        </is>
      </c>
    </row>
    <row r="88">
      <c r="B88" s="39" t="inlineStr">
        <is>
          <t>ЯМ-БПРЛ</t>
        </is>
      </c>
      <c r="F88" t="n">
        <v>126433</v>
      </c>
      <c r="G88" t="n">
        <v>278611</v>
      </c>
      <c r="H88" t="n">
        <v>282863</v>
      </c>
      <c r="I88" t="n">
        <v>136157</v>
      </c>
      <c r="J88" t="n">
        <v>114293</v>
      </c>
      <c r="K88" t="n">
        <v>134702</v>
      </c>
      <c r="O88" s="39">
        <f>SUM(C88:E88)</f>
        <v/>
      </c>
      <c r="P88" s="39">
        <f>SUM(F88:H88)</f>
        <v/>
      </c>
      <c r="Q88" s="39">
        <f>SUM(I88:K88)</f>
        <v/>
      </c>
      <c r="R88" s="39">
        <f>SUM(L88:N88)</f>
        <v/>
      </c>
      <c r="S88" s="11">
        <f>SUM(O88:R88)</f>
        <v/>
      </c>
      <c r="U88" t="n">
        <v>635</v>
      </c>
      <c r="V88" t="n">
        <v>765</v>
      </c>
      <c r="X88" s="39" t="inlineStr">
        <is>
          <t>ЯМ-БПРЛ</t>
        </is>
      </c>
    </row>
    <row r="89">
      <c r="B89" s="39" t="inlineStr">
        <is>
          <t>ЛБТ</t>
        </is>
      </c>
      <c r="C89" t="n">
        <v>70908</v>
      </c>
      <c r="D89" t="n">
        <v>53101</v>
      </c>
      <c r="E89" t="n">
        <v>426694</v>
      </c>
      <c r="F89" t="n">
        <v>213475</v>
      </c>
      <c r="G89" t="n">
        <v>145782</v>
      </c>
      <c r="H89" t="n">
        <v>81223</v>
      </c>
      <c r="I89" t="n">
        <v>49055</v>
      </c>
      <c r="J89" t="n">
        <v>46281</v>
      </c>
      <c r="K89" t="n">
        <v>49426</v>
      </c>
      <c r="O89" s="39">
        <f>SUM(C89:E89)</f>
        <v/>
      </c>
      <c r="P89" s="39">
        <f>SUM(F89:H89)</f>
        <v/>
      </c>
      <c r="Q89" s="39">
        <f>SUM(I89:K89)</f>
        <v/>
      </c>
      <c r="R89" s="39">
        <f>SUM(L89:N89)</f>
        <v/>
      </c>
      <c r="S89" s="11">
        <f>SUM(O89:R89)</f>
        <v/>
      </c>
      <c r="T89" t="n">
        <v>118</v>
      </c>
      <c r="U89" t="n">
        <v>171</v>
      </c>
      <c r="V89" t="n">
        <v>310</v>
      </c>
      <c r="X89" s="39" t="inlineStr">
        <is>
          <t>ЛБТ</t>
        </is>
      </c>
    </row>
    <row r="90">
      <c r="B90" s="39" t="inlineStr">
        <is>
          <t>ПурР</t>
        </is>
      </c>
      <c r="C90" t="n">
        <v>103248</v>
      </c>
      <c r="D90" t="n">
        <v>614828</v>
      </c>
      <c r="E90" t="n">
        <v>1012064</v>
      </c>
      <c r="F90" t="n">
        <v>1469527</v>
      </c>
      <c r="G90" t="n">
        <v>1224055</v>
      </c>
      <c r="H90" t="n">
        <v>589380</v>
      </c>
      <c r="I90" t="n">
        <v>232773</v>
      </c>
      <c r="J90" t="n">
        <v>283746</v>
      </c>
      <c r="K90" t="n">
        <v>280193</v>
      </c>
      <c r="O90" s="39">
        <f>SUM(C90:E90)</f>
        <v/>
      </c>
      <c r="P90" s="39">
        <f>SUM(F90:H90)</f>
        <v/>
      </c>
      <c r="Q90" s="39">
        <f>SUM(I90:K90)</f>
        <v/>
      </c>
      <c r="R90" s="39">
        <f>SUM(L90:N90)</f>
        <v/>
      </c>
      <c r="S90" s="11">
        <f>SUM(O90:R90)</f>
        <v/>
      </c>
      <c r="T90" t="n">
        <v>950</v>
      </c>
      <c r="U90" t="n">
        <v>1511</v>
      </c>
      <c r="V90" t="n">
        <v>1917</v>
      </c>
      <c r="X90" s="39" t="inlineStr">
        <is>
          <t>ПурР</t>
        </is>
      </c>
    </row>
    <row r="91">
      <c r="B91" s="39" t="inlineStr">
        <is>
          <t>ТазР</t>
        </is>
      </c>
      <c r="C91" t="n">
        <v>21993</v>
      </c>
      <c r="D91" t="n">
        <v>52367</v>
      </c>
      <c r="E91" t="n">
        <v>364732</v>
      </c>
      <c r="F91" t="n">
        <v>407019</v>
      </c>
      <c r="G91" t="n">
        <v>268778</v>
      </c>
      <c r="H91" t="n">
        <v>134995</v>
      </c>
      <c r="I91" t="n">
        <v>51231</v>
      </c>
      <c r="J91" t="n">
        <v>51001</v>
      </c>
      <c r="K91" t="n">
        <v>68752</v>
      </c>
      <c r="O91" s="39">
        <f>SUM(C91:E91)</f>
        <v/>
      </c>
      <c r="P91" s="39">
        <f>SUM(F91:H91)</f>
        <v/>
      </c>
      <c r="Q91" s="39">
        <f>SUM(I91:K91)</f>
        <v/>
      </c>
      <c r="R91" s="39">
        <f>SUM(L91:N91)</f>
        <v/>
      </c>
      <c r="S91" s="11">
        <f>SUM(O91:R91)</f>
        <v/>
      </c>
      <c r="T91" t="n">
        <v>187</v>
      </c>
      <c r="U91" t="n">
        <v>370</v>
      </c>
      <c r="V91" t="n">
        <v>531</v>
      </c>
      <c r="X91" s="39" t="inlineStr">
        <is>
          <t>ТазР</t>
        </is>
      </c>
    </row>
    <row r="92">
      <c r="B92" s="39" t="inlineStr">
        <is>
          <t>ЯМ-КСК</t>
        </is>
      </c>
      <c r="E92" t="n">
        <v>558</v>
      </c>
      <c r="F92" t="n">
        <v>197668</v>
      </c>
      <c r="G92" t="n">
        <v>178358</v>
      </c>
      <c r="H92" t="n">
        <v>99568</v>
      </c>
      <c r="I92" t="n">
        <v>57786</v>
      </c>
      <c r="J92" t="n">
        <v>36443</v>
      </c>
      <c r="K92" t="n">
        <v>39010</v>
      </c>
      <c r="O92" s="39">
        <f>SUM(C92:E92)</f>
        <v/>
      </c>
      <c r="P92" s="39">
        <f>SUM(F92:H92)</f>
        <v/>
      </c>
      <c r="Q92" s="39">
        <f>SUM(I92:K92)</f>
        <v/>
      </c>
      <c r="R92" s="39">
        <f>SUM(L92:N92)</f>
        <v/>
      </c>
      <c r="S92" s="11">
        <f>SUM(O92:R92)</f>
        <v/>
      </c>
      <c r="T92" t="n">
        <v>4</v>
      </c>
      <c r="U92" t="n">
        <v>322</v>
      </c>
      <c r="V92" t="n">
        <v>447</v>
      </c>
      <c r="X92" s="39" t="inlineStr">
        <is>
          <t>ЯМ-КСК</t>
        </is>
      </c>
    </row>
    <row r="93">
      <c r="B93" s="39" t="inlineStr">
        <is>
          <t>ЯмР</t>
        </is>
      </c>
      <c r="C93" t="n">
        <v>7770</v>
      </c>
      <c r="D93" t="n">
        <v>30318</v>
      </c>
      <c r="E93" t="n">
        <v>148804</v>
      </c>
      <c r="F93" t="n">
        <v>252516</v>
      </c>
      <c r="G93" t="n">
        <v>176798</v>
      </c>
      <c r="H93" t="n">
        <v>88807</v>
      </c>
      <c r="I93" t="n">
        <v>50697</v>
      </c>
      <c r="J93" t="n">
        <v>47428</v>
      </c>
      <c r="K93" t="n">
        <v>46858</v>
      </c>
      <c r="O93" s="39">
        <f>SUM(C93:E93)</f>
        <v/>
      </c>
      <c r="P93" s="39">
        <f>SUM(F93:H93)</f>
        <v/>
      </c>
      <c r="Q93" s="39">
        <f>SUM(I93:K93)</f>
        <v/>
      </c>
      <c r="R93" s="39">
        <f>SUM(L93:N93)</f>
        <v/>
      </c>
      <c r="S93" s="11">
        <f>SUM(O93:R93)</f>
        <v/>
      </c>
      <c r="T93" t="n">
        <v>184</v>
      </c>
      <c r="U93" t="n">
        <v>395</v>
      </c>
      <c r="V93" t="n">
        <v>451</v>
      </c>
      <c r="X93" s="39" t="inlineStr">
        <is>
          <t>ЯмР</t>
        </is>
      </c>
    </row>
    <row r="94">
      <c r="B94" s="39" t="inlineStr">
        <is>
          <t>ШурР</t>
        </is>
      </c>
      <c r="C94" t="n">
        <v>188967</v>
      </c>
      <c r="D94" t="n">
        <v>485287</v>
      </c>
      <c r="E94" t="n">
        <v>779843</v>
      </c>
      <c r="F94" t="n">
        <v>901084</v>
      </c>
      <c r="G94" t="n">
        <v>704664</v>
      </c>
      <c r="H94" t="n">
        <v>377898</v>
      </c>
      <c r="I94" t="n">
        <v>159993</v>
      </c>
      <c r="J94" t="n">
        <v>147207</v>
      </c>
      <c r="K94" t="n">
        <v>168103</v>
      </c>
      <c r="O94" s="39">
        <f>SUM(C94:E94)</f>
        <v/>
      </c>
      <c r="P94" s="39">
        <f>SUM(F94:H94)</f>
        <v/>
      </c>
      <c r="Q94" s="39">
        <f>SUM(I94:K94)</f>
        <v/>
      </c>
      <c r="R94" s="39">
        <f>SUM(L94:N94)</f>
        <v/>
      </c>
      <c r="S94" s="11">
        <f>SUM(O94:R94)</f>
        <v/>
      </c>
      <c r="T94" t="n">
        <v>811</v>
      </c>
      <c r="U94" t="n">
        <v>1330</v>
      </c>
      <c r="V94" t="n">
        <v>1490</v>
      </c>
      <c r="X94" s="39" t="inlineStr">
        <is>
          <t>ШурР</t>
        </is>
      </c>
    </row>
    <row r="95">
      <c r="B95" s="39" t="inlineStr">
        <is>
          <t>Мур-ко</t>
        </is>
      </c>
      <c r="C95" t="n">
        <v>372618</v>
      </c>
      <c r="D95" t="n">
        <v>789844</v>
      </c>
      <c r="E95" t="n">
        <v>1353197</v>
      </c>
      <c r="F95" t="n">
        <v>1952066</v>
      </c>
      <c r="G95" t="n">
        <v>1722783</v>
      </c>
      <c r="H95" t="n">
        <v>901017</v>
      </c>
      <c r="I95" t="n">
        <v>344223</v>
      </c>
      <c r="J95" t="n">
        <v>351420</v>
      </c>
      <c r="K95" t="n">
        <v>431016</v>
      </c>
      <c r="O95" s="39">
        <f>SUM(C95:E95)</f>
        <v/>
      </c>
      <c r="P95" s="39">
        <f>SUM(F95:H95)</f>
        <v/>
      </c>
      <c r="Q95" s="39">
        <f>SUM(I95:K95)</f>
        <v/>
      </c>
      <c r="R95" s="39">
        <f>SUM(L95:N95)</f>
        <v/>
      </c>
      <c r="S95" s="11">
        <f>SUM(O95:R95)</f>
        <v/>
      </c>
      <c r="T95" t="n">
        <v>1069</v>
      </c>
      <c r="U95" t="n">
        <v>1951</v>
      </c>
      <c r="V95" t="n">
        <v>2647</v>
      </c>
      <c r="X95" s="39" t="inlineStr">
        <is>
          <t>Мур-ко</t>
        </is>
      </c>
    </row>
    <row r="96">
      <c r="B96" s="39" t="inlineStr">
        <is>
          <t>Губ-й</t>
        </is>
      </c>
      <c r="C96" t="n">
        <v>27635</v>
      </c>
      <c r="D96" t="n">
        <v>101446</v>
      </c>
      <c r="E96" t="n">
        <v>334869</v>
      </c>
      <c r="F96" t="n">
        <v>361394</v>
      </c>
      <c r="G96" t="n">
        <v>284599</v>
      </c>
      <c r="H96" t="n">
        <v>142343</v>
      </c>
      <c r="I96" t="n">
        <v>106387</v>
      </c>
      <c r="J96" t="n">
        <v>169712</v>
      </c>
      <c r="K96" t="n">
        <v>205293</v>
      </c>
      <c r="O96" s="39">
        <f>SUM(C96:E96)</f>
        <v/>
      </c>
      <c r="P96" s="39">
        <f>SUM(F96:H96)</f>
        <v/>
      </c>
      <c r="Q96" s="39">
        <f>SUM(I96:K96)</f>
        <v/>
      </c>
      <c r="R96" s="39">
        <f>SUM(L96:N96)</f>
        <v/>
      </c>
      <c r="S96" s="11">
        <f>SUM(O96:R96)</f>
        <v/>
      </c>
      <c r="T96" t="n">
        <v>370</v>
      </c>
      <c r="U96" t="n">
        <v>629</v>
      </c>
      <c r="V96" t="n">
        <v>1216</v>
      </c>
      <c r="X96" s="39" t="inlineStr">
        <is>
          <t>Губ-й</t>
        </is>
      </c>
    </row>
    <row r="97" ht="28.9" customHeight="1">
      <c r="B97" s="12" t="n"/>
      <c r="N97" s="6" t="inlineStr">
        <is>
          <t>сумма по максу</t>
        </is>
      </c>
      <c r="O97" s="48">
        <f>SUM(O77:O96)</f>
        <v/>
      </c>
      <c r="P97" s="48">
        <f>SUM(P77:P96)</f>
        <v/>
      </c>
      <c r="Q97" s="48">
        <f>SUM(Q77:Q96)</f>
        <v/>
      </c>
      <c r="R97" s="48">
        <f>SUM(R77:R96)</f>
        <v/>
      </c>
      <c r="S97" s="11">
        <f>SUM(O97:R97)</f>
        <v/>
      </c>
      <c r="T97" s="48">
        <f>SUM(T77:T96)</f>
        <v/>
      </c>
      <c r="U97" s="48">
        <f>SUM(U77:U96)</f>
        <v/>
      </c>
      <c r="V97" s="48">
        <f>SUM(V77:V96)</f>
        <v/>
      </c>
      <c r="W97" s="48">
        <f>SUM(W77:W96)</f>
        <v/>
      </c>
      <c r="X97" s="48" t="n"/>
    </row>
    <row r="98" ht="72" customHeight="1">
      <c r="N98" s="9" t="inlineStr">
        <is>
          <t>общие показатели с телеграмом</t>
        </is>
      </c>
      <c r="O98" s="11">
        <f>SUM(O97+O74)</f>
        <v/>
      </c>
      <c r="P98" s="11">
        <f>SUM(P97+P74)</f>
        <v/>
      </c>
      <c r="Q98" s="11">
        <f>SUM(Q97+Q74)</f>
        <v/>
      </c>
      <c r="R98" s="11">
        <f>SUM(R97+R74)</f>
        <v/>
      </c>
      <c r="S98" s="11">
        <f>SUM(O98:R98)</f>
        <v/>
      </c>
      <c r="T98" s="11">
        <f>SUM(T74+T97)</f>
        <v/>
      </c>
      <c r="U98" s="11">
        <f>SUM(U74+U97)</f>
        <v/>
      </c>
      <c r="V98" s="11">
        <f>SUM(V74+V97)</f>
        <v/>
      </c>
      <c r="W98" s="11">
        <f>SUM(W74+W97)</f>
        <v/>
      </c>
      <c r="X98" s="11" t="n"/>
    </row>
  </sheetData>
  <pageMargins left="0.7" right="0.7" top="0.75" bottom="0.75" header="0.3" footer="0.3"/>
  <pageSetup orientation="portrait" paperSize="9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44"/>
  <sheetViews>
    <sheetView workbookViewId="0">
      <selection activeCell="A20" sqref="A20"/>
    </sheetView>
  </sheetViews>
  <sheetFormatPr baseColWidth="8" defaultRowHeight="14.25"/>
  <cols>
    <col width="8.86328125" customWidth="1" style="39" min="1" max="1"/>
    <col width="18" customWidth="1" style="39" min="2" max="2"/>
    <col width="10.1328125" bestFit="1" customWidth="1" style="39" min="3" max="3"/>
    <col width="10.1328125" bestFit="1" customWidth="1" min="4" max="4"/>
    <col width="8.86328125" customWidth="1" style="39" min="5" max="5"/>
    <col width="10.265625" bestFit="1" customWidth="1" style="28" min="6" max="6"/>
    <col width="9.265625" customWidth="1" style="39" min="7" max="7"/>
    <col width="8.86328125" customWidth="1" style="39" min="8" max="9"/>
    <col width="11.73046875" customWidth="1" style="39" min="10" max="10"/>
    <col width="8.86328125" customWidth="1" style="39" min="11" max="15"/>
    <col width="17.1328125" customWidth="1" style="39" min="16" max="19"/>
    <col width="16.3984375" customWidth="1" style="39" min="20" max="20"/>
    <col width="14.1328125" customWidth="1" style="39" min="21" max="21"/>
    <col width="9.86328125" bestFit="1" customWidth="1" style="39" min="22" max="22"/>
    <col width="9.73046875" customWidth="1" style="39" min="23" max="23"/>
    <col width="9.86328125" bestFit="1" customWidth="1" style="39" min="24" max="24"/>
    <col width="8.86328125" customWidth="1" style="39" min="25" max="27"/>
  </cols>
  <sheetData>
    <row r="1">
      <c r="D1" s="39" t="n"/>
    </row>
    <row r="2" ht="72" customHeight="1">
      <c r="C2" s="27" t="n">
        <v>45657</v>
      </c>
      <c r="D2" s="27" t="n">
        <v>45870</v>
      </c>
      <c r="E2" s="12" t="inlineStr">
        <is>
          <t>прирост в натуральных числах</t>
        </is>
      </c>
      <c r="F2" s="33" t="inlineStr">
        <is>
          <t>прирост в % к 1 января</t>
        </is>
      </c>
      <c r="G2" s="12" t="inlineStr">
        <is>
          <t>процент от общего числа на 1 августа</t>
        </is>
      </c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</row>
    <row r="3">
      <c r="D3" s="39" t="n"/>
    </row>
    <row r="4">
      <c r="A4" s="39" t="inlineStr">
        <is>
          <t>ВК</t>
        </is>
      </c>
      <c r="B4" s="39" t="inlineStr">
        <is>
          <t>Ям вк</t>
        </is>
      </c>
      <c r="C4" s="39" t="n">
        <v>77967</v>
      </c>
      <c r="D4" s="39" t="n">
        <v>80879</v>
      </c>
      <c r="E4" s="39">
        <f>D4-C4</f>
        <v/>
      </c>
      <c r="F4" s="28">
        <f>(D4*100/C4)-100</f>
        <v/>
      </c>
      <c r="G4" s="28">
        <f>E4/D4*100</f>
        <v/>
      </c>
      <c r="T4" s="45" t="n"/>
      <c r="U4" s="45" t="n"/>
      <c r="W4" s="45" t="n"/>
      <c r="X4" s="45" t="n"/>
    </row>
    <row r="5">
      <c r="B5" s="39" t="inlineStr">
        <is>
          <t>СП вк</t>
        </is>
      </c>
      <c r="C5" s="39" t="n">
        <v>25016</v>
      </c>
      <c r="D5" s="39" t="n">
        <v>26693</v>
      </c>
      <c r="E5" s="39">
        <f>D5-C5</f>
        <v/>
      </c>
      <c r="F5" s="28">
        <f>(D5*100/C5)-100</f>
        <v/>
      </c>
      <c r="G5" s="28">
        <f>E5/D5*100</f>
        <v/>
      </c>
      <c r="T5" s="45" t="n"/>
      <c r="U5" s="45" t="n"/>
      <c r="W5" s="45" t="n"/>
      <c r="X5" s="45" t="n"/>
    </row>
    <row r="6">
      <c r="B6" s="39" t="inlineStr">
        <is>
          <t>Лента СП ВК</t>
        </is>
      </c>
      <c r="C6" s="39" t="n">
        <v>4996</v>
      </c>
      <c r="D6" s="39" t="n">
        <v>4994</v>
      </c>
      <c r="E6" s="39">
        <f>D6-C6</f>
        <v/>
      </c>
      <c r="F6" s="28">
        <f>(D6*100/C6)-100</f>
        <v/>
      </c>
      <c r="G6" s="28">
        <f>E6/D6*100</f>
        <v/>
      </c>
      <c r="T6" s="45" t="n"/>
      <c r="U6" s="45" t="n"/>
      <c r="W6" s="45" t="n"/>
      <c r="X6" s="45" t="n"/>
    </row>
    <row r="7">
      <c r="B7" s="39" t="inlineStr">
        <is>
          <t>КС вк</t>
        </is>
      </c>
      <c r="C7" s="39" t="n">
        <v>23221</v>
      </c>
      <c r="D7" s="39" t="n">
        <v>23389</v>
      </c>
      <c r="E7" s="39">
        <f>D7-C7</f>
        <v/>
      </c>
      <c r="F7" s="28">
        <f>(D7*100/C7)-100</f>
        <v/>
      </c>
      <c r="G7" s="28">
        <f>E7/D7*100</f>
        <v/>
      </c>
      <c r="T7" s="45" t="n"/>
      <c r="U7" s="45" t="n"/>
      <c r="W7" s="45" t="n"/>
      <c r="X7" s="45" t="n"/>
    </row>
    <row r="8">
      <c r="A8" s="13" t="n"/>
      <c r="B8" s="13" t="inlineStr">
        <is>
          <t xml:space="preserve">Неолени </t>
        </is>
      </c>
      <c r="C8" s="21" t="n">
        <v>10303</v>
      </c>
      <c r="D8" s="21" t="n">
        <v>11458</v>
      </c>
      <c r="E8" s="13">
        <f>D8-C8</f>
        <v/>
      </c>
      <c r="F8" s="34">
        <f>(D8*100/C8)-100</f>
        <v/>
      </c>
      <c r="G8" s="34">
        <f>E8/D8*100</f>
        <v/>
      </c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21" t="n"/>
      <c r="U8" s="21" t="n"/>
      <c r="V8" s="13" t="n"/>
      <c r="W8" s="21" t="n"/>
      <c r="X8" s="21" t="n"/>
      <c r="Y8" s="21" t="n"/>
      <c r="Z8" s="21" t="n"/>
      <c r="AA8" s="21" t="n"/>
    </row>
    <row r="9">
      <c r="A9" s="23" t="n"/>
      <c r="B9" s="23" t="inlineStr">
        <is>
          <t>этноарктика</t>
        </is>
      </c>
      <c r="C9" s="24" t="n">
        <v>7946</v>
      </c>
      <c r="D9" s="24" t="n">
        <v>9870</v>
      </c>
      <c r="E9" s="35">
        <f>D9-C9</f>
        <v/>
      </c>
      <c r="F9" s="36">
        <f>(D9*100/C9)-100</f>
        <v/>
      </c>
      <c r="G9" s="36">
        <f>E9/D9*100</f>
        <v/>
      </c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4" t="n"/>
      <c r="U9" s="24" t="n"/>
      <c r="V9" s="23" t="n"/>
      <c r="W9" s="24" t="n"/>
      <c r="X9" s="24" t="n"/>
      <c r="Y9" s="24" t="n"/>
      <c r="Z9" s="24" t="n"/>
      <c r="AA9" s="24" t="n"/>
    </row>
    <row r="10">
      <c r="A10" s="15" t="n"/>
      <c r="B10" s="15" t="inlineStr">
        <is>
          <t>ЗажгиФАкел</t>
        </is>
      </c>
      <c r="C10" s="22" t="n">
        <v>7705</v>
      </c>
      <c r="D10" s="22" t="n">
        <v>8136</v>
      </c>
      <c r="E10" s="15">
        <f>D10-C10</f>
        <v/>
      </c>
      <c r="F10" s="37">
        <f>(D10*100/C10)-100</f>
        <v/>
      </c>
      <c r="G10" s="37">
        <f>E10/D10*100</f>
        <v/>
      </c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22" t="n"/>
      <c r="U10" s="22" t="n"/>
      <c r="V10" s="15" t="n"/>
      <c r="W10" s="22" t="n"/>
      <c r="X10" s="22" t="n"/>
      <c r="Y10" s="22" t="n"/>
      <c r="Z10" s="15" t="n"/>
      <c r="AA10" s="22" t="n"/>
    </row>
    <row r="11">
      <c r="B11" s="39" t="inlineStr">
        <is>
          <t>Нярьяна Нгэрм</t>
        </is>
      </c>
      <c r="C11" s="45" t="n">
        <v>4764</v>
      </c>
      <c r="D11" s="45" t="n">
        <v>5504</v>
      </c>
      <c r="E11" s="39">
        <f>D11-C11</f>
        <v/>
      </c>
      <c r="F11" s="28">
        <f>(D11*100/C11)-100</f>
        <v/>
      </c>
      <c r="G11" s="28">
        <f>E11/D11*100</f>
        <v/>
      </c>
      <c r="T11" s="45" t="n"/>
      <c r="U11" s="45" t="n"/>
      <c r="W11" s="45" t="n"/>
      <c r="X11" s="45" t="n"/>
      <c r="Y11" s="45" t="n"/>
      <c r="AA11" s="45" t="n"/>
    </row>
    <row r="12">
      <c r="B12" s="16" t="inlineStr">
        <is>
          <t>Лух Авт</t>
        </is>
      </c>
      <c r="C12" s="45" t="n">
        <v>1953</v>
      </c>
      <c r="D12" s="45" t="n">
        <v>2215</v>
      </c>
      <c r="E12" s="39">
        <f>D12-C12</f>
        <v/>
      </c>
      <c r="F12" s="28">
        <f>(D12*100/C12)-100</f>
        <v/>
      </c>
      <c r="G12" s="28">
        <f>E12/D12*100</f>
        <v/>
      </c>
      <c r="T12" s="45" t="n"/>
      <c r="U12" s="45" t="n"/>
      <c r="W12" s="45" t="n"/>
      <c r="X12" s="45" t="n"/>
      <c r="Y12" s="45" t="n"/>
      <c r="AA12" s="45" t="n"/>
    </row>
    <row r="13">
      <c r="B13" s="39" t="inlineStr">
        <is>
          <t>Ямальский меридиан</t>
        </is>
      </c>
      <c r="C13" s="45" t="n">
        <v>4019</v>
      </c>
      <c r="D13" s="45" t="n">
        <v>5346</v>
      </c>
      <c r="E13" s="39">
        <f>D13-C13</f>
        <v/>
      </c>
      <c r="F13" s="28">
        <f>(D13*100/C13)-100</f>
        <v/>
      </c>
      <c r="G13" s="28">
        <f>E13/D13*100</f>
        <v/>
      </c>
      <c r="T13" s="45" t="n"/>
      <c r="U13" s="45" t="n"/>
      <c r="W13" s="45" t="n"/>
      <c r="X13" s="45" t="n"/>
      <c r="Y13" s="45" t="n"/>
      <c r="AA13" s="45" t="n"/>
    </row>
    <row r="14">
      <c r="A14" s="17" t="inlineStr">
        <is>
          <t>ОК</t>
        </is>
      </c>
      <c r="B14" s="17" t="inlineStr">
        <is>
          <t>ЯМ ок</t>
        </is>
      </c>
      <c r="C14" s="17" t="n">
        <v>29266</v>
      </c>
      <c r="D14" s="17" t="n">
        <v>30571</v>
      </c>
      <c r="E14" s="17">
        <f>D14-C14</f>
        <v/>
      </c>
      <c r="F14" s="38">
        <f>(D14*100/C14)-100</f>
        <v/>
      </c>
      <c r="G14" s="38">
        <f>E14/D14*100</f>
        <v/>
      </c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8" t="n"/>
      <c r="U14" s="18" t="n"/>
      <c r="V14" s="18" t="n"/>
      <c r="W14" s="18" t="n"/>
      <c r="X14" s="18" t="n"/>
      <c r="Y14" s="17" t="n"/>
      <c r="Z14" s="17" t="n"/>
      <c r="AA14" s="17" t="n"/>
    </row>
    <row r="15">
      <c r="A15" s="17" t="n"/>
      <c r="B15" s="17" t="inlineStr">
        <is>
          <t>СП ок</t>
        </is>
      </c>
      <c r="C15" s="17" t="n">
        <v>19818</v>
      </c>
      <c r="D15" s="17" t="n">
        <v>20749</v>
      </c>
      <c r="E15" s="17">
        <f>D15-C15</f>
        <v/>
      </c>
      <c r="F15" s="38">
        <f>(D15*100/C15)-100</f>
        <v/>
      </c>
      <c r="G15" s="38">
        <f>E15/D15*100</f>
        <v/>
      </c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8" t="n"/>
      <c r="U15" s="18" t="n"/>
      <c r="V15" s="18" t="n"/>
      <c r="W15" s="18" t="n"/>
      <c r="X15" s="18" t="n"/>
      <c r="Y15" s="17" t="n"/>
      <c r="Z15" s="17" t="n"/>
      <c r="AA15" s="17" t="n"/>
    </row>
    <row r="16">
      <c r="A16" s="17" t="n"/>
      <c r="B16" s="17" t="inlineStr">
        <is>
          <t>Кс ок</t>
        </is>
      </c>
      <c r="C16" s="17" t="n">
        <v>8292</v>
      </c>
      <c r="D16" s="17" t="n">
        <v>8620</v>
      </c>
      <c r="E16" s="17">
        <f>D16-C16</f>
        <v/>
      </c>
      <c r="F16" s="38">
        <f>(D16*100/C16)-100</f>
        <v/>
      </c>
      <c r="G16" s="38">
        <f>E16/D16*100</f>
        <v/>
      </c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8" t="n"/>
      <c r="U16" s="19" t="n"/>
      <c r="V16" s="18" t="n"/>
      <c r="W16" s="18" t="n"/>
      <c r="X16" s="18" t="n"/>
      <c r="Y16" s="17" t="n"/>
      <c r="Z16" s="18" t="n"/>
      <c r="AA16" s="17" t="n"/>
    </row>
    <row r="17">
      <c r="A17" s="17" t="n"/>
      <c r="B17" s="17" t="inlineStr">
        <is>
          <t>Нярьяна Нгэрм</t>
        </is>
      </c>
      <c r="C17" s="17" t="n">
        <v>694</v>
      </c>
      <c r="D17" s="17" t="n">
        <v>774</v>
      </c>
      <c r="E17" s="17">
        <f>D17-C17</f>
        <v/>
      </c>
      <c r="F17" s="38">
        <f>(D17*100/C17)-100</f>
        <v/>
      </c>
      <c r="G17" s="38">
        <f>E17/D17*100</f>
        <v/>
      </c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8" t="n"/>
      <c r="U17" s="19" t="n"/>
      <c r="V17" s="18" t="n"/>
      <c r="W17" s="18" t="n"/>
      <c r="X17" s="18" t="n"/>
      <c r="Y17" s="17" t="n"/>
      <c r="Z17" s="18" t="n"/>
      <c r="AA17" s="17" t="n"/>
    </row>
    <row r="18">
      <c r="A18" s="17" t="n"/>
      <c r="B18" s="20" t="inlineStr">
        <is>
          <t>Лух Авт</t>
        </is>
      </c>
      <c r="C18" s="17" t="n">
        <v>703</v>
      </c>
      <c r="D18" s="17" t="n">
        <v>740</v>
      </c>
      <c r="E18" s="17">
        <f>D18-C18</f>
        <v/>
      </c>
      <c r="F18" s="38">
        <f>(D18*100/C18)-100</f>
        <v/>
      </c>
      <c r="G18" s="38">
        <f>E18/D18*100</f>
        <v/>
      </c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8" t="n"/>
      <c r="U18" s="19" t="n"/>
      <c r="V18" s="18" t="n"/>
      <c r="W18" s="18" t="n"/>
      <c r="X18" s="18" t="n"/>
      <c r="Y18" s="17" t="n"/>
      <c r="Z18" s="18" t="n"/>
      <c r="AA18" s="17" t="n"/>
    </row>
    <row r="19">
      <c r="A19" s="39" t="inlineStr">
        <is>
          <t>Тг</t>
        </is>
      </c>
      <c r="B19" s="39" t="inlineStr">
        <is>
          <t>ЯМ тг</t>
        </is>
      </c>
      <c r="C19" s="39" t="n">
        <v>10694</v>
      </c>
      <c r="D19" s="39" t="n">
        <v>11827</v>
      </c>
      <c r="E19" s="39">
        <f>D19-C19</f>
        <v/>
      </c>
      <c r="F19" s="28">
        <f>(D19*100/C19)-100</f>
        <v/>
      </c>
      <c r="G19" s="28">
        <f>E19/D19*100</f>
        <v/>
      </c>
    </row>
    <row r="20">
      <c r="B20" s="39" t="inlineStr">
        <is>
          <t>Сп тг</t>
        </is>
      </c>
      <c r="C20" s="39" t="n">
        <v>4772</v>
      </c>
      <c r="D20" s="39" t="n">
        <v>5014</v>
      </c>
      <c r="E20" s="39">
        <f>D20-C20</f>
        <v/>
      </c>
      <c r="F20" s="28">
        <f>(D20*100/C20)-100</f>
        <v/>
      </c>
      <c r="G20" s="28">
        <f>E20/D20*100</f>
        <v/>
      </c>
      <c r="J20" s="45" t="n"/>
    </row>
    <row r="21">
      <c r="B21" s="39" t="inlineStr">
        <is>
          <t>КС тг</t>
        </is>
      </c>
      <c r="C21" s="39" t="n">
        <v>957</v>
      </c>
      <c r="D21" s="39" t="n">
        <v>915</v>
      </c>
      <c r="E21" s="39">
        <f>D21-C21</f>
        <v/>
      </c>
      <c r="F21" s="28">
        <f>(D21*100/C21)-100</f>
        <v/>
      </c>
      <c r="G21" s="28">
        <f>E21/D21*100</f>
        <v/>
      </c>
      <c r="J21" s="45" t="n"/>
      <c r="T21" s="12" t="n"/>
      <c r="U21" s="12" t="n"/>
      <c r="V21" s="12" t="n"/>
      <c r="W21" s="12" t="n"/>
      <c r="X21" s="12" t="n"/>
      <c r="Y21" s="12" t="n"/>
      <c r="Z21" s="12" t="n"/>
      <c r="AA21" s="12" t="n"/>
    </row>
    <row r="22">
      <c r="B22" s="39" t="inlineStr">
        <is>
          <t>НеОлениПишут тг</t>
        </is>
      </c>
      <c r="C22" s="39" t="n">
        <v>2519</v>
      </c>
      <c r="D22" s="39" t="n">
        <v>2537</v>
      </c>
      <c r="E22" s="39">
        <f>D22-C22</f>
        <v/>
      </c>
      <c r="F22" s="28">
        <f>(D22*100/C22)-100</f>
        <v/>
      </c>
      <c r="G22" s="28">
        <f>E22/D22*100</f>
        <v/>
      </c>
      <c r="X22" s="45" t="n"/>
    </row>
    <row r="23">
      <c r="A23" s="31" t="inlineStr">
        <is>
          <t>Рутуб</t>
        </is>
      </c>
      <c r="B23" s="31" t="inlineStr">
        <is>
          <t>Ямал-Медиа</t>
        </is>
      </c>
      <c r="C23" s="31">
        <f>D23-2252</f>
        <v/>
      </c>
      <c r="D23" s="31" t="n">
        <v>5434</v>
      </c>
      <c r="E23" s="31">
        <f>D23-C23</f>
        <v/>
      </c>
      <c r="F23" s="32">
        <f>(D23*100/C23)-100</f>
        <v/>
      </c>
      <c r="G23" s="32">
        <f>E23/D23*100</f>
        <v/>
      </c>
    </row>
    <row r="24">
      <c r="A24" s="31" t="n"/>
      <c r="B24" s="31" t="inlineStr">
        <is>
          <t>Новости Ямала</t>
        </is>
      </c>
      <c r="C24" s="31" t="n">
        <v>1161</v>
      </c>
      <c r="D24" s="31" t="n">
        <v>1531</v>
      </c>
      <c r="E24" s="31">
        <f>D24-C24</f>
        <v/>
      </c>
      <c r="F24" s="32">
        <f>(D24*100/C24)-100</f>
        <v/>
      </c>
      <c r="G24" s="32">
        <f>E24/D24*100</f>
        <v/>
      </c>
      <c r="X24" s="45" t="n"/>
    </row>
    <row r="25">
      <c r="A25" s="39" t="inlineStr">
        <is>
          <t>Ютуб</t>
        </is>
      </c>
      <c r="B25" s="12" t="inlineStr">
        <is>
          <t>Новости Ямала</t>
        </is>
      </c>
      <c r="C25" s="39" t="n">
        <v>99386</v>
      </c>
      <c r="D25" s="39" t="n">
        <v>109163</v>
      </c>
      <c r="E25" s="39">
        <f>D25-C25</f>
        <v/>
      </c>
      <c r="F25" s="28">
        <f>(D25*100/C25)-100</f>
        <v/>
      </c>
      <c r="G25" s="28">
        <f>E25/D25*100</f>
        <v/>
      </c>
      <c r="X25" s="45" t="n"/>
    </row>
    <row r="26">
      <c r="B26" s="12" t="inlineStr">
        <is>
          <t>Север-Пресс</t>
        </is>
      </c>
      <c r="C26" s="39" t="n">
        <v>225714</v>
      </c>
      <c r="D26" s="39" t="n">
        <v>233998</v>
      </c>
      <c r="E26" s="39">
        <f>D26-C26</f>
        <v/>
      </c>
      <c r="F26" s="28">
        <f>(D26*100/C26)-100</f>
        <v/>
      </c>
      <c r="G26" s="28">
        <f>E26/D26*100</f>
        <v/>
      </c>
      <c r="X26" s="45" t="n"/>
    </row>
    <row r="27">
      <c r="B27" s="12" t="inlineStr">
        <is>
          <t>Красный Север</t>
        </is>
      </c>
      <c r="C27" s="39" t="n">
        <v>89608</v>
      </c>
      <c r="D27" s="39" t="n">
        <v>91175</v>
      </c>
      <c r="E27" s="39">
        <f>D27-C27</f>
        <v/>
      </c>
      <c r="F27" s="28">
        <f>(D27*100/C27)-100</f>
        <v/>
      </c>
      <c r="G27" s="28">
        <f>E27/D27*100</f>
        <v/>
      </c>
      <c r="O27" s="12" t="n"/>
    </row>
    <row r="28" ht="28.9" customHeight="1">
      <c r="B28" s="12" t="inlineStr">
        <is>
          <t>Ямал-Медиа (НОВЫЙ)</t>
        </is>
      </c>
      <c r="C28" s="39" t="n">
        <v>1</v>
      </c>
      <c r="D28" s="39" t="n">
        <v>42922</v>
      </c>
      <c r="E28" s="39">
        <f>D28-C28</f>
        <v/>
      </c>
      <c r="F28" s="28">
        <f>(D28*100/C28)-100</f>
        <v/>
      </c>
      <c r="G28" s="28">
        <f>E28/D28*100</f>
        <v/>
      </c>
      <c r="O28" s="12" t="n"/>
      <c r="T28" s="45" t="n"/>
      <c r="U28" s="45" t="n"/>
      <c r="V28" s="45" t="n"/>
      <c r="W28" s="45" t="n"/>
      <c r="X28" s="45" t="n"/>
      <c r="AA28" s="45" t="n"/>
    </row>
    <row r="29">
      <c r="A29" s="29" t="inlineStr">
        <is>
          <t>Дзен</t>
        </is>
      </c>
      <c r="B29" s="29" t="inlineStr">
        <is>
          <t>Красный Север</t>
        </is>
      </c>
      <c r="C29" s="29" t="n">
        <v>8264</v>
      </c>
      <c r="D29" s="29" t="n">
        <v>8488</v>
      </c>
      <c r="E29" s="29">
        <f>D29-C29</f>
        <v/>
      </c>
      <c r="F29" s="30">
        <f>(D29*100/C29)-100</f>
        <v/>
      </c>
      <c r="G29" s="30">
        <f>E29/D29*100</f>
        <v/>
      </c>
    </row>
    <row r="30">
      <c r="A30" s="29" t="n"/>
      <c r="B30" s="29" t="inlineStr">
        <is>
          <t>Время новостей</t>
        </is>
      </c>
      <c r="C30" s="29" t="n">
        <v>22796</v>
      </c>
      <c r="D30" s="29" t="n">
        <v>29090</v>
      </c>
      <c r="E30" s="29">
        <f>D30-C30</f>
        <v/>
      </c>
      <c r="F30" s="30">
        <f>(D30*100/C30)-100</f>
        <v/>
      </c>
      <c r="G30" s="30">
        <f>E30/D30*100</f>
        <v/>
      </c>
    </row>
    <row r="31">
      <c r="A31" s="29" t="n"/>
      <c r="B31" s="29" t="inlineStr">
        <is>
          <t>Ямал-Медиа</t>
        </is>
      </c>
      <c r="C31" s="29" t="n">
        <v>54739</v>
      </c>
      <c r="D31" s="29" t="n">
        <v>72763</v>
      </c>
      <c r="E31" s="29">
        <f>D31-C31</f>
        <v/>
      </c>
      <c r="F31" s="30">
        <f>(D31*100/C31)-100</f>
        <v/>
      </c>
      <c r="G31" s="30">
        <f>E31/D31*100</f>
        <v/>
      </c>
    </row>
    <row r="32">
      <c r="A32" s="29" t="n"/>
      <c r="B32" s="29" t="inlineStr">
        <is>
          <t>Север-Пресс</t>
        </is>
      </c>
      <c r="C32" s="29" t="n">
        <v>7131</v>
      </c>
      <c r="D32" s="29" t="n">
        <v>7910</v>
      </c>
      <c r="E32" s="29">
        <f>D32-C32</f>
        <v/>
      </c>
      <c r="F32" s="30">
        <f>(D32*100/C32)-100</f>
        <v/>
      </c>
      <c r="G32" s="30">
        <f>E32/D32*100</f>
        <v/>
      </c>
    </row>
    <row r="33">
      <c r="B33" s="39" t="inlineStr">
        <is>
          <t>Итого</t>
        </is>
      </c>
      <c r="C33" s="39">
        <f>SUM(C4:C32)</f>
        <v/>
      </c>
      <c r="D33" s="39">
        <f>SUM(D4:D32)</f>
        <v/>
      </c>
      <c r="E33" s="39">
        <f>SUM(E4:E32)</f>
        <v/>
      </c>
      <c r="F33" s="28">
        <f>(D33*100/C33)-100</f>
        <v/>
      </c>
      <c r="G33" s="28">
        <f>E33/D33*100</f>
        <v/>
      </c>
    </row>
    <row r="34">
      <c r="D34" s="39" t="n"/>
    </row>
    <row r="35">
      <c r="D35" s="39" t="n"/>
    </row>
    <row r="36">
      <c r="D36" s="39" t="n"/>
    </row>
    <row r="37">
      <c r="D37" s="39" t="n"/>
    </row>
    <row r="38">
      <c r="D38" s="39" t="n"/>
    </row>
    <row r="39">
      <c r="D39" s="39" t="n"/>
    </row>
    <row r="40">
      <c r="D40" s="39" t="n"/>
    </row>
    <row r="41">
      <c r="D41" s="39" t="n"/>
    </row>
    <row r="42">
      <c r="D42" s="39" t="n"/>
    </row>
    <row r="43">
      <c r="D43" s="39" t="n"/>
    </row>
    <row r="44">
      <c r="D44" s="3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Дмитрий Зубков</dc:creator>
  <dcterms:created xmlns:dcterms="http://purl.org/dc/terms/" xmlns:xsi="http://www.w3.org/2001/XMLSchema-instance" xsi:type="dcterms:W3CDTF">2023-12-27T04:57:57Z</dcterms:created>
  <dcterms:modified xmlns:dcterms="http://purl.org/dc/terms/" xmlns:xsi="http://www.w3.org/2001/XMLSchema-instance" xsi:type="dcterms:W3CDTF">2026-10-02T04:40:43Z</dcterms:modified>
  <cp:lastModifiedBy>admin</cp:lastModifiedBy>
</cp:coreProperties>
</file>