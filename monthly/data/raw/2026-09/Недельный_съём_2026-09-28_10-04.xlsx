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19185" windowHeight="7170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28.09-04.10" sheetId="2" state="visible" r:id="rId2"/>
    <sheet xmlns:r="http://schemas.openxmlformats.org/officeDocument/2006/relationships" name="21-27.09" sheetId="3" state="visible" r:id="rId3"/>
    <sheet xmlns:r="http://schemas.openxmlformats.org/officeDocument/2006/relationships" name="14-20.09" sheetId="4" state="visible" r:id="rId4"/>
    <sheet xmlns:r="http://schemas.openxmlformats.org/officeDocument/2006/relationships" name="07-13.09" sheetId="5" state="visible" r:id="rId5"/>
    <sheet xmlns:r="http://schemas.openxmlformats.org/officeDocument/2006/relationships" name="31.08-06.09" sheetId="6" state="visible" r:id="rId6"/>
    <sheet xmlns:r="http://schemas.openxmlformats.org/officeDocument/2006/relationships" name="24-30.08" sheetId="7" state="visible" r:id="rId7"/>
    <sheet xmlns:r="http://schemas.openxmlformats.org/officeDocument/2006/relationships" name="Редакции" sheetId="8" state="visible" r:id="rId8"/>
    <sheet xmlns:r="http://schemas.openxmlformats.org/officeDocument/2006/relationships" name="Адреса" sheetId="9" state="visible" r:id="rId9"/>
  </sheets>
  <definedNames>
    <definedName name="_xlnm._FilterDatabase" localSheetId="5" hidden="1">'31.08-06.09'!$A$2:$O$96</definedName>
    <definedName name="_xlnm._FilterDatabase" localSheetId="6" hidden="1">'24-30.08'!$A$2:$O$96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+#,##0;\-#,##0;0"/>
    <numFmt numFmtId="165" formatCode="0.0%"/>
    <numFmt numFmtId="166" formatCode="\+0.0%;\-0.0%;0.0%"/>
    <numFmt numFmtId="167" formatCode="#,##0.0"/>
  </numFmts>
  <fonts count="19">
    <font>
      <name val="Calibri"/>
      <color theme="1"/>
      <sz val="11"/>
      <scheme val="minor"/>
    </font>
    <font>
      <name val="Arial"/>
      <b val="1"/>
      <color rgb="FF1F3864"/>
      <sz val="14"/>
    </font>
    <font>
      <name val="Calibri"/>
      <color theme="1"/>
      <sz val="11"/>
    </font>
    <font>
      <name val="Arial"/>
      <b val="1"/>
      <color rgb="FF1F3864"/>
      <sz val="16"/>
    </font>
    <font>
      <name val="Arial"/>
      <b val="1"/>
      <color rgb="FF7F6000"/>
      <sz val="9"/>
    </font>
    <font>
      <name val="Arial"/>
      <b val="1"/>
      <color rgb="FFFFFFFF"/>
      <sz val="9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i val="1"/>
      <color rgb="FF808080"/>
      <sz val="9"/>
    </font>
    <font>
      <name val="Arial"/>
      <i val="1"/>
      <color rgb="FF595959"/>
      <sz val="10"/>
    </font>
    <font>
      <name val="Arial"/>
      <color theme="1"/>
      <sz val="10"/>
    </font>
    <font>
      <name val="Arial"/>
      <color theme="1"/>
      <sz val="11"/>
    </font>
    <font>
      <name val="Calibri"/>
      <color theme="1"/>
      <sz val="11"/>
    </font>
    <font>
      <name val="Calibri"/>
      <b val="1"/>
      <color theme="1"/>
      <sz val="11"/>
    </font>
    <font>
      <name val="Arial"/>
      <b val="1"/>
      <color rgb="FFFFFFFF"/>
      <sz val="11"/>
    </font>
    <font>
      <name val="Arial"/>
      <b val="1"/>
      <color rgb="FF1F3864"/>
      <sz val="11"/>
    </font>
    <font>
      <name val="Arial"/>
      <color rgb="FF404040"/>
      <sz val="10"/>
    </font>
    <font>
      <name val="Arial"/>
      <b val="1"/>
      <color rgb="FFFFFFFF"/>
      <sz val="10"/>
    </font>
    <font>
      <name val="Arial"/>
      <b val="1"/>
      <color rgb="FF1F3864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7" fillId="3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1" pivotButton="0" quotePrefix="0" xfId="0"/>
    <xf numFmtId="3" fontId="10" fillId="0" borderId="1" applyAlignment="1" pivotButton="0" quotePrefix="0" xfId="0">
      <alignment horizontal="right"/>
    </xf>
    <xf numFmtId="0" fontId="11" fillId="0" borderId="1" pivotButton="0" quotePrefix="0" xfId="0"/>
    <xf numFmtId="164" fontId="1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3" fontId="11" fillId="0" borderId="1" applyAlignment="1" pivotButton="0" quotePrefix="0" xfId="0">
      <alignment horizontal="right"/>
    </xf>
    <xf numFmtId="165" fontId="2" fillId="0" borderId="0" pivotButton="0" quotePrefix="0" xfId="0"/>
    <xf numFmtId="165" fontId="11" fillId="0" borderId="1" applyAlignment="1" pivotButton="0" quotePrefix="0" xfId="0">
      <alignment horizontal="right"/>
    </xf>
    <xf numFmtId="166" fontId="2" fillId="0" borderId="0" pivotButton="0" quotePrefix="0" xfId="0"/>
    <xf numFmtId="164" fontId="2" fillId="0" borderId="0" pivotButton="0" quotePrefix="0" xfId="0"/>
    <xf numFmtId="0" fontId="12" fillId="0" borderId="0" pivotButton="0" quotePrefix="0" xfId="0"/>
    <xf numFmtId="167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5" fontId="6" fillId="4" borderId="1" applyAlignment="1" pivotButton="0" quotePrefix="0" xfId="0">
      <alignment horizontal="right"/>
    </xf>
    <xf numFmtId="165" fontId="13" fillId="0" borderId="0" pivotButton="0" quotePrefix="0" xfId="0"/>
    <xf numFmtId="166" fontId="13" fillId="0" borderId="0" pivotButton="0" quotePrefix="0" xfId="0"/>
    <xf numFmtId="164" fontId="13" fillId="0" borderId="0" pivotButton="0" quotePrefix="0" xfId="0"/>
    <xf numFmtId="0" fontId="14" fillId="2" borderId="1" pivotButton="0" quotePrefix="0" xfId="0"/>
    <xf numFmtId="3" fontId="14" fillId="2" borderId="1" applyAlignment="1" pivotButton="0" quotePrefix="0" xfId="0">
      <alignment horizontal="right"/>
    </xf>
    <xf numFmtId="165" fontId="14" fillId="2" borderId="1" applyAlignment="1" pivotButton="0" quotePrefix="0" xfId="0">
      <alignment horizontal="right"/>
    </xf>
    <xf numFmtId="167" fontId="14" fillId="2" borderId="1" applyAlignment="1" pivotButton="0" quotePrefix="0" xfId="0">
      <alignment horizontal="right"/>
    </xf>
    <xf numFmtId="164" fontId="14" fillId="2" borderId="1" applyAlignment="1" pivotButton="0" quotePrefix="0" xfId="0">
      <alignment horizontal="right"/>
    </xf>
    <xf numFmtId="0" fontId="15" fillId="0" borderId="0" pivotButton="0" quotePrefix="0" xfId="0"/>
    <xf numFmtId="0" fontId="16" fillId="0" borderId="0" pivotButton="0" quotePrefix="0" xfId="0"/>
    <xf numFmtId="0" fontId="17" fillId="2" borderId="1" pivotButton="0" quotePrefix="0" xfId="0"/>
    <xf numFmtId="3" fontId="17" fillId="2" borderId="1" applyAlignment="1" pivotButton="0" quotePrefix="0" xfId="0">
      <alignment horizontal="right"/>
    </xf>
    <xf numFmtId="164" fontId="17" fillId="2" borderId="1" applyAlignment="1" pivotButton="0" quotePrefix="0" xfId="0">
      <alignment horizontal="right"/>
    </xf>
    <xf numFmtId="165" fontId="17" fillId="2" borderId="1" applyAlignment="1" pivotButton="0" quotePrefix="0" xfId="0">
      <alignment horizontal="right"/>
    </xf>
    <xf numFmtId="0" fontId="18" fillId="5" borderId="1" pivotButton="0" quotePrefix="0" xfId="0"/>
    <xf numFmtId="3" fontId="18" fillId="5" borderId="1" applyAlignment="1" pivotButton="0" quotePrefix="0" xfId="0">
      <alignment horizontal="right"/>
    </xf>
    <xf numFmtId="165" fontId="18" fillId="5" borderId="1" applyAlignment="1" pivotButton="0" quotePrefix="0" xfId="0">
      <alignment horizontal="right"/>
    </xf>
    <xf numFmtId="167" fontId="18" fillId="5" borderId="1" applyAlignment="1" pivotButton="0" quotePrefix="0" xfId="0">
      <alignment horizontal="right"/>
    </xf>
    <xf numFmtId="167" fontId="10" fillId="0" borderId="1" applyAlignment="1" pivotButton="0" quotePrefix="0" xfId="0">
      <alignment horizontal="right"/>
    </xf>
    <xf numFmtId="0" fontId="10" fillId="3" borderId="1" pivotButton="0" quotePrefix="0" xfId="0"/>
    <xf numFmtId="3" fontId="10" fillId="3" borderId="1" applyAlignment="1" pivotButton="0" quotePrefix="0" xfId="0">
      <alignment horizontal="right"/>
    </xf>
    <xf numFmtId="164" fontId="10" fillId="3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7" fontId="2" fillId="0" borderId="0" applyAlignment="1" pivotButton="0" quotePrefix="0" xfId="0">
      <alignment horizontal="right"/>
    </xf>
    <xf numFmtId="0" fontId="0" fillId="0" borderId="0" pivotButton="0" quotePrefix="0" xfId="0"/>
    <xf numFmtId="0" fontId="14" fillId="2" borderId="2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dxfs count="14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600000"/>
      </font>
      <fill>
        <patternFill patternType="solid">
          <fgColor rgb="FFF8696B"/>
          <bgColor rgb="FFF8696B"/>
        </patternFill>
      </fill>
    </dxf>
    <dxf>
      <font>
        <b val="1"/>
        <color rgb="FF003300"/>
      </font>
      <fill>
        <patternFill patternType="solid">
          <fgColor rgb="FF63BE7B"/>
          <bgColor rgb="FF63BE7B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D15" sqref="D15"/>
    </sheetView>
  </sheetViews>
  <sheetFormatPr baseColWidth="8" defaultColWidth="14.3984375" defaultRowHeight="15" customHeight="1"/>
  <cols>
    <col width="17" customWidth="1" style="58" min="1" max="1"/>
    <col width="12" customWidth="1" style="58" min="2" max="2"/>
    <col width="13" customWidth="1" style="58" min="3" max="3"/>
    <col width="14" customWidth="1" style="58" min="4" max="4"/>
    <col width="9" customWidth="1" style="58" min="5" max="5"/>
    <col width="11" customWidth="1" style="58" min="6" max="6"/>
    <col width="13" customWidth="1" style="58" min="7" max="7"/>
    <col width="9" customWidth="1" style="58" min="8" max="8"/>
    <col width="15" customWidth="1" style="58" min="9" max="9"/>
    <col width="13" customWidth="1" style="58" min="10" max="11"/>
    <col width="15" customWidth="1" style="58" min="12" max="17"/>
  </cols>
  <sheetData>
    <row r="1" ht="20.25" customHeight="1" s="58">
      <c r="A1" s="3" t="inlineStr">
        <is>
          <t>Еженедельный съём соцсетей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58">
      <c r="A2" s="6" t="inlineStr">
        <is>
          <t>Текущая неделя — лист:</t>
        </is>
      </c>
      <c r="B2" s="7" t="inlineStr">
        <is>
          <t>28.09-04.10</t>
        </is>
      </c>
      <c r="C2" s="8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58">
      <c r="A3" s="6" t="inlineStr">
        <is>
          <t>Прошлая неделя — лист:</t>
        </is>
      </c>
      <c r="B3" s="7" t="inlineStr">
        <is>
          <t>21-27.09</t>
        </is>
      </c>
      <c r="C3" s="8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58">
      <c r="A4" s="11" t="inlineStr">
        <is>
          <t>снято 05.10.2026 · ВК 27/27 (Барков), ТГ 22/22 (Барков), МАКС 21/21 (MaxStat), ОК 20/20 (админские выгрузки)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58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42" customHeight="1" s="58">
      <c r="A6" s="5" t="inlineStr">
        <is>
          <t>Площадка</t>
        </is>
      </c>
      <c r="B6" s="5" t="inlineStr">
        <is>
          <t>Публикаций</t>
        </is>
      </c>
      <c r="C6" s="5" t="inlineStr">
        <is>
          <t>Просмотры</t>
        </is>
      </c>
      <c r="D6" s="5" t="inlineStr">
        <is>
          <t>Просмотры
пред. неделя
(сопост. периметр)</t>
        </is>
      </c>
      <c r="E6" s="5" t="inlineStr">
        <is>
          <t>Δ %</t>
        </is>
      </c>
      <c r="F6" s="5" t="inlineStr">
        <is>
          <t>Лайки</t>
        </is>
      </c>
      <c r="G6" s="5" t="inlineStr">
        <is>
          <t>Лайки
пред. неделя
(сопост. периметр)</t>
        </is>
      </c>
      <c r="H6" s="5" t="inlineStr">
        <is>
          <t>Δ %</t>
        </is>
      </c>
      <c r="I6" s="5" t="inlineStr">
        <is>
          <t>Лайков на 1000
просмотров</t>
        </is>
      </c>
      <c r="J6" s="5" t="inlineStr">
        <is>
          <t>Подписчики</t>
        </is>
      </c>
      <c r="K6" s="5" t="inlineStr">
        <is>
          <t>Прирост
подписчиков</t>
        </is>
      </c>
      <c r="L6" s="10" t="inlineStr">
        <is>
          <t>Δ % просмотров
пред. неделя</t>
        </is>
      </c>
      <c r="M6" s="10" t="inlineStr">
        <is>
          <t>Ускорение
просмотров, п.п.</t>
        </is>
      </c>
      <c r="N6" s="10" t="inlineStr">
        <is>
          <t>Δ % лайков
пред. неделя</t>
        </is>
      </c>
      <c r="O6" s="10" t="inlineStr">
        <is>
          <t>Ускорение
лайков, п.п.</t>
        </is>
      </c>
      <c r="P6" s="10" t="inlineStr">
        <is>
          <t>Прирост подписч.
пред. неделя</t>
        </is>
      </c>
      <c r="Q6" s="10" t="inlineStr">
        <is>
          <t>Ускорение
подписчиков, чел.</t>
        </is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58">
      <c r="A7" s="14" t="inlineStr">
        <is>
          <t>ВКонтакте</t>
        </is>
      </c>
      <c r="B7" s="17">
        <f t="array" ref="B7">INDIRECT("'"&amp;$B$2&amp;"'!C30")</f>
        <v/>
      </c>
      <c r="C7" s="17">
        <f t="array" ref="C7">IF($B7=0,"",INDIRECT("'"&amp;$B$2&amp;"'!D30"))</f>
        <v/>
      </c>
      <c r="D7" s="17">
        <f t="array" ref="D7">IF($B7=0,"",INDIRECT("'"&amp;$B$2&amp;"'!E30"))</f>
        <v/>
      </c>
      <c r="E7" s="19">
        <f>IF(B7=0,"",IFERROR(C7/D7-1,""))</f>
        <v/>
      </c>
      <c r="F7" s="17">
        <f t="array" ref="F7">IF($B7=0,"",INDIRECT("'"&amp;$B$2&amp;"'!H30"))</f>
        <v/>
      </c>
      <c r="G7" s="17">
        <f t="array" ref="G7">IF($B7=0,"",INDIRECT("'"&amp;$B$2&amp;"'!I30"))</f>
        <v/>
      </c>
      <c r="H7" s="19">
        <f>IF(B7=0,"",IFERROR(F7/G7-1,""))</f>
        <v/>
      </c>
      <c r="I7" s="23">
        <f>IFERROR(F7/C7*1000,"")</f>
        <v/>
      </c>
      <c r="J7" s="17">
        <f t="array" ref="J7">IF($B7=0,"",INDIRECT("'"&amp;$B$2&amp;"'!N30"))</f>
        <v/>
      </c>
      <c r="K7" s="24">
        <f t="array" ref="K7">IF($B7=0,"",INDIRECT("'"&amp;$B$2&amp;"'!O30"))</f>
        <v/>
      </c>
      <c r="L7" s="18">
        <f t="array" ref="L7">IFERROR(IF(INDIRECT("'"&amp;$B$3&amp;"'!G30")="","",INDIRECT("'"&amp;$B$3&amp;"'!G30")),"")</f>
        <v/>
      </c>
      <c r="M7" s="20">
        <f>IF(OR($E7="",$L7=""),"",$E7-$L7)</f>
        <v/>
      </c>
      <c r="N7" s="18">
        <f t="array" ref="N7">IFERROR(IF(INDIRECT("'"&amp;$B$3&amp;"'!K30")="","",INDIRECT("'"&amp;$B$3&amp;"'!K30")),"")</f>
        <v/>
      </c>
      <c r="O7" s="20">
        <f>IF(OR($H7="",$N7=""),"",$H7-$N7)</f>
        <v/>
      </c>
      <c r="P7" s="21">
        <f t="array" ref="P7">IFERROR(IF(INDIRECT("'"&amp;$B$3&amp;"'!O30")="","",INDIRECT("'"&amp;$B$3&amp;"'!O30")),"")</f>
        <v/>
      </c>
      <c r="Q7" s="21">
        <f>IF(OR($B7=0,$K7="",$P7=""),"",$K7-$P7)</f>
        <v/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58">
      <c r="A8" s="14" t="inlineStr">
        <is>
          <t>Одноклассники</t>
        </is>
      </c>
      <c r="B8" s="17">
        <f t="array" ref="B8">INDIRECT("'"&amp;$B$2&amp;"'!C51")</f>
        <v/>
      </c>
      <c r="C8" s="17">
        <f t="array" ref="C8">IF($B8=0,"",INDIRECT("'"&amp;$B$2&amp;"'!D51"))</f>
        <v/>
      </c>
      <c r="D8" s="17">
        <f t="array" ref="D8">IF($B8=0,"",INDIRECT("'"&amp;$B$2&amp;"'!E51"))</f>
        <v/>
      </c>
      <c r="E8" s="19">
        <f>IF(B8=0,"",IFERROR(C8/D8-1,""))</f>
        <v/>
      </c>
      <c r="F8" s="17">
        <f t="array" ref="F8">IF($B8=0,"",INDIRECT("'"&amp;$B$2&amp;"'!H51"))</f>
        <v/>
      </c>
      <c r="G8" s="17">
        <f t="array" ref="G8">IF($B8=0,"",INDIRECT("'"&amp;$B$2&amp;"'!I51"))</f>
        <v/>
      </c>
      <c r="H8" s="19">
        <f>IF(B8=0,"",IFERROR(F8/G8-1,""))</f>
        <v/>
      </c>
      <c r="I8" s="23">
        <f>IFERROR(F8/C8*1000,"")</f>
        <v/>
      </c>
      <c r="J8" s="17">
        <f t="array" ref="J8">IF($B8=0,"",INDIRECT("'"&amp;$B$2&amp;"'!N51"))</f>
        <v/>
      </c>
      <c r="K8" s="24">
        <f t="array" ref="K8">IF($B8=0,"",INDIRECT("'"&amp;$B$2&amp;"'!O51"))</f>
        <v/>
      </c>
      <c r="L8" s="18">
        <f t="array" ref="L8">IFERROR(IF(INDIRECT("'"&amp;$B$3&amp;"'!G51")="","",INDIRECT("'"&amp;$B$3&amp;"'!G51")),"")</f>
        <v/>
      </c>
      <c r="M8" s="20">
        <f>IF(OR($E8="",$L8=""),"",$E8-$L8)</f>
        <v/>
      </c>
      <c r="N8" s="18">
        <f t="array" ref="N8">IFERROR(IF(INDIRECT("'"&amp;$B$3&amp;"'!K51")="","",INDIRECT("'"&amp;$B$3&amp;"'!K51")),"")</f>
        <v/>
      </c>
      <c r="O8" s="20">
        <f>IF(OR($H8="",$N8=""),"",$H8-$N8)</f>
        <v/>
      </c>
      <c r="P8" s="21">
        <f t="array" ref="P8">IFERROR(IF(INDIRECT("'"&amp;$B$3&amp;"'!O51")="","",INDIRECT("'"&amp;$B$3&amp;"'!O51")),"")</f>
        <v/>
      </c>
      <c r="Q8" s="21">
        <f>IF(OR($B8=0,$K8="",$P8=""),"",$K8-$P8)</f>
        <v/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58">
      <c r="A9" s="14" t="inlineStr">
        <is>
          <t>Telegram</t>
        </is>
      </c>
      <c r="B9" s="17">
        <f t="array" ref="B9">INDIRECT("'"&amp;$B$2&amp;"'!C74")</f>
        <v/>
      </c>
      <c r="C9" s="17">
        <f t="array" ref="C9">IF($B9=0,"",INDIRECT("'"&amp;$B$2&amp;"'!D74"))</f>
        <v/>
      </c>
      <c r="D9" s="17">
        <f t="array" ref="D9">IF($B9=0,"",INDIRECT("'"&amp;$B$2&amp;"'!E74"))</f>
        <v/>
      </c>
      <c r="E9" s="19">
        <f>IF(B9=0,"",IFERROR(C9/D9-1,""))</f>
        <v/>
      </c>
      <c r="F9" s="17">
        <f t="array" ref="F9">IF($B9=0,"",INDIRECT("'"&amp;$B$2&amp;"'!H74"))</f>
        <v/>
      </c>
      <c r="G9" s="17">
        <f t="array" ref="G9">IF($B9=0,"",INDIRECT("'"&amp;$B$2&amp;"'!I74"))</f>
        <v/>
      </c>
      <c r="H9" s="19">
        <f>IF(B9=0,"",IFERROR(F9/G9-1,""))</f>
        <v/>
      </c>
      <c r="I9" s="23">
        <f>IFERROR(F9/C9*1000,"")</f>
        <v/>
      </c>
      <c r="J9" s="17">
        <f t="array" ref="J9">IF($B9=0,"",INDIRECT("'"&amp;$B$2&amp;"'!N74"))</f>
        <v/>
      </c>
      <c r="K9" s="24">
        <f t="array" ref="K9">IF($B9=0,"",INDIRECT("'"&amp;$B$2&amp;"'!O74"))</f>
        <v/>
      </c>
      <c r="L9" s="18">
        <f t="array" ref="L9">IFERROR(IF(INDIRECT("'"&amp;$B$3&amp;"'!G74")="","",INDIRECT("'"&amp;$B$3&amp;"'!G74")),"")</f>
        <v/>
      </c>
      <c r="M9" s="20">
        <f>IF(OR($E9="",$L9=""),"",$E9-$L9)</f>
        <v/>
      </c>
      <c r="N9" s="18">
        <f t="array" ref="N9">IFERROR(IF(INDIRECT("'"&amp;$B$3&amp;"'!K74")="","",INDIRECT("'"&amp;$B$3&amp;"'!K74")),"")</f>
        <v/>
      </c>
      <c r="O9" s="20">
        <f>IF(OR($H9="",$N9=""),"",$H9-$N9)</f>
        <v/>
      </c>
      <c r="P9" s="21">
        <f t="array" ref="P9">IFERROR(IF(INDIRECT("'"&amp;$B$3&amp;"'!O74")="","",INDIRECT("'"&amp;$B$3&amp;"'!O74")),"")</f>
        <v/>
      </c>
      <c r="Q9" s="21">
        <f>IF(OR($B9=0,$K9="",$P9=""),"",$K9-$P9)</f>
        <v/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58">
      <c r="A10" s="14" t="inlineStr">
        <is>
          <t>МАКС</t>
        </is>
      </c>
      <c r="B10" s="17">
        <f t="array" ref="B10">INDIRECT("'"&amp;$B$2&amp;"'!C96")</f>
        <v/>
      </c>
      <c r="C10" s="17">
        <f t="array" ref="C10">IF($B10=0,"",INDIRECT("'"&amp;$B$2&amp;"'!D96"))</f>
        <v/>
      </c>
      <c r="D10" s="17">
        <f t="array" ref="D10">IF($B10=0,"",INDIRECT("'"&amp;$B$2&amp;"'!E96"))</f>
        <v/>
      </c>
      <c r="E10" s="19">
        <f>IF(B10=0,"",IFERROR(C10/D10-1,""))</f>
        <v/>
      </c>
      <c r="F10" s="17">
        <f t="array" ref="F10">IF($B10=0,"",INDIRECT("'"&amp;$B$2&amp;"'!H96"))</f>
        <v/>
      </c>
      <c r="G10" s="17">
        <f t="array" ref="G10">IF($B10=0,"",INDIRECT("'"&amp;$B$2&amp;"'!I96"))</f>
        <v/>
      </c>
      <c r="H10" s="19">
        <f>IF(B10=0,"",IFERROR(F10/G10-1,""))</f>
        <v/>
      </c>
      <c r="I10" s="23">
        <f>IFERROR(F10/C10*1000,"")</f>
        <v/>
      </c>
      <c r="J10" s="17">
        <f t="array" ref="J10">IF($B10=0,"",INDIRECT("'"&amp;$B$2&amp;"'!N96"))</f>
        <v/>
      </c>
      <c r="K10" s="24">
        <f t="array" ref="K10">IF($B10=0,"",INDIRECT("'"&amp;$B$2&amp;"'!O96"))</f>
        <v/>
      </c>
      <c r="L10" s="18">
        <f t="array" ref="L10">IFERROR(IF(INDIRECT("'"&amp;$B$3&amp;"'!G96")="","",INDIRECT("'"&amp;$B$3&amp;"'!G96")),"")</f>
        <v/>
      </c>
      <c r="M10" s="20">
        <f>IF(OR($E10="",$L10=""),"",$E10-$L10)</f>
        <v/>
      </c>
      <c r="N10" s="18">
        <f t="array" ref="N10">IFERROR(IF(INDIRECT("'"&amp;$B$3&amp;"'!K96")="","",INDIRECT("'"&amp;$B$3&amp;"'!K96")),"")</f>
        <v/>
      </c>
      <c r="O10" s="20">
        <f>IF(OR($H10="",$N10=""),"",$H10-$N10)</f>
        <v/>
      </c>
      <c r="P10" s="21">
        <f t="array" ref="P10">IFERROR(IF(INDIRECT("'"&amp;$B$3&amp;"'!O96")="","",INDIRECT("'"&amp;$B$3&amp;"'!O96")),"")</f>
        <v/>
      </c>
      <c r="Q10" s="21">
        <f>IF(OR($B10=0,$K10="",$P10=""),"",$K10-$P10)</f>
        <v/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 s="58">
      <c r="A11" s="32" t="inlineStr">
        <is>
          <t>ИТОГО</t>
        </is>
      </c>
      <c r="B11" s="33">
        <f>SUM(B7:B10)</f>
        <v/>
      </c>
      <c r="C11" s="33">
        <f>SUM(C7:C10)</f>
        <v/>
      </c>
      <c r="D11" s="33">
        <f>SUM(D7:D10)</f>
        <v/>
      </c>
      <c r="E11" s="34">
        <f>IF(OR(B7=0,B8=0,B9=0,B10=0),"",IFERROR(C11/D11-1,""))</f>
        <v/>
      </c>
      <c r="F11" s="33">
        <f>SUM(F7:F10)</f>
        <v/>
      </c>
      <c r="G11" s="33">
        <f>SUM(G7:G10)</f>
        <v/>
      </c>
      <c r="H11" s="34">
        <f>IF(OR(B7=0,B8=0,B9=0,B10=0),"",IFERROR(F11/G11-1,""))</f>
        <v/>
      </c>
      <c r="I11" s="35">
        <f>IFERROR(F11/C11*1000,"")</f>
        <v/>
      </c>
      <c r="J11" s="33">
        <f>SUM(J7:J10)</f>
        <v/>
      </c>
      <c r="K11" s="36">
        <f>SUM(K7:K10)</f>
        <v/>
      </c>
      <c r="L11" s="29">
        <f t="array" ref="L11">IFERROR(IF(INDIRECT("'"&amp;$B$3&amp;"'!G97")="","",INDIRECT("'"&amp;$B$3&amp;"'!G97")),"")</f>
        <v/>
      </c>
      <c r="M11" s="30">
        <f>IF(OR($E11="",$L11=""),"",$E11-$L11)</f>
        <v/>
      </c>
      <c r="N11" s="29">
        <f t="array" ref="N11">IFERROR(IF(INDIRECT("'"&amp;$B$3&amp;"'!K97")="","",INDIRECT("'"&amp;$B$3&amp;"'!K97")),"")</f>
        <v/>
      </c>
      <c r="O11" s="30">
        <f>IF(OR($H11="",$N11=""),"",$H11-$N11)</f>
        <v/>
      </c>
      <c r="P11" s="31">
        <f t="array" ref="P11">IFERROR(IF(INDIRECT("'"&amp;$B$3&amp;"'!O97")="","",INDIRECT("'"&amp;$B$3&amp;"'!O97")),"")</f>
        <v/>
      </c>
      <c r="Q11" s="31">
        <f>IF(OR(B7=0,B8=0,B9=0,B10=0),"",$K11-$P11)</f>
        <v/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 s="58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58">
      <c r="A13" s="37" t="inlineStr">
        <is>
          <t>ускорение =  насколько прирост этой недели отличается от прироста прошлой, в процентных пунктах.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 s="58">
      <c r="A14" s="38" t="inlineStr">
        <is>
          <t>Плюс — рост ускорился, минус — рост замедлился (или падение усилилось). Считается от Δ % листа прошлой недели.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 s="58">
      <c r="A15" s="38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58">
      <c r="A16" s="38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58">
      <c r="A17" s="38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58">
      <c r="A18" s="38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58">
      <c r="A19" s="37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58">
      <c r="A20" s="38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 s="58">
      <c r="A21" s="38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 s="58">
      <c r="A22" s="38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58">
      <c r="A23" s="38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58">
      <c r="A24" s="38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58">
      <c r="A25" s="37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 s="58">
      <c r="A26" s="38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 s="58">
      <c r="A27" s="38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58">
      <c r="A28" s="37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58">
      <c r="A29" s="38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58">
      <c r="A30" s="38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58">
      <c r="A31" s="38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5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5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5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5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5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5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5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5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5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5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5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5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5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5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5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5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5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5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5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5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5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5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5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5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5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5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5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5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5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5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5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5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5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5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5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5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5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5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5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5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5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5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5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5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5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5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5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5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5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5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5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5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5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5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5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5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5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5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5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5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5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5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5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5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5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conditionalFormatting sqref="E7:E11">
    <cfRule type="expression" priority="1" dxfId="3" stopIfTrue="1">
      <formula>AND(ISNUMBER(E7),E7&gt;=0.2)</formula>
    </cfRule>
    <cfRule type="expression" priority="2" dxfId="2" stopIfTrue="1">
      <formula>AND(ISNUMBER(E7),E7&lt;=-0.2)</formula>
    </cfRule>
    <cfRule type="expression" priority="3" dxfId="1" stopIfTrue="1">
      <formula>AND(ISNUMBER(E7),E7&gt;0)</formula>
    </cfRule>
    <cfRule type="expression" priority="4" dxfId="0" stopIfTrue="1">
      <formula>AND(ISNUMBER(E7),E7&lt;0)</formula>
    </cfRule>
  </conditionalFormatting>
  <conditionalFormatting sqref="H7:H11">
    <cfRule type="expression" priority="5" dxfId="3" stopIfTrue="1">
      <formula>AND(ISNUMBER(H7),H7&gt;=0.2)</formula>
    </cfRule>
    <cfRule type="expression" priority="6" dxfId="2" stopIfTrue="1">
      <formula>AND(ISNUMBER(H7),H7&lt;=-0.2)</formula>
    </cfRule>
    <cfRule type="expression" priority="7" dxfId="1" stopIfTrue="1">
      <formula>AND(ISNUMBER(H7),H7&gt;0)</formula>
    </cfRule>
    <cfRule type="expression" priority="8" dxfId="0" stopIfTrue="1">
      <formula>AND(ISNUMBER(H7),H7&lt;0)</formula>
    </cfRule>
  </conditionalFormatting>
  <conditionalFormatting sqref="M7:M11">
    <cfRule type="expression" priority="9" dxfId="3" stopIfTrue="1">
      <formula>AND(ISNUMBER(M7),M7&gt;=0.2)</formula>
    </cfRule>
    <cfRule type="expression" priority="10" dxfId="2" stopIfTrue="1">
      <formula>AND(ISNUMBER(M7),M7&lt;=-0.2)</formula>
    </cfRule>
    <cfRule type="expression" priority="11" dxfId="1" stopIfTrue="1">
      <formula>AND(ISNUMBER(M7),M7&gt;0)</formula>
    </cfRule>
    <cfRule type="expression" priority="12" dxfId="0" stopIfTrue="1">
      <formula>AND(ISNUMBER(M7),M7&lt;0)</formula>
    </cfRule>
  </conditionalFormatting>
  <conditionalFormatting sqref="O7:O11">
    <cfRule type="expression" priority="13" dxfId="3" stopIfTrue="1">
      <formula>AND(ISNUMBER(O7),O7&gt;=0.2)</formula>
    </cfRule>
    <cfRule type="expression" priority="14" dxfId="2" stopIfTrue="1">
      <formula>AND(ISNUMBER(O7),O7&lt;=-0.2)</formula>
    </cfRule>
    <cfRule type="expression" priority="15" dxfId="1" stopIfTrue="1">
      <formula>AND(ISNUMBER(O7),O7&gt;0)</formula>
    </cfRule>
    <cfRule type="expression" priority="16" dxfId="0" stopIfTrue="1">
      <formula>AND(ISNUMBER(O7),O7&lt;0)</formula>
    </cfRule>
  </conditionalFormatting>
  <conditionalFormatting sqref="K7:K11">
    <cfRule type="expression" priority="17" dxfId="1" stopIfTrue="1">
      <formula>AND(ISNUMBER(K7),K7&gt;0)</formula>
    </cfRule>
    <cfRule type="expression" priority="18" dxfId="0" stopIfTrue="1">
      <formula>AND(ISNUMBER(K7),K7&lt;0)</formula>
    </cfRule>
  </conditionalFormatting>
  <conditionalFormatting sqref="Q7:Q11">
    <cfRule type="expression" priority="19" dxfId="1" stopIfTrue="1">
      <formula>AND(ISNUMBER(Q7),Q7&gt;0)</formula>
    </cfRule>
    <cfRule type="expression" priority="20" dxfId="0" stopIfTrue="1">
      <formula>AND(ISNUMBER(Q7),Q7&lt;0)</formula>
    </cfRule>
  </conditionalFormatting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zoomScale="36" workbookViewId="0">
      <selection activeCell="A1" sqref="A1"/>
    </sheetView>
  </sheetViews>
  <sheetFormatPr baseColWidth="8" defaultColWidth="14.3984375" defaultRowHeight="15" customHeight="1"/>
  <cols>
    <col width="15" customWidth="1" style="58" min="1" max="1"/>
    <col width="22" customWidth="1" style="58" min="2" max="2"/>
    <col width="11" customWidth="1" style="58" min="3" max="3"/>
    <col width="12" customWidth="1" style="58" min="4" max="4"/>
    <col width="13" customWidth="1" style="58" min="5" max="6"/>
    <col width="9" customWidth="1" style="58" min="7" max="7"/>
    <col width="10" customWidth="1" style="58" min="8" max="8"/>
    <col width="12" customWidth="1" style="58" min="9" max="9"/>
    <col width="11" customWidth="1" style="58" min="10" max="10"/>
    <col width="9" customWidth="1" style="58" min="11" max="11"/>
    <col width="14" customWidth="1" style="58" min="12" max="13"/>
    <col width="12" customWidth="1" style="58" min="14" max="15"/>
    <col width="8.73046875" customWidth="1" style="58" min="16" max="16"/>
    <col width="46" customWidth="1" style="58" min="17" max="17"/>
    <col width="8.73046875" customWidth="1" style="58" min="18" max="18"/>
    <col width="15" customWidth="1" style="58" min="19" max="24"/>
  </cols>
  <sheetData>
    <row r="1" ht="17.25" customHeight="1" s="58">
      <c r="A1" s="1" t="inlineStr">
        <is>
          <t>Недельный съём · 28.09–04.10.2026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" t="inlineStr">
        <is>
          <t>Лист прошлой недели (питает колонки E, I, O):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2" customHeight="1" s="58">
      <c r="A2" s="5" t="inlineStr">
        <is>
          <t>Площадка</t>
        </is>
      </c>
      <c r="B2" s="5" t="inlineStr">
        <is>
          <t>Ресурс</t>
        </is>
      </c>
      <c r="C2" s="5" t="inlineStr">
        <is>
          <t>Публикаций</t>
        </is>
      </c>
      <c r="D2" s="5" t="inlineStr">
        <is>
          <t>Просмотры</t>
        </is>
      </c>
      <c r="E2" s="5" t="inlineStr">
        <is>
          <t>Просмотры
пред. неделя</t>
        </is>
      </c>
      <c r="F2" s="5" t="inlineStr">
        <is>
          <t>Δ просмотров</t>
        </is>
      </c>
      <c r="G2" s="5" t="inlineStr">
        <is>
          <t>Δ %</t>
        </is>
      </c>
      <c r="H2" s="5" t="inlineStr">
        <is>
          <t>Лайки</t>
        </is>
      </c>
      <c r="I2" s="5" t="inlineStr">
        <is>
          <t>Лайки
пред. неделя</t>
        </is>
      </c>
      <c r="J2" s="5" t="inlineStr">
        <is>
          <t>Δ лайков</t>
        </is>
      </c>
      <c r="K2" s="5" t="inlineStr">
        <is>
          <t>Δ %</t>
        </is>
      </c>
      <c r="L2" s="5" t="inlineStr">
        <is>
          <t>Ср. просмотров
на пост</t>
        </is>
      </c>
      <c r="M2" s="5" t="inlineStr">
        <is>
          <t>Лайков на 1000
просмотров</t>
        </is>
      </c>
      <c r="N2" s="5" t="inlineStr">
        <is>
          <t>Подписчики</t>
        </is>
      </c>
      <c r="O2" s="5" t="inlineStr">
        <is>
          <t>Прирост
подписчиков</t>
        </is>
      </c>
      <c r="P2" s="2" t="n"/>
      <c r="Q2" s="9" t="inlineStr">
        <is>
          <t>21-27.09</t>
        </is>
      </c>
      <c r="R2" s="2" t="n"/>
      <c r="S2" s="10" t="inlineStr">
        <is>
          <t>Δ % просмотров
пред. неделя</t>
        </is>
      </c>
      <c r="T2" s="10" t="inlineStr">
        <is>
          <t>Ускорение
просмотров, п.п.</t>
        </is>
      </c>
      <c r="U2" s="10" t="inlineStr">
        <is>
          <t>Δ % лайков
пред. неделя</t>
        </is>
      </c>
      <c r="V2" s="10" t="inlineStr">
        <is>
          <t>Ускорение
лайков, п.п.</t>
        </is>
      </c>
      <c r="W2" s="10" t="inlineStr">
        <is>
          <t>Прирост подписч.
пред. неделя</t>
        </is>
      </c>
      <c r="X2" s="10" t="inlineStr">
        <is>
          <t>Ускорение
подписчиков, чел.</t>
        </is>
      </c>
      <c r="Y2" s="2" t="n"/>
      <c r="Z2" s="2" t="n"/>
    </row>
    <row r="3" ht="14.25" customHeight="1" s="58">
      <c r="A3" s="12" t="inlineStr">
        <is>
          <t>ВКонтакте</t>
        </is>
      </c>
      <c r="B3" s="12" t="inlineStr">
        <is>
          <t>Ямал-Медиа</t>
        </is>
      </c>
      <c r="C3" s="13" t="n">
        <v>110</v>
      </c>
      <c r="D3" s="13" t="n">
        <v>2647589</v>
      </c>
      <c r="E3" s="13">
        <f>IF($D3="","",IFERROR(IF(ISBLANK(INDIRECT("'"&amp;$Q$2&amp;"'!D"&amp;ROW())),"",INDIRECT("'"&amp;$Q$2&amp;"'!D"&amp;ROW())),""))</f>
        <v/>
      </c>
      <c r="F3" s="15">
        <f>IF(OR(D3="",E3=""),"",D3-E3)</f>
        <v/>
      </c>
      <c r="G3" s="16">
        <f>IFERROR(F3/E3,"")</f>
        <v/>
      </c>
      <c r="H3" s="13" t="n">
        <v>5901</v>
      </c>
      <c r="I3" s="13">
        <f>IF($H3="","",IFERROR(IF(ISBLANK(INDIRECT("'"&amp;$Q$2&amp;"'!H"&amp;ROW())),"",INDIRECT("'"&amp;$Q$2&amp;"'!H"&amp;ROW())),""))</f>
        <v/>
      </c>
      <c r="J3" s="15">
        <f>IF(OR(H3="",I3=""),"",H3-I3)</f>
        <v/>
      </c>
      <c r="K3" s="16">
        <f>IFERROR(J3/I3,"")</f>
        <v/>
      </c>
      <c r="L3" s="13">
        <f>IFERROR(D3/C3,"")</f>
        <v/>
      </c>
      <c r="M3" s="13">
        <f>IFERROR(H3/D3*1000,"")</f>
        <v/>
      </c>
      <c r="N3" s="13" t="n">
        <v>89650</v>
      </c>
      <c r="O3" s="15">
        <f>IFERROR(IF(OR(N3="",ISBLANK(INDIRECT("'"&amp;$Q$2&amp;"'!N"&amp;ROW()))),"",N3-INDIRECT("'"&amp;$Q$2&amp;"'!N"&amp;ROW())),"")</f>
        <v/>
      </c>
      <c r="P3" s="2" t="n"/>
      <c r="Q3" s="8" t="inlineStr">
        <is>
          <t>Колонки E и I берут прошлую неделю только по строкам, снятым в текущей — сравнение идёт по сопоставимому периметру.</t>
        </is>
      </c>
      <c r="R3" s="2" t="n"/>
      <c r="S3" s="18">
        <f>IFERROR(IF(ISBLANK(INDIRECT("'"&amp;$Q$2&amp;"'!G"&amp;ROW())),"",INDIRECT("'"&amp;$Q$2&amp;"'!G"&amp;ROW())),"")</f>
        <v/>
      </c>
      <c r="T3" s="20">
        <f>IF(OR($G3="",$S3=""),"",$G3-$S3)</f>
        <v/>
      </c>
      <c r="U3" s="18">
        <f>IFERROR(IF(ISBLANK(INDIRECT("'"&amp;$Q$2&amp;"'!K"&amp;ROW())),"",INDIRECT("'"&amp;$Q$2&amp;"'!K"&amp;ROW())),"")</f>
        <v/>
      </c>
      <c r="V3" s="20">
        <f>IF(OR($K3="",$U3=""),"",$K3-$U3)</f>
        <v/>
      </c>
      <c r="W3" s="21">
        <f>IFERROR(IF(ISBLANK(INDIRECT("'"&amp;$Q$2&amp;"'!O"&amp;ROW())),"",INDIRECT("'"&amp;$Q$2&amp;"'!O"&amp;ROW())),"")</f>
        <v/>
      </c>
      <c r="X3" s="21">
        <f>IF(OR($O3="",$W3=""),"",$O3-$W3)</f>
        <v/>
      </c>
      <c r="Y3" s="2" t="n"/>
      <c r="Z3" s="2" t="n"/>
    </row>
    <row r="4" ht="14.25" customHeight="1" s="58">
      <c r="A4" s="12" t="inlineStr">
        <is>
          <t>ВКонтакте</t>
        </is>
      </c>
      <c r="B4" s="12" t="inlineStr">
        <is>
          <t>Север-Пресс</t>
        </is>
      </c>
      <c r="C4" s="13" t="n">
        <v>120</v>
      </c>
      <c r="D4" s="13" t="n">
        <v>218156</v>
      </c>
      <c r="E4" s="13">
        <f>IF($D4="","",IFERROR(IF(ISBLANK(INDIRECT("'"&amp;$Q$2&amp;"'!D"&amp;ROW())),"",INDIRECT("'"&amp;$Q$2&amp;"'!D"&amp;ROW())),""))</f>
        <v/>
      </c>
      <c r="F4" s="15">
        <f>IF(OR(D4="",E4=""),"",D4-E4)</f>
        <v/>
      </c>
      <c r="G4" s="16">
        <f>IFERROR(F4/E4,"")</f>
        <v/>
      </c>
      <c r="H4" s="13" t="n">
        <v>672</v>
      </c>
      <c r="I4" s="13">
        <f>IF($H4="","",IFERROR(IF(ISBLANK(INDIRECT("'"&amp;$Q$2&amp;"'!H"&amp;ROW())),"",INDIRECT("'"&amp;$Q$2&amp;"'!H"&amp;ROW())),""))</f>
        <v/>
      </c>
      <c r="J4" s="15">
        <f>IF(OR(H4="",I4=""),"",H4-I4)</f>
        <v/>
      </c>
      <c r="K4" s="16">
        <f>IFERROR(J4/I4,"")</f>
        <v/>
      </c>
      <c r="L4" s="13">
        <f>IFERROR(D4/C4,"")</f>
        <v/>
      </c>
      <c r="M4" s="13">
        <f>IFERROR(H4/D4*1000,"")</f>
        <v/>
      </c>
      <c r="N4" s="13" t="n">
        <v>26291</v>
      </c>
      <c r="O4" s="15">
        <f>IFERROR(IF(OR(N4="",ISBLANK(INDIRECT("'"&amp;$Q$2&amp;"'!N"&amp;ROW()))),"",N4-INDIRECT("'"&amp;$Q$2&amp;"'!N"&amp;ROW())),"")</f>
        <v/>
      </c>
      <c r="P4" s="2" t="n"/>
      <c r="Q4" s="22" t="inlineStr">
        <is>
          <t>ОК: «просмотры» = VIEWS листа Topics, лайки = сумма LIKES листа Actions (по группе, как в прошлых съёмах).</t>
        </is>
      </c>
      <c r="R4" s="2" t="n"/>
      <c r="S4" s="18">
        <f>IFERROR(IF(ISBLANK(INDIRECT("'"&amp;$Q$2&amp;"'!G"&amp;ROW())),"",INDIRECT("'"&amp;$Q$2&amp;"'!G"&amp;ROW())),"")</f>
        <v/>
      </c>
      <c r="T4" s="20">
        <f>IF(OR($G4="",$S4=""),"",$G4-$S4)</f>
        <v/>
      </c>
      <c r="U4" s="18">
        <f>IFERROR(IF(ISBLANK(INDIRECT("'"&amp;$Q$2&amp;"'!K"&amp;ROW())),"",INDIRECT("'"&amp;$Q$2&amp;"'!K"&amp;ROW())),"")</f>
        <v/>
      </c>
      <c r="V4" s="20">
        <f>IF(OR($K4="",$U4=""),"",$K4-$U4)</f>
        <v/>
      </c>
      <c r="W4" s="21">
        <f>IFERROR(IF(ISBLANK(INDIRECT("'"&amp;$Q$2&amp;"'!O"&amp;ROW())),"",INDIRECT("'"&amp;$Q$2&amp;"'!O"&amp;ROW())),"")</f>
        <v/>
      </c>
      <c r="X4" s="21">
        <f>IF(OR($O4="",$W4=""),"",$O4-$W4)</f>
        <v/>
      </c>
      <c r="Y4" s="2" t="n"/>
      <c r="Z4" s="2" t="n"/>
    </row>
    <row r="5" ht="14.25" customHeight="1" s="58">
      <c r="A5" s="12" t="inlineStr">
        <is>
          <t>ВКонтакте</t>
        </is>
      </c>
      <c r="B5" s="12" t="inlineStr">
        <is>
          <t>Лента СП</t>
        </is>
      </c>
      <c r="C5" s="13" t="n">
        <v>171</v>
      </c>
      <c r="D5" s="13" t="n">
        <v>2991</v>
      </c>
      <c r="E5" s="13">
        <f>IF($D5="","",IFERROR(IF(ISBLANK(INDIRECT("'"&amp;$Q$2&amp;"'!D"&amp;ROW())),"",INDIRECT("'"&amp;$Q$2&amp;"'!D"&amp;ROW())),""))</f>
        <v/>
      </c>
      <c r="F5" s="15">
        <f>IF(OR(D5="",E5=""),"",D5-E5)</f>
        <v/>
      </c>
      <c r="G5" s="16">
        <f>IFERROR(F5/E5,"")</f>
        <v/>
      </c>
      <c r="H5" s="13" t="n">
        <v>12</v>
      </c>
      <c r="I5" s="13">
        <f>IF($H5="","",IFERROR(IF(ISBLANK(INDIRECT("'"&amp;$Q$2&amp;"'!H"&amp;ROW())),"",INDIRECT("'"&amp;$Q$2&amp;"'!H"&amp;ROW())),""))</f>
        <v/>
      </c>
      <c r="J5" s="15">
        <f>IF(OR(H5="",I5=""),"",H5-I5)</f>
        <v/>
      </c>
      <c r="K5" s="16">
        <f>IFERROR(J5/I5,"")</f>
        <v/>
      </c>
      <c r="L5" s="13">
        <f>IFERROR(D5/C5,"")</f>
        <v/>
      </c>
      <c r="M5" s="13">
        <f>IFERROR(H5/D5*1000,"")</f>
        <v/>
      </c>
      <c r="N5" s="13" t="n">
        <v>3503</v>
      </c>
      <c r="O5" s="15">
        <f>IFERROR(IF(OR(N5="",ISBLANK(INDIRECT("'"&amp;$Q$2&amp;"'!N"&amp;ROW()))),"",N5-INDIRECT("'"&amp;$Q$2&amp;"'!N"&amp;ROW())),"")</f>
        <v/>
      </c>
      <c r="P5" s="2" t="n"/>
      <c r="Q5" s="2" t="n"/>
      <c r="R5" s="2" t="n"/>
      <c r="S5" s="18">
        <f>IFERROR(IF(ISBLANK(INDIRECT("'"&amp;$Q$2&amp;"'!G"&amp;ROW())),"",INDIRECT("'"&amp;$Q$2&amp;"'!G"&amp;ROW())),"")</f>
        <v/>
      </c>
      <c r="T5" s="20">
        <f>IF(OR($G5="",$S5=""),"",$G5-$S5)</f>
        <v/>
      </c>
      <c r="U5" s="18">
        <f>IFERROR(IF(ISBLANK(INDIRECT("'"&amp;$Q$2&amp;"'!K"&amp;ROW())),"",INDIRECT("'"&amp;$Q$2&amp;"'!K"&amp;ROW())),"")</f>
        <v/>
      </c>
      <c r="V5" s="20">
        <f>IF(OR($K5="",$U5=""),"",$K5-$U5)</f>
        <v/>
      </c>
      <c r="W5" s="21">
        <f>IFERROR(IF(ISBLANK(INDIRECT("'"&amp;$Q$2&amp;"'!O"&amp;ROW())),"",INDIRECT("'"&amp;$Q$2&amp;"'!O"&amp;ROW())),"")</f>
        <v/>
      </c>
      <c r="X5" s="21">
        <f>IF(OR($O5="",$W5=""),"",$O5-$W5)</f>
        <v/>
      </c>
      <c r="Y5" s="2" t="n"/>
      <c r="Z5" s="2" t="n"/>
    </row>
    <row r="6" ht="14.25" customHeight="1" s="58">
      <c r="A6" s="12" t="inlineStr">
        <is>
          <t>ВКонтакте</t>
        </is>
      </c>
      <c r="B6" s="12" t="inlineStr">
        <is>
          <t>Красный Север</t>
        </is>
      </c>
      <c r="C6" s="13" t="n">
        <v>83</v>
      </c>
      <c r="D6" s="13" t="n">
        <v>79350</v>
      </c>
      <c r="E6" s="13">
        <f>IF($D6="","",IFERROR(IF(ISBLANK(INDIRECT("'"&amp;$Q$2&amp;"'!D"&amp;ROW())),"",INDIRECT("'"&amp;$Q$2&amp;"'!D"&amp;ROW())),""))</f>
        <v/>
      </c>
      <c r="F6" s="15">
        <f>IF(OR(D6="",E6=""),"",D6-E6)</f>
        <v/>
      </c>
      <c r="G6" s="16">
        <f>IFERROR(F6/E6,"")</f>
        <v/>
      </c>
      <c r="H6" s="13" t="n">
        <v>466</v>
      </c>
      <c r="I6" s="13">
        <f>IF($H6="","",IFERROR(IF(ISBLANK(INDIRECT("'"&amp;$Q$2&amp;"'!H"&amp;ROW())),"",INDIRECT("'"&amp;$Q$2&amp;"'!H"&amp;ROW())),""))</f>
        <v/>
      </c>
      <c r="J6" s="15">
        <f>IF(OR(H6="",I6=""),"",H6-I6)</f>
        <v/>
      </c>
      <c r="K6" s="16">
        <f>IFERROR(J6/I6,"")</f>
        <v/>
      </c>
      <c r="L6" s="13">
        <f>IFERROR(D6/C6,"")</f>
        <v/>
      </c>
      <c r="M6" s="13">
        <f>IFERROR(H6/D6*1000,"")</f>
        <v/>
      </c>
      <c r="N6" s="13" t="n">
        <v>22949</v>
      </c>
      <c r="O6" s="15">
        <f>IFERROR(IF(OR(N6="",ISBLANK(INDIRECT("'"&amp;$Q$2&amp;"'!N"&amp;ROW()))),"",N6-INDIRECT("'"&amp;$Q$2&amp;"'!N"&amp;ROW())),"")</f>
        <v/>
      </c>
      <c r="P6" s="2" t="n"/>
      <c r="Q6" s="2" t="n"/>
      <c r="R6" s="2" t="n"/>
      <c r="S6" s="18">
        <f>IFERROR(IF(ISBLANK(INDIRECT("'"&amp;$Q$2&amp;"'!G"&amp;ROW())),"",INDIRECT("'"&amp;$Q$2&amp;"'!G"&amp;ROW())),"")</f>
        <v/>
      </c>
      <c r="T6" s="20">
        <f>IF(OR($G6="",$S6=""),"",$G6-$S6)</f>
        <v/>
      </c>
      <c r="U6" s="18">
        <f>IFERROR(IF(ISBLANK(INDIRECT("'"&amp;$Q$2&amp;"'!K"&amp;ROW())),"",INDIRECT("'"&amp;$Q$2&amp;"'!K"&amp;ROW())),"")</f>
        <v/>
      </c>
      <c r="V6" s="20">
        <f>IF(OR($K6="",$U6=""),"",$K6-$U6)</f>
        <v/>
      </c>
      <c r="W6" s="21">
        <f>IFERROR(IF(ISBLANK(INDIRECT("'"&amp;$Q$2&amp;"'!O"&amp;ROW())),"",INDIRECT("'"&amp;$Q$2&amp;"'!O"&amp;ROW())),"")</f>
        <v/>
      </c>
      <c r="X6" s="21">
        <f>IF(OR($O6="",$W6=""),"",$O6-$W6)</f>
        <v/>
      </c>
      <c r="Y6" s="2" t="n"/>
      <c r="Z6" s="2" t="n"/>
    </row>
    <row r="7" ht="14.25" customHeight="1" s="58">
      <c r="A7" s="12" t="inlineStr">
        <is>
          <t>ВКонтакте</t>
        </is>
      </c>
      <c r="B7" s="12" t="inlineStr">
        <is>
          <t>Новый Уренгой</t>
        </is>
      </c>
      <c r="C7" s="13" t="n">
        <v>95</v>
      </c>
      <c r="D7" s="13" t="n">
        <v>84352</v>
      </c>
      <c r="E7" s="13">
        <f>IF($D7="","",IFERROR(IF(ISBLANK(INDIRECT("'"&amp;$Q$2&amp;"'!D"&amp;ROW())),"",INDIRECT("'"&amp;$Q$2&amp;"'!D"&amp;ROW())),""))</f>
        <v/>
      </c>
      <c r="F7" s="15">
        <f>IF(OR(D7="",E7=""),"",D7-E7)</f>
        <v/>
      </c>
      <c r="G7" s="16">
        <f>IFERROR(F7/E7,"")</f>
        <v/>
      </c>
      <c r="H7" s="13" t="n">
        <v>1068</v>
      </c>
      <c r="I7" s="13">
        <f>IF($H7="","",IFERROR(IF(ISBLANK(INDIRECT("'"&amp;$Q$2&amp;"'!H"&amp;ROW())),"",INDIRECT("'"&amp;$Q$2&amp;"'!H"&amp;ROW())),""))</f>
        <v/>
      </c>
      <c r="J7" s="15">
        <f>IF(OR(H7="",I7=""),"",H7-I7)</f>
        <v/>
      </c>
      <c r="K7" s="16">
        <f>IFERROR(J7/I7,"")</f>
        <v/>
      </c>
      <c r="L7" s="13">
        <f>IFERROR(D7/C7,"")</f>
        <v/>
      </c>
      <c r="M7" s="13">
        <f>IFERROR(H7/D7*1000,"")</f>
        <v/>
      </c>
      <c r="N7" s="13" t="n">
        <v>24901</v>
      </c>
      <c r="O7" s="15">
        <f>IFERROR(IF(OR(N7="",ISBLANK(INDIRECT("'"&amp;$Q$2&amp;"'!N"&amp;ROW()))),"",N7-INDIRECT("'"&amp;$Q$2&amp;"'!N"&amp;ROW())),"")</f>
        <v/>
      </c>
      <c r="P7" s="2" t="n"/>
      <c r="Q7" s="2" t="n"/>
      <c r="R7" s="2" t="n"/>
      <c r="S7" s="18">
        <f>IFERROR(IF(ISBLANK(INDIRECT("'"&amp;$Q$2&amp;"'!G"&amp;ROW())),"",INDIRECT("'"&amp;$Q$2&amp;"'!G"&amp;ROW())),"")</f>
        <v/>
      </c>
      <c r="T7" s="20">
        <f>IF(OR($G7="",$S7=""),"",$G7-$S7)</f>
        <v/>
      </c>
      <c r="U7" s="18">
        <f>IFERROR(IF(ISBLANK(INDIRECT("'"&amp;$Q$2&amp;"'!K"&amp;ROW())),"",INDIRECT("'"&amp;$Q$2&amp;"'!K"&amp;ROW())),"")</f>
        <v/>
      </c>
      <c r="V7" s="20">
        <f>IF(OR($K7="",$U7=""),"",$K7-$U7)</f>
        <v/>
      </c>
      <c r="W7" s="21">
        <f>IFERROR(IF(ISBLANK(INDIRECT("'"&amp;$Q$2&amp;"'!O"&amp;ROW())),"",INDIRECT("'"&amp;$Q$2&amp;"'!O"&amp;ROW())),"")</f>
        <v/>
      </c>
      <c r="X7" s="21">
        <f>IF(OR($O7="",$W7=""),"",$O7-$W7)</f>
        <v/>
      </c>
      <c r="Y7" s="2" t="n"/>
      <c r="Z7" s="2" t="n"/>
    </row>
    <row r="8" ht="14.25" customHeight="1" s="58">
      <c r="A8" s="12" t="inlineStr">
        <is>
          <t>ВКонтакте</t>
        </is>
      </c>
      <c r="B8" s="12" t="inlineStr">
        <is>
          <t>Надым</t>
        </is>
      </c>
      <c r="C8" s="13" t="n">
        <v>76</v>
      </c>
      <c r="D8" s="13" t="n">
        <v>196212</v>
      </c>
      <c r="E8" s="13">
        <f>IF($D8="","",IFERROR(IF(ISBLANK(INDIRECT("'"&amp;$Q$2&amp;"'!D"&amp;ROW())),"",INDIRECT("'"&amp;$Q$2&amp;"'!D"&amp;ROW())),""))</f>
        <v/>
      </c>
      <c r="F8" s="15">
        <f>IF(OR(D8="",E8=""),"",D8-E8)</f>
        <v/>
      </c>
      <c r="G8" s="16">
        <f>IFERROR(F8/E8,"")</f>
        <v/>
      </c>
      <c r="H8" s="13" t="n">
        <v>2605</v>
      </c>
      <c r="I8" s="13">
        <f>IF($H8="","",IFERROR(IF(ISBLANK(INDIRECT("'"&amp;$Q$2&amp;"'!H"&amp;ROW())),"",INDIRECT("'"&amp;$Q$2&amp;"'!H"&amp;ROW())),""))</f>
        <v/>
      </c>
      <c r="J8" s="15">
        <f>IF(OR(H8="",I8=""),"",H8-I8)</f>
        <v/>
      </c>
      <c r="K8" s="16">
        <f>IFERROR(J8/I8,"")</f>
        <v/>
      </c>
      <c r="L8" s="13">
        <f>IFERROR(D8/C8,"")</f>
        <v/>
      </c>
      <c r="M8" s="13">
        <f>IFERROR(H8/D8*1000,"")</f>
        <v/>
      </c>
      <c r="N8" s="13" t="n">
        <v>21769</v>
      </c>
      <c r="O8" s="15">
        <f>IFERROR(IF(OR(N8="",ISBLANK(INDIRECT("'"&amp;$Q$2&amp;"'!N"&amp;ROW()))),"",N8-INDIRECT("'"&amp;$Q$2&amp;"'!N"&amp;ROW())),"")</f>
        <v/>
      </c>
      <c r="P8" s="2" t="n"/>
      <c r="Q8" s="2" t="n"/>
      <c r="R8" s="2" t="n"/>
      <c r="S8" s="18">
        <f>IFERROR(IF(ISBLANK(INDIRECT("'"&amp;$Q$2&amp;"'!G"&amp;ROW())),"",INDIRECT("'"&amp;$Q$2&amp;"'!G"&amp;ROW())),"")</f>
        <v/>
      </c>
      <c r="T8" s="20">
        <f>IF(OR($G8="",$S8=""),"",$G8-$S8)</f>
        <v/>
      </c>
      <c r="U8" s="18">
        <f>IFERROR(IF(ISBLANK(INDIRECT("'"&amp;$Q$2&amp;"'!K"&amp;ROW())),"",INDIRECT("'"&amp;$Q$2&amp;"'!K"&amp;ROW())),"")</f>
        <v/>
      </c>
      <c r="V8" s="20">
        <f>IF(OR($K8="",$U8=""),"",$K8-$U8)</f>
        <v/>
      </c>
      <c r="W8" s="21">
        <f>IFERROR(IF(ISBLANK(INDIRECT("'"&amp;$Q$2&amp;"'!O"&amp;ROW())),"",INDIRECT("'"&amp;$Q$2&amp;"'!O"&amp;ROW())),"")</f>
        <v/>
      </c>
      <c r="X8" s="21">
        <f>IF(OR($O8="",$W8=""),"",$O8-$W8)</f>
        <v/>
      </c>
      <c r="Y8" s="2" t="n"/>
      <c r="Z8" s="2" t="n"/>
    </row>
    <row r="9" ht="14.25" customHeight="1" s="58">
      <c r="A9" s="12" t="inlineStr">
        <is>
          <t>ВКонтакте</t>
        </is>
      </c>
      <c r="B9" s="12" t="inlineStr">
        <is>
          <t>Ноябрьск</t>
        </is>
      </c>
      <c r="C9" s="13" t="n">
        <v>91</v>
      </c>
      <c r="D9" s="13" t="n">
        <v>320603</v>
      </c>
      <c r="E9" s="13">
        <f>IF($D9="","",IFERROR(IF(ISBLANK(INDIRECT("'"&amp;$Q$2&amp;"'!D"&amp;ROW())),"",INDIRECT("'"&amp;$Q$2&amp;"'!D"&amp;ROW())),""))</f>
        <v/>
      </c>
      <c r="F9" s="15">
        <f>IF(OR(D9="",E9=""),"",D9-E9)</f>
        <v/>
      </c>
      <c r="G9" s="16">
        <f>IFERROR(F9/E9,"")</f>
        <v/>
      </c>
      <c r="H9" s="13" t="n">
        <v>4182</v>
      </c>
      <c r="I9" s="13">
        <f>IF($H9="","",IFERROR(IF(ISBLANK(INDIRECT("'"&amp;$Q$2&amp;"'!H"&amp;ROW())),"",INDIRECT("'"&amp;$Q$2&amp;"'!H"&amp;ROW())),""))</f>
        <v/>
      </c>
      <c r="J9" s="15">
        <f>IF(OR(H9="",I9=""),"",H9-I9)</f>
        <v/>
      </c>
      <c r="K9" s="16">
        <f>IFERROR(J9/I9,"")</f>
        <v/>
      </c>
      <c r="L9" s="13">
        <f>IFERROR(D9/C9,"")</f>
        <v/>
      </c>
      <c r="M9" s="13">
        <f>IFERROR(H9/D9*1000,"")</f>
        <v/>
      </c>
      <c r="N9" s="13" t="n">
        <v>31346</v>
      </c>
      <c r="O9" s="15">
        <f>IFERROR(IF(OR(N9="",ISBLANK(INDIRECT("'"&amp;$Q$2&amp;"'!N"&amp;ROW()))),"",N9-INDIRECT("'"&amp;$Q$2&amp;"'!N"&amp;ROW())),"")</f>
        <v/>
      </c>
      <c r="P9" s="2" t="n"/>
      <c r="Q9" s="2" t="n"/>
      <c r="R9" s="2" t="n"/>
      <c r="S9" s="18">
        <f>IFERROR(IF(ISBLANK(INDIRECT("'"&amp;$Q$2&amp;"'!G"&amp;ROW())),"",INDIRECT("'"&amp;$Q$2&amp;"'!G"&amp;ROW())),"")</f>
        <v/>
      </c>
      <c r="T9" s="20">
        <f>IF(OR($G9="",$S9=""),"",$G9-$S9)</f>
        <v/>
      </c>
      <c r="U9" s="18">
        <f>IFERROR(IF(ISBLANK(INDIRECT("'"&amp;$Q$2&amp;"'!K"&amp;ROW())),"",INDIRECT("'"&amp;$Q$2&amp;"'!K"&amp;ROW())),"")</f>
        <v/>
      </c>
      <c r="V9" s="20">
        <f>IF(OR($K9="",$U9=""),"",$K9-$U9)</f>
        <v/>
      </c>
      <c r="W9" s="21">
        <f>IFERROR(IF(ISBLANK(INDIRECT("'"&amp;$Q$2&amp;"'!O"&amp;ROW())),"",INDIRECT("'"&amp;$Q$2&amp;"'!O"&amp;ROW())),"")</f>
        <v/>
      </c>
      <c r="X9" s="21">
        <f>IF(OR($O9="",$W9=""),"",$O9-$W9)</f>
        <v/>
      </c>
      <c r="Y9" s="2" t="n"/>
      <c r="Z9" s="2" t="n"/>
    </row>
    <row r="10" ht="14.25" customHeight="1" s="58">
      <c r="A10" s="12" t="inlineStr">
        <is>
          <t>ВКонтакте</t>
        </is>
      </c>
      <c r="B10" s="12" t="inlineStr">
        <is>
          <t>Салехард</t>
        </is>
      </c>
      <c r="C10" s="13" t="n">
        <v>145</v>
      </c>
      <c r="D10" s="13" t="n">
        <v>197099</v>
      </c>
      <c r="E10" s="13">
        <f>IF($D10="","",IFERROR(IF(ISBLANK(INDIRECT("'"&amp;$Q$2&amp;"'!D"&amp;ROW())),"",INDIRECT("'"&amp;$Q$2&amp;"'!D"&amp;ROW())),""))</f>
        <v/>
      </c>
      <c r="F10" s="15">
        <f>IF(OR(D10="",E10=""),"",D10-E10)</f>
        <v/>
      </c>
      <c r="G10" s="16">
        <f>IFERROR(F10/E10,"")</f>
        <v/>
      </c>
      <c r="H10" s="13" t="n">
        <v>2190</v>
      </c>
      <c r="I10" s="13">
        <f>IF($H10="","",IFERROR(IF(ISBLANK(INDIRECT("'"&amp;$Q$2&amp;"'!H"&amp;ROW())),"",INDIRECT("'"&amp;$Q$2&amp;"'!H"&amp;ROW())),""))</f>
        <v/>
      </c>
      <c r="J10" s="15">
        <f>IF(OR(H10="",I10=""),"",H10-I10)</f>
        <v/>
      </c>
      <c r="K10" s="16">
        <f>IFERROR(J10/I10,"")</f>
        <v/>
      </c>
      <c r="L10" s="13">
        <f>IFERROR(D10/C10,"")</f>
        <v/>
      </c>
      <c r="M10" s="13">
        <f>IFERROR(H10/D10*1000,"")</f>
        <v/>
      </c>
      <c r="N10" s="13" t="n">
        <v>21613</v>
      </c>
      <c r="O10" s="15">
        <f>IFERROR(IF(OR(N10="",ISBLANK(INDIRECT("'"&amp;$Q$2&amp;"'!N"&amp;ROW()))),"",N10-INDIRECT("'"&amp;$Q$2&amp;"'!N"&amp;ROW())),"")</f>
        <v/>
      </c>
      <c r="P10" s="2" t="n"/>
      <c r="Q10" s="2" t="n"/>
      <c r="R10" s="2" t="n"/>
      <c r="S10" s="18">
        <f>IFERROR(IF(ISBLANK(INDIRECT("'"&amp;$Q$2&amp;"'!G"&amp;ROW())),"",INDIRECT("'"&amp;$Q$2&amp;"'!G"&amp;ROW())),"")</f>
        <v/>
      </c>
      <c r="T10" s="20">
        <f>IF(OR($G10="",$S10=""),"",$G10-$S10)</f>
        <v/>
      </c>
      <c r="U10" s="18">
        <f>IFERROR(IF(ISBLANK(INDIRECT("'"&amp;$Q$2&amp;"'!K"&amp;ROW())),"",INDIRECT("'"&amp;$Q$2&amp;"'!K"&amp;ROW())),"")</f>
        <v/>
      </c>
      <c r="V10" s="20">
        <f>IF(OR($K10="",$U10=""),"",$K10-$U10)</f>
        <v/>
      </c>
      <c r="W10" s="21">
        <f>IFERROR(IF(ISBLANK(INDIRECT("'"&amp;$Q$2&amp;"'!O"&amp;ROW())),"",INDIRECT("'"&amp;$Q$2&amp;"'!O"&amp;ROW())),"")</f>
        <v/>
      </c>
      <c r="X10" s="21">
        <f>IF(OR($O10="",$W10=""),"",$O10-$W10)</f>
        <v/>
      </c>
      <c r="Y10" s="2" t="n"/>
      <c r="Z10" s="2" t="n"/>
    </row>
    <row r="11" ht="14.25" customHeight="1" s="58">
      <c r="A11" s="12" t="inlineStr">
        <is>
          <t>ВКонтакте</t>
        </is>
      </c>
      <c r="B11" s="12" t="inlineStr">
        <is>
          <t>Приуралье</t>
        </is>
      </c>
      <c r="C11" s="13" t="n">
        <v>104</v>
      </c>
      <c r="D11" s="13" t="n">
        <v>366428</v>
      </c>
      <c r="E11" s="13">
        <f>IF($D11="","",IFERROR(IF(ISBLANK(INDIRECT("'"&amp;$Q$2&amp;"'!D"&amp;ROW())),"",INDIRECT("'"&amp;$Q$2&amp;"'!D"&amp;ROW())),""))</f>
        <v/>
      </c>
      <c r="F11" s="15">
        <f>IF(OR(D11="",E11=""),"",D11-E11)</f>
        <v/>
      </c>
      <c r="G11" s="16">
        <f>IFERROR(F11/E11,"")</f>
        <v/>
      </c>
      <c r="H11" s="13" t="n">
        <v>2775</v>
      </c>
      <c r="I11" s="13">
        <f>IF($H11="","",IFERROR(IF(ISBLANK(INDIRECT("'"&amp;$Q$2&amp;"'!H"&amp;ROW())),"",INDIRECT("'"&amp;$Q$2&amp;"'!H"&amp;ROW())),""))</f>
        <v/>
      </c>
      <c r="J11" s="15">
        <f>IF(OR(H11="",I11=""),"",H11-I11)</f>
        <v/>
      </c>
      <c r="K11" s="16">
        <f>IFERROR(J11/I11,"")</f>
        <v/>
      </c>
      <c r="L11" s="13">
        <f>IFERROR(D11/C11,"")</f>
        <v/>
      </c>
      <c r="M11" s="13">
        <f>IFERROR(H11/D11*1000,"")</f>
        <v/>
      </c>
      <c r="N11" s="13" t="n">
        <v>20815</v>
      </c>
      <c r="O11" s="15">
        <f>IFERROR(IF(OR(N11="",ISBLANK(INDIRECT("'"&amp;$Q$2&amp;"'!N"&amp;ROW()))),"",N11-INDIRECT("'"&amp;$Q$2&amp;"'!N"&amp;ROW())),"")</f>
        <v/>
      </c>
      <c r="P11" s="2" t="n"/>
      <c r="Q11" s="2" t="n"/>
      <c r="R11" s="2" t="n"/>
      <c r="S11" s="18">
        <f>IFERROR(IF(ISBLANK(INDIRECT("'"&amp;$Q$2&amp;"'!G"&amp;ROW())),"",INDIRECT("'"&amp;$Q$2&amp;"'!G"&amp;ROW())),"")</f>
        <v/>
      </c>
      <c r="T11" s="20">
        <f>IF(OR($G11="",$S11=""),"",$G11-$S11)</f>
        <v/>
      </c>
      <c r="U11" s="18">
        <f>IFERROR(IF(ISBLANK(INDIRECT("'"&amp;$Q$2&amp;"'!K"&amp;ROW())),"",INDIRECT("'"&amp;$Q$2&amp;"'!K"&amp;ROW())),"")</f>
        <v/>
      </c>
      <c r="V11" s="20">
        <f>IF(OR($K11="",$U11=""),"",$K11-$U11)</f>
        <v/>
      </c>
      <c r="W11" s="21">
        <f>IFERROR(IF(ISBLANK(INDIRECT("'"&amp;$Q$2&amp;"'!O"&amp;ROW())),"",INDIRECT("'"&amp;$Q$2&amp;"'!O"&amp;ROW())),"")</f>
        <v/>
      </c>
      <c r="X11" s="21">
        <f>IF(OR($O11="",$W11=""),"",$O11-$W11)</f>
        <v/>
      </c>
      <c r="Y11" s="2" t="n"/>
      <c r="Z11" s="2" t="n"/>
    </row>
    <row r="12" ht="14.25" customHeight="1" s="58">
      <c r="A12" s="12" t="inlineStr">
        <is>
          <t>ВКонтакте</t>
        </is>
      </c>
      <c r="B12" s="12" t="inlineStr">
        <is>
          <t>Лабытнанги</t>
        </is>
      </c>
      <c r="C12" s="13" t="n">
        <v>65</v>
      </c>
      <c r="D12" s="13" t="n">
        <v>119193</v>
      </c>
      <c r="E12" s="13">
        <f>IF($D12="","",IFERROR(IF(ISBLANK(INDIRECT("'"&amp;$Q$2&amp;"'!D"&amp;ROW())),"",INDIRECT("'"&amp;$Q$2&amp;"'!D"&amp;ROW())),""))</f>
        <v/>
      </c>
      <c r="F12" s="15">
        <f>IF(OR(D12="",E12=""),"",D12-E12)</f>
        <v/>
      </c>
      <c r="G12" s="16">
        <f>IFERROR(F12/E12,"")</f>
        <v/>
      </c>
      <c r="H12" s="13" t="n">
        <v>1839</v>
      </c>
      <c r="I12" s="13">
        <f>IF($H12="","",IFERROR(IF(ISBLANK(INDIRECT("'"&amp;$Q$2&amp;"'!H"&amp;ROW())),"",INDIRECT("'"&amp;$Q$2&amp;"'!H"&amp;ROW())),""))</f>
        <v/>
      </c>
      <c r="J12" s="15">
        <f>IF(OR(H12="",I12=""),"",H12-I12)</f>
        <v/>
      </c>
      <c r="K12" s="16">
        <f>IFERROR(J12/I12,"")</f>
        <v/>
      </c>
      <c r="L12" s="13">
        <f>IFERROR(D12/C12,"")</f>
        <v/>
      </c>
      <c r="M12" s="13">
        <f>IFERROR(H12/D12*1000,"")</f>
        <v/>
      </c>
      <c r="N12" s="13" t="n">
        <v>15558</v>
      </c>
      <c r="O12" s="15">
        <f>IFERROR(IF(OR(N12="",ISBLANK(INDIRECT("'"&amp;$Q$2&amp;"'!N"&amp;ROW()))),"",N12-INDIRECT("'"&amp;$Q$2&amp;"'!N"&amp;ROW())),"")</f>
        <v/>
      </c>
      <c r="P12" s="2" t="n"/>
      <c r="Q12" s="2" t="n"/>
      <c r="R12" s="2" t="n"/>
      <c r="S12" s="18">
        <f>IFERROR(IF(ISBLANK(INDIRECT("'"&amp;$Q$2&amp;"'!G"&amp;ROW())),"",INDIRECT("'"&amp;$Q$2&amp;"'!G"&amp;ROW())),"")</f>
        <v/>
      </c>
      <c r="T12" s="20">
        <f>IF(OR($G12="",$S12=""),"",$G12-$S12)</f>
        <v/>
      </c>
      <c r="U12" s="18">
        <f>IFERROR(IF(ISBLANK(INDIRECT("'"&amp;$Q$2&amp;"'!K"&amp;ROW())),"",INDIRECT("'"&amp;$Q$2&amp;"'!K"&amp;ROW())),"")</f>
        <v/>
      </c>
      <c r="V12" s="20">
        <f>IF(OR($K12="",$U12=""),"",$K12-$U12)</f>
        <v/>
      </c>
      <c r="W12" s="21">
        <f>IFERROR(IF(ISBLANK(INDIRECT("'"&amp;$Q$2&amp;"'!O"&amp;ROW())),"",INDIRECT("'"&amp;$Q$2&amp;"'!O"&amp;ROW())),"")</f>
        <v/>
      </c>
      <c r="X12" s="21">
        <f>IF(OR($O12="",$W12=""),"",$O12-$W12)</f>
        <v/>
      </c>
      <c r="Y12" s="2" t="n"/>
      <c r="Z12" s="2" t="n"/>
    </row>
    <row r="13" ht="14.25" customHeight="1" s="58">
      <c r="A13" s="12" t="inlineStr">
        <is>
          <t>ВКонтакте</t>
        </is>
      </c>
      <c r="B13" s="12" t="inlineStr">
        <is>
          <t>Пуровский</t>
        </is>
      </c>
      <c r="C13" s="13" t="n">
        <v>47</v>
      </c>
      <c r="D13" s="13" t="n">
        <v>19819</v>
      </c>
      <c r="E13" s="13">
        <f>IF($D13="","",IFERROR(IF(ISBLANK(INDIRECT("'"&amp;$Q$2&amp;"'!D"&amp;ROW())),"",INDIRECT("'"&amp;$Q$2&amp;"'!D"&amp;ROW())),""))</f>
        <v/>
      </c>
      <c r="F13" s="15">
        <f>IF(OR(D13="",E13=""),"",D13-E13)</f>
        <v/>
      </c>
      <c r="G13" s="16">
        <f>IFERROR(F13/E13,"")</f>
        <v/>
      </c>
      <c r="H13" s="13" t="n">
        <v>287</v>
      </c>
      <c r="I13" s="13">
        <f>IF($H13="","",IFERROR(IF(ISBLANK(INDIRECT("'"&amp;$Q$2&amp;"'!H"&amp;ROW())),"",INDIRECT("'"&amp;$Q$2&amp;"'!H"&amp;ROW())),""))</f>
        <v/>
      </c>
      <c r="J13" s="15">
        <f>IF(OR(H13="",I13=""),"",H13-I13)</f>
        <v/>
      </c>
      <c r="K13" s="16">
        <f>IFERROR(J13/I13,"")</f>
        <v/>
      </c>
      <c r="L13" s="13">
        <f>IFERROR(D13/C13,"")</f>
        <v/>
      </c>
      <c r="M13" s="13">
        <f>IFERROR(H13/D13*1000,"")</f>
        <v/>
      </c>
      <c r="N13" s="13" t="n">
        <v>16429</v>
      </c>
      <c r="O13" s="15">
        <f>IFERROR(IF(OR(N13="",ISBLANK(INDIRECT("'"&amp;$Q$2&amp;"'!N"&amp;ROW()))),"",N13-INDIRECT("'"&amp;$Q$2&amp;"'!N"&amp;ROW())),"")</f>
        <v/>
      </c>
      <c r="P13" s="2" t="n"/>
      <c r="Q13" s="2" t="n"/>
      <c r="R13" s="2" t="n"/>
      <c r="S13" s="18">
        <f>IFERROR(IF(ISBLANK(INDIRECT("'"&amp;$Q$2&amp;"'!G"&amp;ROW())),"",INDIRECT("'"&amp;$Q$2&amp;"'!G"&amp;ROW())),"")</f>
        <v/>
      </c>
      <c r="T13" s="20">
        <f>IF(OR($G13="",$S13=""),"",$G13-$S13)</f>
        <v/>
      </c>
      <c r="U13" s="18">
        <f>IFERROR(IF(ISBLANK(INDIRECT("'"&amp;$Q$2&amp;"'!K"&amp;ROW())),"",INDIRECT("'"&amp;$Q$2&amp;"'!K"&amp;ROW())),"")</f>
        <v/>
      </c>
      <c r="V13" s="20">
        <f>IF(OR($K13="",$U13=""),"",$K13-$U13)</f>
        <v/>
      </c>
      <c r="W13" s="21">
        <f>IFERROR(IF(ISBLANK(INDIRECT("'"&amp;$Q$2&amp;"'!O"&amp;ROW())),"",INDIRECT("'"&amp;$Q$2&amp;"'!O"&amp;ROW())),"")</f>
        <v/>
      </c>
      <c r="X13" s="21">
        <f>IF(OR($O13="",$W13=""),"",$O13-$W13)</f>
        <v/>
      </c>
      <c r="Y13" s="2" t="n"/>
      <c r="Z13" s="2" t="n"/>
    </row>
    <row r="14" ht="14.25" customHeight="1" s="58">
      <c r="A14" s="12" t="inlineStr">
        <is>
          <t>ВКонтакте</t>
        </is>
      </c>
      <c r="B14" s="12" t="inlineStr">
        <is>
          <t>Тазовский</t>
        </is>
      </c>
      <c r="C14" s="13" t="n">
        <v>65</v>
      </c>
      <c r="D14" s="13" t="n">
        <v>58490</v>
      </c>
      <c r="E14" s="13">
        <f>IF($D14="","",IFERROR(IF(ISBLANK(INDIRECT("'"&amp;$Q$2&amp;"'!D"&amp;ROW())),"",INDIRECT("'"&amp;$Q$2&amp;"'!D"&amp;ROW())),""))</f>
        <v/>
      </c>
      <c r="F14" s="15">
        <f>IF(OR(D14="",E14=""),"",D14-E14)</f>
        <v/>
      </c>
      <c r="G14" s="16">
        <f>IFERROR(F14/E14,"")</f>
        <v/>
      </c>
      <c r="H14" s="13" t="n">
        <v>798</v>
      </c>
      <c r="I14" s="13">
        <f>IF($H14="","",IFERROR(IF(ISBLANK(INDIRECT("'"&amp;$Q$2&amp;"'!H"&amp;ROW())),"",INDIRECT("'"&amp;$Q$2&amp;"'!H"&amp;ROW())),""))</f>
        <v/>
      </c>
      <c r="J14" s="15">
        <f>IF(OR(H14="",I14=""),"",H14-I14)</f>
        <v/>
      </c>
      <c r="K14" s="16">
        <f>IFERROR(J14/I14,"")</f>
        <v/>
      </c>
      <c r="L14" s="13">
        <f>IFERROR(D14/C14,"")</f>
        <v/>
      </c>
      <c r="M14" s="13">
        <f>IFERROR(H14/D14*1000,"")</f>
        <v/>
      </c>
      <c r="N14" s="13" t="n">
        <v>6468</v>
      </c>
      <c r="O14" s="15">
        <f>IFERROR(IF(OR(N14="",ISBLANK(INDIRECT("'"&amp;$Q$2&amp;"'!N"&amp;ROW()))),"",N14-INDIRECT("'"&amp;$Q$2&amp;"'!N"&amp;ROW())),"")</f>
        <v/>
      </c>
      <c r="P14" s="2" t="n"/>
      <c r="Q14" s="2" t="n"/>
      <c r="R14" s="2" t="n"/>
      <c r="S14" s="18">
        <f>IFERROR(IF(ISBLANK(INDIRECT("'"&amp;$Q$2&amp;"'!G"&amp;ROW())),"",INDIRECT("'"&amp;$Q$2&amp;"'!G"&amp;ROW())),"")</f>
        <v/>
      </c>
      <c r="T14" s="20">
        <f>IF(OR($G14="",$S14=""),"",$G14-$S14)</f>
        <v/>
      </c>
      <c r="U14" s="18">
        <f>IFERROR(IF(ISBLANK(INDIRECT("'"&amp;$Q$2&amp;"'!K"&amp;ROW())),"",INDIRECT("'"&amp;$Q$2&amp;"'!K"&amp;ROW())),"")</f>
        <v/>
      </c>
      <c r="V14" s="20">
        <f>IF(OR($K14="",$U14=""),"",$K14-$U14)</f>
        <v/>
      </c>
      <c r="W14" s="21">
        <f>IFERROR(IF(ISBLANK(INDIRECT("'"&amp;$Q$2&amp;"'!O"&amp;ROW())),"",INDIRECT("'"&amp;$Q$2&amp;"'!O"&amp;ROW())),"")</f>
        <v/>
      </c>
      <c r="X14" s="21">
        <f>IF(OR($O14="",$W14=""),"",$O14-$W14)</f>
        <v/>
      </c>
      <c r="Y14" s="2" t="n"/>
      <c r="Z14" s="2" t="n"/>
    </row>
    <row r="15" ht="14.25" customHeight="1" s="58">
      <c r="A15" s="12" t="inlineStr">
        <is>
          <t>ВКонтакте</t>
        </is>
      </c>
      <c r="B15" s="12" t="inlineStr">
        <is>
          <t>Красноселькуп</t>
        </is>
      </c>
      <c r="C15" s="13" t="n">
        <v>27</v>
      </c>
      <c r="D15" s="13" t="n">
        <v>33209</v>
      </c>
      <c r="E15" s="13">
        <f>IF($D15="","",IFERROR(IF(ISBLANK(INDIRECT("'"&amp;$Q$2&amp;"'!D"&amp;ROW())),"",INDIRECT("'"&amp;$Q$2&amp;"'!D"&amp;ROW())),""))</f>
        <v/>
      </c>
      <c r="F15" s="15">
        <f>IF(OR(D15="",E15=""),"",D15-E15)</f>
        <v/>
      </c>
      <c r="G15" s="16">
        <f>IFERROR(F15/E15,"")</f>
        <v/>
      </c>
      <c r="H15" s="13" t="n">
        <v>303</v>
      </c>
      <c r="I15" s="13">
        <f>IF($H15="","",IFERROR(IF(ISBLANK(INDIRECT("'"&amp;$Q$2&amp;"'!H"&amp;ROW())),"",INDIRECT("'"&amp;$Q$2&amp;"'!H"&amp;ROW())),""))</f>
        <v/>
      </c>
      <c r="J15" s="15">
        <f>IF(OR(H15="",I15=""),"",H15-I15)</f>
        <v/>
      </c>
      <c r="K15" s="16">
        <f>IFERROR(J15/I15,"")</f>
        <v/>
      </c>
      <c r="L15" s="13">
        <f>IFERROR(D15/C15,"")</f>
        <v/>
      </c>
      <c r="M15" s="13">
        <f>IFERROR(H15/D15*1000,"")</f>
        <v/>
      </c>
      <c r="N15" s="13" t="n">
        <v>3699</v>
      </c>
      <c r="O15" s="15">
        <f>IFERROR(IF(OR(N15="",ISBLANK(INDIRECT("'"&amp;$Q$2&amp;"'!N"&amp;ROW()))),"",N15-INDIRECT("'"&amp;$Q$2&amp;"'!N"&amp;ROW())),"")</f>
        <v/>
      </c>
      <c r="P15" s="2" t="n"/>
      <c r="Q15" s="2" t="n"/>
      <c r="R15" s="2" t="n"/>
      <c r="S15" s="18">
        <f>IFERROR(IF(ISBLANK(INDIRECT("'"&amp;$Q$2&amp;"'!G"&amp;ROW())),"",INDIRECT("'"&amp;$Q$2&amp;"'!G"&amp;ROW())),"")</f>
        <v/>
      </c>
      <c r="T15" s="20">
        <f>IF(OR($G15="",$S15=""),"",$G15-$S15)</f>
        <v/>
      </c>
      <c r="U15" s="18">
        <f>IFERROR(IF(ISBLANK(INDIRECT("'"&amp;$Q$2&amp;"'!K"&amp;ROW())),"",INDIRECT("'"&amp;$Q$2&amp;"'!K"&amp;ROW())),"")</f>
        <v/>
      </c>
      <c r="V15" s="20">
        <f>IF(OR($K15="",$U15=""),"",$K15-$U15)</f>
        <v/>
      </c>
      <c r="W15" s="21">
        <f>IFERROR(IF(ISBLANK(INDIRECT("'"&amp;$Q$2&amp;"'!O"&amp;ROW())),"",INDIRECT("'"&amp;$Q$2&amp;"'!O"&amp;ROW())),"")</f>
        <v/>
      </c>
      <c r="X15" s="21">
        <f>IF(OR($O15="",$W15=""),"",$O15-$W15)</f>
        <v/>
      </c>
      <c r="Y15" s="2" t="n"/>
      <c r="Z15" s="2" t="n"/>
    </row>
    <row r="16" ht="14.25" customHeight="1" s="58">
      <c r="A16" s="12" t="inlineStr">
        <is>
          <t>ВКонтакте</t>
        </is>
      </c>
      <c r="B16" s="12" t="inlineStr">
        <is>
          <t>Ямальский</t>
        </is>
      </c>
      <c r="C16" s="13" t="n">
        <v>46</v>
      </c>
      <c r="D16" s="13" t="n">
        <v>86941</v>
      </c>
      <c r="E16" s="13">
        <f>IF($D16="","",IFERROR(IF(ISBLANK(INDIRECT("'"&amp;$Q$2&amp;"'!D"&amp;ROW())),"",INDIRECT("'"&amp;$Q$2&amp;"'!D"&amp;ROW())),""))</f>
        <v/>
      </c>
      <c r="F16" s="15">
        <f>IF(OR(D16="",E16=""),"",D16-E16)</f>
        <v/>
      </c>
      <c r="G16" s="16">
        <f>IFERROR(F16/E16,"")</f>
        <v/>
      </c>
      <c r="H16" s="13" t="n">
        <v>723</v>
      </c>
      <c r="I16" s="13">
        <f>IF($H16="","",IFERROR(IF(ISBLANK(INDIRECT("'"&amp;$Q$2&amp;"'!H"&amp;ROW())),"",INDIRECT("'"&amp;$Q$2&amp;"'!H"&amp;ROW())),""))</f>
        <v/>
      </c>
      <c r="J16" s="15">
        <f>IF(OR(H16="",I16=""),"",H16-I16)</f>
        <v/>
      </c>
      <c r="K16" s="16">
        <f>IFERROR(J16/I16,"")</f>
        <v/>
      </c>
      <c r="L16" s="13">
        <f>IFERROR(D16/C16,"")</f>
        <v/>
      </c>
      <c r="M16" s="13">
        <f>IFERROR(H16/D16*1000,"")</f>
        <v/>
      </c>
      <c r="N16" s="13" t="n">
        <v>12902</v>
      </c>
      <c r="O16" s="15">
        <f>IFERROR(IF(OR(N16="",ISBLANK(INDIRECT("'"&amp;$Q$2&amp;"'!N"&amp;ROW()))),"",N16-INDIRECT("'"&amp;$Q$2&amp;"'!N"&amp;ROW())),"")</f>
        <v/>
      </c>
      <c r="P16" s="2" t="n"/>
      <c r="Q16" s="2" t="n"/>
      <c r="R16" s="2" t="n"/>
      <c r="S16" s="18">
        <f>IFERROR(IF(ISBLANK(INDIRECT("'"&amp;$Q$2&amp;"'!G"&amp;ROW())),"",INDIRECT("'"&amp;$Q$2&amp;"'!G"&amp;ROW())),"")</f>
        <v/>
      </c>
      <c r="T16" s="20">
        <f>IF(OR($G16="",$S16=""),"",$G16-$S16)</f>
        <v/>
      </c>
      <c r="U16" s="18">
        <f>IFERROR(IF(ISBLANK(INDIRECT("'"&amp;$Q$2&amp;"'!K"&amp;ROW())),"",INDIRECT("'"&amp;$Q$2&amp;"'!K"&amp;ROW())),"")</f>
        <v/>
      </c>
      <c r="V16" s="20">
        <f>IF(OR($K16="",$U16=""),"",$K16-$U16)</f>
        <v/>
      </c>
      <c r="W16" s="21">
        <f>IFERROR(IF(ISBLANK(INDIRECT("'"&amp;$Q$2&amp;"'!O"&amp;ROW())),"",INDIRECT("'"&amp;$Q$2&amp;"'!O"&amp;ROW())),"")</f>
        <v/>
      </c>
      <c r="X16" s="21">
        <f>IF(OR($O16="",$W16=""),"",$O16-$W16)</f>
        <v/>
      </c>
      <c r="Y16" s="2" t="n"/>
      <c r="Z16" s="2" t="n"/>
    </row>
    <row r="17" ht="14.25" customHeight="1" s="58">
      <c r="A17" s="12" t="inlineStr">
        <is>
          <t>ВКонтакте</t>
        </is>
      </c>
      <c r="B17" s="12" t="inlineStr">
        <is>
          <t>Шурышкарский</t>
        </is>
      </c>
      <c r="C17" s="13" t="n">
        <v>57</v>
      </c>
      <c r="D17" s="13" t="n">
        <v>182773</v>
      </c>
      <c r="E17" s="13">
        <f>IF($D17="","",IFERROR(IF(ISBLANK(INDIRECT("'"&amp;$Q$2&amp;"'!D"&amp;ROW())),"",INDIRECT("'"&amp;$Q$2&amp;"'!D"&amp;ROW())),""))</f>
        <v/>
      </c>
      <c r="F17" s="15">
        <f>IF(OR(D17="",E17=""),"",D17-E17)</f>
        <v/>
      </c>
      <c r="G17" s="16">
        <f>IFERROR(F17/E17,"")</f>
        <v/>
      </c>
      <c r="H17" s="13" t="n">
        <v>1997</v>
      </c>
      <c r="I17" s="13">
        <f>IF($H17="","",IFERROR(IF(ISBLANK(INDIRECT("'"&amp;$Q$2&amp;"'!H"&amp;ROW())),"",INDIRECT("'"&amp;$Q$2&amp;"'!H"&amp;ROW())),""))</f>
        <v/>
      </c>
      <c r="J17" s="15">
        <f>IF(OR(H17="",I17=""),"",H17-I17)</f>
        <v/>
      </c>
      <c r="K17" s="16">
        <f>IFERROR(J17/I17,"")</f>
        <v/>
      </c>
      <c r="L17" s="13">
        <f>IFERROR(D17/C17,"")</f>
        <v/>
      </c>
      <c r="M17" s="13">
        <f>IFERROR(H17/D17*1000,"")</f>
        <v/>
      </c>
      <c r="N17" s="13" t="n">
        <v>7831</v>
      </c>
      <c r="O17" s="15">
        <f>IFERROR(IF(OR(N17="",ISBLANK(INDIRECT("'"&amp;$Q$2&amp;"'!N"&amp;ROW()))),"",N17-INDIRECT("'"&amp;$Q$2&amp;"'!N"&amp;ROW())),"")</f>
        <v/>
      </c>
      <c r="P17" s="2" t="n"/>
      <c r="Q17" s="2" t="n"/>
      <c r="R17" s="2" t="n"/>
      <c r="S17" s="18">
        <f>IFERROR(IF(ISBLANK(INDIRECT("'"&amp;$Q$2&amp;"'!G"&amp;ROW())),"",INDIRECT("'"&amp;$Q$2&amp;"'!G"&amp;ROW())),"")</f>
        <v/>
      </c>
      <c r="T17" s="20">
        <f>IF(OR($G17="",$S17=""),"",$G17-$S17)</f>
        <v/>
      </c>
      <c r="U17" s="18">
        <f>IFERROR(IF(ISBLANK(INDIRECT("'"&amp;$Q$2&amp;"'!K"&amp;ROW())),"",INDIRECT("'"&amp;$Q$2&amp;"'!K"&amp;ROW())),"")</f>
        <v/>
      </c>
      <c r="V17" s="20">
        <f>IF(OR($K17="",$U17=""),"",$K17-$U17)</f>
        <v/>
      </c>
      <c r="W17" s="21">
        <f>IFERROR(IF(ISBLANK(INDIRECT("'"&amp;$Q$2&amp;"'!O"&amp;ROW())),"",INDIRECT("'"&amp;$Q$2&amp;"'!O"&amp;ROW())),"")</f>
        <v/>
      </c>
      <c r="X17" s="21">
        <f>IF(OR($O17="",$W17=""),"",$O17-$W17)</f>
        <v/>
      </c>
      <c r="Y17" s="2" t="n"/>
      <c r="Z17" s="2" t="n"/>
    </row>
    <row r="18" ht="14.25" customHeight="1" s="58">
      <c r="A18" s="12" t="inlineStr">
        <is>
          <t>ВКонтакте</t>
        </is>
      </c>
      <c r="B18" s="12" t="inlineStr">
        <is>
          <t>Муравленко</t>
        </is>
      </c>
      <c r="C18" s="13" t="n">
        <v>63</v>
      </c>
      <c r="D18" s="13" t="n">
        <v>149877</v>
      </c>
      <c r="E18" s="13">
        <f>IF($D18="","",IFERROR(IF(ISBLANK(INDIRECT("'"&amp;$Q$2&amp;"'!D"&amp;ROW())),"",INDIRECT("'"&amp;$Q$2&amp;"'!D"&amp;ROW())),""))</f>
        <v/>
      </c>
      <c r="F18" s="15">
        <f>IF(OR(D18="",E18=""),"",D18-E18)</f>
        <v/>
      </c>
      <c r="G18" s="16">
        <f>IFERROR(F18/E18,"")</f>
        <v/>
      </c>
      <c r="H18" s="13" t="n">
        <v>1760</v>
      </c>
      <c r="I18" s="13">
        <f>IF($H18="","",IFERROR(IF(ISBLANK(INDIRECT("'"&amp;$Q$2&amp;"'!H"&amp;ROW())),"",INDIRECT("'"&amp;$Q$2&amp;"'!H"&amp;ROW())),""))</f>
        <v/>
      </c>
      <c r="J18" s="15">
        <f>IF(OR(H18="",I18=""),"",H18-I18)</f>
        <v/>
      </c>
      <c r="K18" s="16">
        <f>IFERROR(J18/I18,"")</f>
        <v/>
      </c>
      <c r="L18" s="13">
        <f>IFERROR(D18/C18,"")</f>
        <v/>
      </c>
      <c r="M18" s="13">
        <f>IFERROR(H18/D18*1000,"")</f>
        <v/>
      </c>
      <c r="N18" s="13" t="n">
        <v>18244</v>
      </c>
      <c r="O18" s="15">
        <f>IFERROR(IF(OR(N18="",ISBLANK(INDIRECT("'"&amp;$Q$2&amp;"'!N"&amp;ROW()))),"",N18-INDIRECT("'"&amp;$Q$2&amp;"'!N"&amp;ROW())),"")</f>
        <v/>
      </c>
      <c r="P18" s="2" t="n"/>
      <c r="Q18" s="2" t="n"/>
      <c r="R18" s="2" t="n"/>
      <c r="S18" s="18">
        <f>IFERROR(IF(ISBLANK(INDIRECT("'"&amp;$Q$2&amp;"'!G"&amp;ROW())),"",INDIRECT("'"&amp;$Q$2&amp;"'!G"&amp;ROW())),"")</f>
        <v/>
      </c>
      <c r="T18" s="20">
        <f>IF(OR($G18="",$S18=""),"",$G18-$S18)</f>
        <v/>
      </c>
      <c r="U18" s="18">
        <f>IFERROR(IF(ISBLANK(INDIRECT("'"&amp;$Q$2&amp;"'!K"&amp;ROW())),"",INDIRECT("'"&amp;$Q$2&amp;"'!K"&amp;ROW())),"")</f>
        <v/>
      </c>
      <c r="V18" s="20">
        <f>IF(OR($K18="",$U18=""),"",$K18-$U18)</f>
        <v/>
      </c>
      <c r="W18" s="21">
        <f>IFERROR(IF(ISBLANK(INDIRECT("'"&amp;$Q$2&amp;"'!O"&amp;ROW())),"",INDIRECT("'"&amp;$Q$2&amp;"'!O"&amp;ROW())),"")</f>
        <v/>
      </c>
      <c r="X18" s="21">
        <f>IF(OR($O18="",$W18=""),"",$O18-$W18)</f>
        <v/>
      </c>
      <c r="Y18" s="2" t="n"/>
      <c r="Z18" s="2" t="n"/>
    </row>
    <row r="19" ht="14.25" customHeight="1" s="58">
      <c r="A19" s="12" t="inlineStr">
        <is>
          <t>ВКонтакте</t>
        </is>
      </c>
      <c r="B19" s="12" t="inlineStr">
        <is>
          <t>Губкинский</t>
        </is>
      </c>
      <c r="C19" s="13" t="n">
        <v>83</v>
      </c>
      <c r="D19" s="13" t="n">
        <v>159846</v>
      </c>
      <c r="E19" s="13">
        <f>IF($D19="","",IFERROR(IF(ISBLANK(INDIRECT("'"&amp;$Q$2&amp;"'!D"&amp;ROW())),"",INDIRECT("'"&amp;$Q$2&amp;"'!D"&amp;ROW())),""))</f>
        <v/>
      </c>
      <c r="F19" s="15">
        <f>IF(OR(D19="",E19=""),"",D19-E19)</f>
        <v/>
      </c>
      <c r="G19" s="16">
        <f>IFERROR(F19/E19,"")</f>
        <v/>
      </c>
      <c r="H19" s="13" t="n">
        <v>2100</v>
      </c>
      <c r="I19" s="13">
        <f>IF($H19="","",IFERROR(IF(ISBLANK(INDIRECT("'"&amp;$Q$2&amp;"'!H"&amp;ROW())),"",INDIRECT("'"&amp;$Q$2&amp;"'!H"&amp;ROW())),""))</f>
        <v/>
      </c>
      <c r="J19" s="15">
        <f>IF(OR(H19="",I19=""),"",H19-I19)</f>
        <v/>
      </c>
      <c r="K19" s="16">
        <f>IFERROR(J19/I19,"")</f>
        <v/>
      </c>
      <c r="L19" s="13">
        <f>IFERROR(D19/C19,"")</f>
        <v/>
      </c>
      <c r="M19" s="13">
        <f>IFERROR(H19/D19*1000,"")</f>
        <v/>
      </c>
      <c r="N19" s="13" t="n">
        <v>19041</v>
      </c>
      <c r="O19" s="15">
        <f>IFERROR(IF(OR(N19="",ISBLANK(INDIRECT("'"&amp;$Q$2&amp;"'!N"&amp;ROW()))),"",N19-INDIRECT("'"&amp;$Q$2&amp;"'!N"&amp;ROW())),"")</f>
        <v/>
      </c>
      <c r="P19" s="2" t="n"/>
      <c r="Q19" s="2" t="n"/>
      <c r="R19" s="2" t="n"/>
      <c r="S19" s="18">
        <f>IFERROR(IF(ISBLANK(INDIRECT("'"&amp;$Q$2&amp;"'!G"&amp;ROW())),"",INDIRECT("'"&amp;$Q$2&amp;"'!G"&amp;ROW())),"")</f>
        <v/>
      </c>
      <c r="T19" s="20">
        <f>IF(OR($G19="",$S19=""),"",$G19-$S19)</f>
        <v/>
      </c>
      <c r="U19" s="18">
        <f>IFERROR(IF(ISBLANK(INDIRECT("'"&amp;$Q$2&amp;"'!K"&amp;ROW())),"",INDIRECT("'"&amp;$Q$2&amp;"'!K"&amp;ROW())),"")</f>
        <v/>
      </c>
      <c r="V19" s="20">
        <f>IF(OR($K19="",$U19=""),"",$K19-$U19)</f>
        <v/>
      </c>
      <c r="W19" s="21">
        <f>IFERROR(IF(ISBLANK(INDIRECT("'"&amp;$Q$2&amp;"'!O"&amp;ROW())),"",INDIRECT("'"&amp;$Q$2&amp;"'!O"&amp;ROW())),"")</f>
        <v/>
      </c>
      <c r="X19" s="21">
        <f>IF(OR($O19="",$W19=""),"",$O19-$W19)</f>
        <v/>
      </c>
      <c r="Y19" s="2" t="n"/>
      <c r="Z19" s="2" t="n"/>
    </row>
    <row r="20" ht="14.25" customHeight="1" s="58">
      <c r="A20" s="12" t="inlineStr">
        <is>
          <t>ВКонтакте</t>
        </is>
      </c>
      <c r="B20" s="12" t="inlineStr">
        <is>
          <t>Не олени</t>
        </is>
      </c>
      <c r="C20" s="13" t="n">
        <v>21</v>
      </c>
      <c r="D20" s="13" t="n">
        <v>3249</v>
      </c>
      <c r="E20" s="13">
        <f>IF($D20="","",IFERROR(IF(ISBLANK(INDIRECT("'"&amp;$Q$2&amp;"'!D"&amp;ROW())),"",INDIRECT("'"&amp;$Q$2&amp;"'!D"&amp;ROW())),""))</f>
        <v/>
      </c>
      <c r="F20" s="15">
        <f>IF(OR(D20="",E20=""),"",D20-E20)</f>
        <v/>
      </c>
      <c r="G20" s="16">
        <f>IFERROR(F20/E20,"")</f>
        <v/>
      </c>
      <c r="H20" s="13" t="n">
        <v>1876</v>
      </c>
      <c r="I20" s="13">
        <f>IF($H20="","",IFERROR(IF(ISBLANK(INDIRECT("'"&amp;$Q$2&amp;"'!H"&amp;ROW())),"",INDIRECT("'"&amp;$Q$2&amp;"'!H"&amp;ROW())),""))</f>
        <v/>
      </c>
      <c r="J20" s="15">
        <f>IF(OR(H20="",I20=""),"",H20-I20)</f>
        <v/>
      </c>
      <c r="K20" s="16">
        <f>IFERROR(J20/I20,"")</f>
        <v/>
      </c>
      <c r="L20" s="13">
        <f>IFERROR(D20/C20,"")</f>
        <v/>
      </c>
      <c r="M20" s="13">
        <f>IFERROR(H20/D20*1000,"")</f>
        <v/>
      </c>
      <c r="N20" s="13" t="n">
        <v>14800</v>
      </c>
      <c r="O20" s="15">
        <f>IFERROR(IF(OR(N20="",ISBLANK(INDIRECT("'"&amp;$Q$2&amp;"'!N"&amp;ROW()))),"",N20-INDIRECT("'"&amp;$Q$2&amp;"'!N"&amp;ROW())),"")</f>
        <v/>
      </c>
      <c r="P20" s="2" t="n"/>
      <c r="Q20" s="2" t="n"/>
      <c r="R20" s="2" t="n"/>
      <c r="S20" s="18">
        <f>IFERROR(IF(ISBLANK(INDIRECT("'"&amp;$Q$2&amp;"'!G"&amp;ROW())),"",INDIRECT("'"&amp;$Q$2&amp;"'!G"&amp;ROW())),"")</f>
        <v/>
      </c>
      <c r="T20" s="20">
        <f>IF(OR($G20="",$S20=""),"",$G20-$S20)</f>
        <v/>
      </c>
      <c r="U20" s="18">
        <f>IFERROR(IF(ISBLANK(INDIRECT("'"&amp;$Q$2&amp;"'!K"&amp;ROW())),"",INDIRECT("'"&amp;$Q$2&amp;"'!K"&amp;ROW())),"")</f>
        <v/>
      </c>
      <c r="V20" s="20">
        <f>IF(OR($K20="",$U20=""),"",$K20-$U20)</f>
        <v/>
      </c>
      <c r="W20" s="21">
        <f>IFERROR(IF(ISBLANK(INDIRECT("'"&amp;$Q$2&amp;"'!O"&amp;ROW())),"",INDIRECT("'"&amp;$Q$2&amp;"'!O"&amp;ROW())),"")</f>
        <v/>
      </c>
      <c r="X20" s="21">
        <f>IF(OR($O20="",$W20=""),"",$O20-$W20)</f>
        <v/>
      </c>
      <c r="Y20" s="2" t="n"/>
      <c r="Z20" s="2" t="n"/>
    </row>
    <row r="21" ht="14.25" customHeight="1" s="58">
      <c r="A21" s="12" t="inlineStr">
        <is>
          <t>ВКонтакте</t>
        </is>
      </c>
      <c r="B21" s="12" t="inlineStr">
        <is>
          <t>Этноарктика</t>
        </is>
      </c>
      <c r="C21" s="13" t="n">
        <v>5</v>
      </c>
      <c r="D21" s="13" t="n">
        <v>11151</v>
      </c>
      <c r="E21" s="13">
        <f>IF($D21="","",IFERROR(IF(ISBLANK(INDIRECT("'"&amp;$Q$2&amp;"'!D"&amp;ROW())),"",INDIRECT("'"&amp;$Q$2&amp;"'!D"&amp;ROW())),""))</f>
        <v/>
      </c>
      <c r="F21" s="15">
        <f>IF(OR(D21="",E21=""),"",D21-E21)</f>
        <v/>
      </c>
      <c r="G21" s="16">
        <f>IFERROR(F21/E21,"")</f>
        <v/>
      </c>
      <c r="H21" s="13" t="n">
        <v>305</v>
      </c>
      <c r="I21" s="13">
        <f>IF($H21="","",IFERROR(IF(ISBLANK(INDIRECT("'"&amp;$Q$2&amp;"'!H"&amp;ROW())),"",INDIRECT("'"&amp;$Q$2&amp;"'!H"&amp;ROW())),""))</f>
        <v/>
      </c>
      <c r="J21" s="15">
        <f>IF(OR(H21="",I21=""),"",H21-I21)</f>
        <v/>
      </c>
      <c r="K21" s="16">
        <f>IFERROR(J21/I21,"")</f>
        <v/>
      </c>
      <c r="L21" s="13">
        <f>IFERROR(D21/C21,"")</f>
        <v/>
      </c>
      <c r="M21" s="13">
        <f>IFERROR(H21/D21*1000,"")</f>
        <v/>
      </c>
      <c r="N21" s="13" t="n">
        <v>10613</v>
      </c>
      <c r="O21" s="15">
        <f>IFERROR(IF(OR(N21="",ISBLANK(INDIRECT("'"&amp;$Q$2&amp;"'!N"&amp;ROW()))),"",N21-INDIRECT("'"&amp;$Q$2&amp;"'!N"&amp;ROW())),"")</f>
        <v/>
      </c>
      <c r="P21" s="2" t="n"/>
      <c r="Q21" s="2" t="n"/>
      <c r="R21" s="2" t="n"/>
      <c r="S21" s="18">
        <f>IFERROR(IF(ISBLANK(INDIRECT("'"&amp;$Q$2&amp;"'!G"&amp;ROW())),"",INDIRECT("'"&amp;$Q$2&amp;"'!G"&amp;ROW())),"")</f>
        <v/>
      </c>
      <c r="T21" s="20">
        <f>IF(OR($G21="",$S21=""),"",$G21-$S21)</f>
        <v/>
      </c>
      <c r="U21" s="18">
        <f>IFERROR(IF(ISBLANK(INDIRECT("'"&amp;$Q$2&amp;"'!K"&amp;ROW())),"",INDIRECT("'"&amp;$Q$2&amp;"'!K"&amp;ROW())),"")</f>
        <v/>
      </c>
      <c r="V21" s="20">
        <f>IF(OR($K21="",$U21=""),"",$K21-$U21)</f>
        <v/>
      </c>
      <c r="W21" s="21">
        <f>IFERROR(IF(ISBLANK(INDIRECT("'"&amp;$Q$2&amp;"'!O"&amp;ROW())),"",INDIRECT("'"&amp;$Q$2&amp;"'!O"&amp;ROW())),"")</f>
        <v/>
      </c>
      <c r="X21" s="21">
        <f>IF(OR($O21="",$W21=""),"",$O21-$W21)</f>
        <v/>
      </c>
      <c r="Y21" s="2" t="n"/>
      <c r="Z21" s="2" t="n"/>
    </row>
    <row r="22" ht="14.25" customHeight="1" s="58">
      <c r="A22" s="12" t="inlineStr">
        <is>
          <t>ВКонтакте</t>
        </is>
      </c>
      <c r="B22" s="12" t="inlineStr">
        <is>
          <t>ЗажгиФакел</t>
        </is>
      </c>
      <c r="C22" s="13" t="n">
        <v>19</v>
      </c>
      <c r="D22" s="13" t="n">
        <v>3270</v>
      </c>
      <c r="E22" s="13">
        <f>IF($D22="","",IFERROR(IF(ISBLANK(INDIRECT("'"&amp;$Q$2&amp;"'!D"&amp;ROW())),"",INDIRECT("'"&amp;$Q$2&amp;"'!D"&amp;ROW())),""))</f>
        <v/>
      </c>
      <c r="F22" s="15">
        <f>IF(OR(D22="",E22=""),"",D22-E22)</f>
        <v/>
      </c>
      <c r="G22" s="16">
        <f>IFERROR(F22/E22,"")</f>
        <v/>
      </c>
      <c r="H22" s="13" t="n">
        <v>167</v>
      </c>
      <c r="I22" s="13">
        <f>IF($H22="","",IFERROR(IF(ISBLANK(INDIRECT("'"&amp;$Q$2&amp;"'!H"&amp;ROW())),"",INDIRECT("'"&amp;$Q$2&amp;"'!H"&amp;ROW())),""))</f>
        <v/>
      </c>
      <c r="J22" s="15">
        <f>IF(OR(H22="",I22=""),"",H22-I22)</f>
        <v/>
      </c>
      <c r="K22" s="16">
        <f>IFERROR(J22/I22,"")</f>
        <v/>
      </c>
      <c r="L22" s="13">
        <f>IFERROR(D22/C22,"")</f>
        <v/>
      </c>
      <c r="M22" s="13">
        <f>IFERROR(H22/D22*1000,"")</f>
        <v/>
      </c>
      <c r="N22" s="13" t="n">
        <v>7370</v>
      </c>
      <c r="O22" s="15">
        <f>IFERROR(IF(OR(N22="",ISBLANK(INDIRECT("'"&amp;$Q$2&amp;"'!N"&amp;ROW()))),"",N22-INDIRECT("'"&amp;$Q$2&amp;"'!N"&amp;ROW())),"")</f>
        <v/>
      </c>
      <c r="P22" s="2" t="n"/>
      <c r="Q22" s="2" t="n"/>
      <c r="R22" s="2" t="n"/>
      <c r="S22" s="18">
        <f>IFERROR(IF(ISBLANK(INDIRECT("'"&amp;$Q$2&amp;"'!G"&amp;ROW())),"",INDIRECT("'"&amp;$Q$2&amp;"'!G"&amp;ROW())),"")</f>
        <v/>
      </c>
      <c r="T22" s="20">
        <f>IF(OR($G22="",$S22=""),"",$G22-$S22)</f>
        <v/>
      </c>
      <c r="U22" s="18">
        <f>IFERROR(IF(ISBLANK(INDIRECT("'"&amp;$Q$2&amp;"'!K"&amp;ROW())),"",INDIRECT("'"&amp;$Q$2&amp;"'!K"&amp;ROW())),"")</f>
        <v/>
      </c>
      <c r="V22" s="20">
        <f>IF(OR($K22="",$U22=""),"",$K22-$U22)</f>
        <v/>
      </c>
      <c r="W22" s="21">
        <f>IFERROR(IF(ISBLANK(INDIRECT("'"&amp;$Q$2&amp;"'!O"&amp;ROW())),"",INDIRECT("'"&amp;$Q$2&amp;"'!O"&amp;ROW())),"")</f>
        <v/>
      </c>
      <c r="X22" s="21">
        <f>IF(OR($O22="",$W22=""),"",$O22-$W22)</f>
        <v/>
      </c>
      <c r="Y22" s="2" t="n"/>
      <c r="Z22" s="2" t="n"/>
    </row>
    <row r="23" ht="14.25" customHeight="1" s="58">
      <c r="A23" s="12" t="inlineStr">
        <is>
          <t>ВКонтакте</t>
        </is>
      </c>
      <c r="B23" s="12" t="inlineStr">
        <is>
          <t>Нярьяна Нгэрм</t>
        </is>
      </c>
      <c r="C23" s="13" t="n">
        <v>12</v>
      </c>
      <c r="D23" s="13" t="n">
        <v>21466</v>
      </c>
      <c r="E23" s="13">
        <f>IF($D23="","",IFERROR(IF(ISBLANK(INDIRECT("'"&amp;$Q$2&amp;"'!D"&amp;ROW())),"",INDIRECT("'"&amp;$Q$2&amp;"'!D"&amp;ROW())),""))</f>
        <v/>
      </c>
      <c r="F23" s="15">
        <f>IF(OR(D23="",E23=""),"",D23-E23)</f>
        <v/>
      </c>
      <c r="G23" s="16">
        <f>IFERROR(F23/E23,"")</f>
        <v/>
      </c>
      <c r="H23" s="13" t="n">
        <v>583</v>
      </c>
      <c r="I23" s="13">
        <f>IF($H23="","",IFERROR(IF(ISBLANK(INDIRECT("'"&amp;$Q$2&amp;"'!H"&amp;ROW())),"",INDIRECT("'"&amp;$Q$2&amp;"'!H"&amp;ROW())),""))</f>
        <v/>
      </c>
      <c r="J23" s="15">
        <f>IF(OR(H23="",I23=""),"",H23-I23)</f>
        <v/>
      </c>
      <c r="K23" s="16">
        <f>IFERROR(J23/I23,"")</f>
        <v/>
      </c>
      <c r="L23" s="13">
        <f>IFERROR(D23/C23,"")</f>
        <v/>
      </c>
      <c r="M23" s="13">
        <f>IFERROR(H23/D23*1000,"")</f>
        <v/>
      </c>
      <c r="N23" s="13" t="n">
        <v>5634</v>
      </c>
      <c r="O23" s="15">
        <f>IFERROR(IF(OR(N23="",ISBLANK(INDIRECT("'"&amp;$Q$2&amp;"'!N"&amp;ROW()))),"",N23-INDIRECT("'"&amp;$Q$2&amp;"'!N"&amp;ROW())),"")</f>
        <v/>
      </c>
      <c r="P23" s="2" t="n"/>
      <c r="Q23" s="2" t="n"/>
      <c r="R23" s="2" t="n"/>
      <c r="S23" s="18">
        <f>IFERROR(IF(ISBLANK(INDIRECT("'"&amp;$Q$2&amp;"'!G"&amp;ROW())),"",INDIRECT("'"&amp;$Q$2&amp;"'!G"&amp;ROW())),"")</f>
        <v/>
      </c>
      <c r="T23" s="20">
        <f>IF(OR($G23="",$S23=""),"",$G23-$S23)</f>
        <v/>
      </c>
      <c r="U23" s="18">
        <f>IFERROR(IF(ISBLANK(INDIRECT("'"&amp;$Q$2&amp;"'!K"&amp;ROW())),"",INDIRECT("'"&amp;$Q$2&amp;"'!K"&amp;ROW())),"")</f>
        <v/>
      </c>
      <c r="V23" s="20">
        <f>IF(OR($K23="",$U23=""),"",$K23-$U23)</f>
        <v/>
      </c>
      <c r="W23" s="21">
        <f>IFERROR(IF(ISBLANK(INDIRECT("'"&amp;$Q$2&amp;"'!O"&amp;ROW())),"",INDIRECT("'"&amp;$Q$2&amp;"'!O"&amp;ROW())),"")</f>
        <v/>
      </c>
      <c r="X23" s="21">
        <f>IF(OR($O23="",$W23=""),"",$O23-$W23)</f>
        <v/>
      </c>
      <c r="Y23" s="2" t="n"/>
      <c r="Z23" s="2" t="n"/>
    </row>
    <row r="24" ht="14.25" customHeight="1" s="58">
      <c r="A24" s="12" t="inlineStr">
        <is>
          <t>ВКонтакте</t>
        </is>
      </c>
      <c r="B24" s="12" t="inlineStr">
        <is>
          <t>Лух Авт</t>
        </is>
      </c>
      <c r="C24" s="13" t="n">
        <v>7</v>
      </c>
      <c r="D24" s="13" t="n">
        <v>10670</v>
      </c>
      <c r="E24" s="13">
        <f>IF($D24="","",IFERROR(IF(ISBLANK(INDIRECT("'"&amp;$Q$2&amp;"'!D"&amp;ROW())),"",INDIRECT("'"&amp;$Q$2&amp;"'!D"&amp;ROW())),""))</f>
        <v/>
      </c>
      <c r="F24" s="15">
        <f>IF(OR(D24="",E24=""),"",D24-E24)</f>
        <v/>
      </c>
      <c r="G24" s="16">
        <f>IFERROR(F24/E24,"")</f>
        <v/>
      </c>
      <c r="H24" s="13" t="n">
        <v>290</v>
      </c>
      <c r="I24" s="13">
        <f>IF($H24="","",IFERROR(IF(ISBLANK(INDIRECT("'"&amp;$Q$2&amp;"'!H"&amp;ROW())),"",INDIRECT("'"&amp;$Q$2&amp;"'!H"&amp;ROW())),""))</f>
        <v/>
      </c>
      <c r="J24" s="15">
        <f>IF(OR(H24="",I24=""),"",H24-I24)</f>
        <v/>
      </c>
      <c r="K24" s="16">
        <f>IFERROR(J24/I24,"")</f>
        <v/>
      </c>
      <c r="L24" s="13">
        <f>IFERROR(D24/C24,"")</f>
        <v/>
      </c>
      <c r="M24" s="13">
        <f>IFERROR(H24/D24*1000,"")</f>
        <v/>
      </c>
      <c r="N24" s="13" t="n">
        <v>2343</v>
      </c>
      <c r="O24" s="15">
        <f>IFERROR(IF(OR(N24="",ISBLANK(INDIRECT("'"&amp;$Q$2&amp;"'!N"&amp;ROW()))),"",N24-INDIRECT("'"&amp;$Q$2&amp;"'!N"&amp;ROW())),"")</f>
        <v/>
      </c>
      <c r="P24" s="2" t="n"/>
      <c r="Q24" s="2" t="n"/>
      <c r="R24" s="2" t="n"/>
      <c r="S24" s="18">
        <f>IFERROR(IF(ISBLANK(INDIRECT("'"&amp;$Q$2&amp;"'!G"&amp;ROW())),"",INDIRECT("'"&amp;$Q$2&amp;"'!G"&amp;ROW())),"")</f>
        <v/>
      </c>
      <c r="T24" s="20">
        <f>IF(OR($G24="",$S24=""),"",$G24-$S24)</f>
        <v/>
      </c>
      <c r="U24" s="18">
        <f>IFERROR(IF(ISBLANK(INDIRECT("'"&amp;$Q$2&amp;"'!K"&amp;ROW())),"",INDIRECT("'"&amp;$Q$2&amp;"'!K"&amp;ROW())),"")</f>
        <v/>
      </c>
      <c r="V24" s="20">
        <f>IF(OR($K24="",$U24=""),"",$K24-$U24)</f>
        <v/>
      </c>
      <c r="W24" s="21">
        <f>IFERROR(IF(ISBLANK(INDIRECT("'"&amp;$Q$2&amp;"'!O"&amp;ROW())),"",INDIRECT("'"&amp;$Q$2&amp;"'!O"&amp;ROW())),"")</f>
        <v/>
      </c>
      <c r="X24" s="21">
        <f>IF(OR($O24="",$W24=""),"",$O24-$W24)</f>
        <v/>
      </c>
      <c r="Y24" s="2" t="n"/>
      <c r="Z24" s="2" t="n"/>
    </row>
    <row r="25" ht="14.25" customHeight="1" s="58">
      <c r="A25" s="12" t="inlineStr">
        <is>
          <t>ВКонтакте</t>
        </is>
      </c>
      <c r="B25" s="12" t="inlineStr">
        <is>
          <t>Ямальский меридиан</t>
        </is>
      </c>
      <c r="C25" s="13" t="n">
        <v>7</v>
      </c>
      <c r="D25" s="13" t="n">
        <v>22186</v>
      </c>
      <c r="E25" s="13">
        <f>IF($D25="","",IFERROR(IF(ISBLANK(INDIRECT("'"&amp;$Q$2&amp;"'!D"&amp;ROW())),"",INDIRECT("'"&amp;$Q$2&amp;"'!D"&amp;ROW())),""))</f>
        <v/>
      </c>
      <c r="F25" s="15">
        <f>IF(OR(D25="",E25=""),"",D25-E25)</f>
        <v/>
      </c>
      <c r="G25" s="16">
        <f>IFERROR(F25/E25,"")</f>
        <v/>
      </c>
      <c r="H25" s="13" t="n">
        <v>206</v>
      </c>
      <c r="I25" s="13">
        <f>IF($H25="","",IFERROR(IF(ISBLANK(INDIRECT("'"&amp;$Q$2&amp;"'!H"&amp;ROW())),"",INDIRECT("'"&amp;$Q$2&amp;"'!H"&amp;ROW())),""))</f>
        <v/>
      </c>
      <c r="J25" s="15">
        <f>IF(OR(H25="",I25=""),"",H25-I25)</f>
        <v/>
      </c>
      <c r="K25" s="16">
        <f>IFERROR(J25/I25,"")</f>
        <v/>
      </c>
      <c r="L25" s="13">
        <f>IFERROR(D25/C25,"")</f>
        <v/>
      </c>
      <c r="M25" s="13">
        <f>IFERROR(H25/D25*1000,"")</f>
        <v/>
      </c>
      <c r="N25" s="13" t="n">
        <v>6192</v>
      </c>
      <c r="O25" s="15">
        <f>IFERROR(IF(OR(N25="",ISBLANK(INDIRECT("'"&amp;$Q$2&amp;"'!N"&amp;ROW()))),"",N25-INDIRECT("'"&amp;$Q$2&amp;"'!N"&amp;ROW())),"")</f>
        <v/>
      </c>
      <c r="P25" s="2" t="n"/>
      <c r="Q25" s="2" t="n"/>
      <c r="R25" s="2" t="n"/>
      <c r="S25" s="18">
        <f>IFERROR(IF(ISBLANK(INDIRECT("'"&amp;$Q$2&amp;"'!G"&amp;ROW())),"",INDIRECT("'"&amp;$Q$2&amp;"'!G"&amp;ROW())),"")</f>
        <v/>
      </c>
      <c r="T25" s="20">
        <f>IF(OR($G25="",$S25=""),"",$G25-$S25)</f>
        <v/>
      </c>
      <c r="U25" s="18">
        <f>IFERROR(IF(ISBLANK(INDIRECT("'"&amp;$Q$2&amp;"'!K"&amp;ROW())),"",INDIRECT("'"&amp;$Q$2&amp;"'!K"&amp;ROW())),"")</f>
        <v/>
      </c>
      <c r="V25" s="20">
        <f>IF(OR($K25="",$U25=""),"",$K25-$U25)</f>
        <v/>
      </c>
      <c r="W25" s="21">
        <f>IFERROR(IF(ISBLANK(INDIRECT("'"&amp;$Q$2&amp;"'!O"&amp;ROW())),"",INDIRECT("'"&amp;$Q$2&amp;"'!O"&amp;ROW())),"")</f>
        <v/>
      </c>
      <c r="X25" s="21">
        <f>IF(OR($O25="",$W25=""),"",$O25-$W25)</f>
        <v/>
      </c>
      <c r="Y25" s="2" t="n"/>
      <c r="Z25" s="2" t="n"/>
    </row>
    <row r="26" ht="14.25" customHeight="1" s="58">
      <c r="A26" s="12" t="inlineStr">
        <is>
          <t>ВКонтакте</t>
        </is>
      </c>
      <c r="B26" s="12" t="inlineStr">
        <is>
          <t>МК-Ямал</t>
        </is>
      </c>
      <c r="C26" s="13" t="n">
        <v>237</v>
      </c>
      <c r="D26" s="13" t="n">
        <v>40045</v>
      </c>
      <c r="E26" s="13">
        <f>IF($D26="","",IFERROR(IF(ISBLANK(INDIRECT("'"&amp;$Q$2&amp;"'!D"&amp;ROW())),"",INDIRECT("'"&amp;$Q$2&amp;"'!D"&amp;ROW())),""))</f>
        <v/>
      </c>
      <c r="F26" s="15">
        <f>IF(OR(D26="",E26=""),"",D26-E26)</f>
        <v/>
      </c>
      <c r="G26" s="16">
        <f>IFERROR(F26/E26,"")</f>
        <v/>
      </c>
      <c r="H26" s="13" t="n">
        <v>118</v>
      </c>
      <c r="I26" s="13">
        <f>IF($H26="","",IFERROR(IF(ISBLANK(INDIRECT("'"&amp;$Q$2&amp;"'!H"&amp;ROW())),"",INDIRECT("'"&amp;$Q$2&amp;"'!H"&amp;ROW())),""))</f>
        <v/>
      </c>
      <c r="J26" s="15">
        <f>IF(OR(H26="",I26=""),"",H26-I26)</f>
        <v/>
      </c>
      <c r="K26" s="16">
        <f>IFERROR(J26/I26,"")</f>
        <v/>
      </c>
      <c r="L26" s="13">
        <f>IFERROR(D26/C26,"")</f>
        <v/>
      </c>
      <c r="M26" s="13">
        <f>IFERROR(H26/D26*1000,"")</f>
        <v/>
      </c>
      <c r="N26" s="13" t="n">
        <v>7968</v>
      </c>
      <c r="O26" s="15">
        <f>IFERROR(IF(OR(N26="",ISBLANK(INDIRECT("'"&amp;$Q$2&amp;"'!N"&amp;ROW()))),"",N26-INDIRECT("'"&amp;$Q$2&amp;"'!N"&amp;ROW())),"")</f>
        <v/>
      </c>
      <c r="P26" s="2" t="n"/>
      <c r="Q26" s="2" t="n"/>
      <c r="R26" s="2" t="n"/>
      <c r="S26" s="18">
        <f>IFERROR(IF(ISBLANK(INDIRECT("'"&amp;$Q$2&amp;"'!G"&amp;ROW())),"",INDIRECT("'"&amp;$Q$2&amp;"'!G"&amp;ROW())),"")</f>
        <v/>
      </c>
      <c r="T26" s="20">
        <f>IF(OR($G26="",$S26=""),"",$G26-$S26)</f>
        <v/>
      </c>
      <c r="U26" s="18">
        <f>IFERROR(IF(ISBLANK(INDIRECT("'"&amp;$Q$2&amp;"'!K"&amp;ROW())),"",INDIRECT("'"&amp;$Q$2&amp;"'!K"&amp;ROW())),"")</f>
        <v/>
      </c>
      <c r="V26" s="20">
        <f>IF(OR($K26="",$U26=""),"",$K26-$U26)</f>
        <v/>
      </c>
      <c r="W26" s="21">
        <f>IFERROR(IF(ISBLANK(INDIRECT("'"&amp;$Q$2&amp;"'!O"&amp;ROW())),"",INDIRECT("'"&amp;$Q$2&amp;"'!O"&amp;ROW())),"")</f>
        <v/>
      </c>
      <c r="X26" s="21">
        <f>IF(OR($O26="",$W26=""),"",$O26-$W26)</f>
        <v/>
      </c>
      <c r="Y26" s="2" t="n"/>
      <c r="Z26" s="2" t="n"/>
    </row>
    <row r="27" ht="14.25" customHeight="1" s="58">
      <c r="A27" s="12" t="inlineStr">
        <is>
          <t>ВКонтакте</t>
        </is>
      </c>
      <c r="B27" s="12" t="inlineStr">
        <is>
          <t>Арктика Вконтакте</t>
        </is>
      </c>
      <c r="C27" s="13" t="n">
        <v>10</v>
      </c>
      <c r="D27" s="13" t="n">
        <v>2476</v>
      </c>
      <c r="E27" s="13">
        <f>IF($D27="","",IFERROR(IF(ISBLANK(INDIRECT("'"&amp;$Q$2&amp;"'!D"&amp;ROW())),"",INDIRECT("'"&amp;$Q$2&amp;"'!D"&amp;ROW())),""))</f>
        <v/>
      </c>
      <c r="F27" s="15">
        <f>IF(OR(D27="",E27=""),"",D27-E27)</f>
        <v/>
      </c>
      <c r="G27" s="16">
        <f>IFERROR(F27/E27,"")</f>
        <v/>
      </c>
      <c r="H27" s="13" t="n">
        <v>38</v>
      </c>
      <c r="I27" s="13">
        <f>IF($H27="","",IFERROR(IF(ISBLANK(INDIRECT("'"&amp;$Q$2&amp;"'!H"&amp;ROW())),"",INDIRECT("'"&amp;$Q$2&amp;"'!H"&amp;ROW())),""))</f>
        <v/>
      </c>
      <c r="J27" s="15">
        <f>IF(OR(H27="",I27=""),"",H27-I27)</f>
        <v/>
      </c>
      <c r="K27" s="16">
        <f>IFERROR(J27/I27,"")</f>
        <v/>
      </c>
      <c r="L27" s="13">
        <f>IFERROR(D27/C27,"")</f>
        <v/>
      </c>
      <c r="M27" s="13">
        <f>IFERROR(H27/D27*1000,"")</f>
        <v/>
      </c>
      <c r="N27" s="13" t="n">
        <v>16702</v>
      </c>
      <c r="O27" s="15">
        <f>IFERROR(IF(OR(N27="",ISBLANK(INDIRECT("'"&amp;$Q$2&amp;"'!N"&amp;ROW()))),"",N27-INDIRECT("'"&amp;$Q$2&amp;"'!N"&amp;ROW())),"")</f>
        <v/>
      </c>
      <c r="P27" s="2" t="n"/>
      <c r="Q27" s="2" t="n"/>
      <c r="R27" s="2" t="n"/>
      <c r="S27" s="18">
        <f>IFERROR(IF(ISBLANK(INDIRECT("'"&amp;$Q$2&amp;"'!G"&amp;ROW())),"",INDIRECT("'"&amp;$Q$2&amp;"'!G"&amp;ROW())),"")</f>
        <v/>
      </c>
      <c r="T27" s="20">
        <f>IF(OR($G27="",$S27=""),"",$G27-$S27)</f>
        <v/>
      </c>
      <c r="U27" s="18">
        <f>IFERROR(IF(ISBLANK(INDIRECT("'"&amp;$Q$2&amp;"'!K"&amp;ROW())),"",INDIRECT("'"&amp;$Q$2&amp;"'!K"&amp;ROW())),"")</f>
        <v/>
      </c>
      <c r="V27" s="20">
        <f>IF(OR($K27="",$U27=""),"",$K27-$U27)</f>
        <v/>
      </c>
      <c r="W27" s="21">
        <f>IFERROR(IF(ISBLANK(INDIRECT("'"&amp;$Q$2&amp;"'!O"&amp;ROW())),"",INDIRECT("'"&amp;$Q$2&amp;"'!O"&amp;ROW())),"")</f>
        <v/>
      </c>
      <c r="X27" s="21">
        <f>IF(OR($O27="",$W27=""),"",$O27-$W27)</f>
        <v/>
      </c>
      <c r="Y27" s="2" t="n"/>
      <c r="Z27" s="2" t="n"/>
    </row>
    <row r="28" ht="14.25" customHeight="1" s="58">
      <c r="A28" s="12" t="inlineStr">
        <is>
          <t>ВКонтакте</t>
        </is>
      </c>
      <c r="B28" s="12" t="inlineStr">
        <is>
          <t>Ямал Live</t>
        </is>
      </c>
      <c r="C28" s="13" t="n">
        <v>21</v>
      </c>
      <c r="D28" s="13" t="n">
        <v>8406</v>
      </c>
      <c r="E28" s="13">
        <f>IF($D28="","",IFERROR(IF(ISBLANK(INDIRECT("'"&amp;$Q$2&amp;"'!D"&amp;ROW())),"",INDIRECT("'"&amp;$Q$2&amp;"'!D"&amp;ROW())),""))</f>
        <v/>
      </c>
      <c r="F28" s="15">
        <f>IF(OR(D28="",E28=""),"",D28-E28)</f>
        <v/>
      </c>
      <c r="G28" s="16">
        <f>IFERROR(F28/E28,"")</f>
        <v/>
      </c>
      <c r="H28" s="13" t="n">
        <v>45</v>
      </c>
      <c r="I28" s="13">
        <f>IF($H28="","",IFERROR(IF(ISBLANK(INDIRECT("'"&amp;$Q$2&amp;"'!H"&amp;ROW())),"",INDIRECT("'"&amp;$Q$2&amp;"'!H"&amp;ROW())),""))</f>
        <v/>
      </c>
      <c r="J28" s="15">
        <f>IF(OR(H28="",I28=""),"",H28-I28)</f>
        <v/>
      </c>
      <c r="K28" s="16">
        <f>IFERROR(J28/I28,"")</f>
        <v/>
      </c>
      <c r="L28" s="13">
        <f>IFERROR(D28/C28,"")</f>
        <v/>
      </c>
      <c r="M28" s="13">
        <f>IFERROR(H28/D28*1000,"")</f>
        <v/>
      </c>
      <c r="N28" s="13" t="n">
        <v>21932</v>
      </c>
      <c r="O28" s="15">
        <f>IFERROR(IF(OR(N28="",ISBLANK(INDIRECT("'"&amp;$Q$2&amp;"'!N"&amp;ROW()))),"",N28-INDIRECT("'"&amp;$Q$2&amp;"'!N"&amp;ROW())),"")</f>
        <v/>
      </c>
      <c r="P28" s="2" t="n"/>
      <c r="Q28" s="2" t="n"/>
      <c r="R28" s="2" t="n"/>
      <c r="S28" s="18">
        <f>IFERROR(IF(ISBLANK(INDIRECT("'"&amp;$Q$2&amp;"'!G"&amp;ROW())),"",INDIRECT("'"&amp;$Q$2&amp;"'!G"&amp;ROW())),"")</f>
        <v/>
      </c>
      <c r="T28" s="20">
        <f>IF(OR($G28="",$S28=""),"",$G28-$S28)</f>
        <v/>
      </c>
      <c r="U28" s="18">
        <f>IFERROR(IF(ISBLANK(INDIRECT("'"&amp;$Q$2&amp;"'!K"&amp;ROW())),"",INDIRECT("'"&amp;$Q$2&amp;"'!K"&amp;ROW())),"")</f>
        <v/>
      </c>
      <c r="V28" s="20">
        <f>IF(OR($K28="",$U28=""),"",$K28-$U28)</f>
        <v/>
      </c>
      <c r="W28" s="21">
        <f>IFERROR(IF(ISBLANK(INDIRECT("'"&amp;$Q$2&amp;"'!O"&amp;ROW())),"",INDIRECT("'"&amp;$Q$2&amp;"'!O"&amp;ROW())),"")</f>
        <v/>
      </c>
      <c r="X28" s="21">
        <f>IF(OR($O28="",$W28=""),"",$O28-$W28)</f>
        <v/>
      </c>
      <c r="Y28" s="2" t="n"/>
      <c r="Z28" s="2" t="n"/>
    </row>
    <row r="29" ht="14.25" customHeight="1" s="58">
      <c r="A29" s="12" t="inlineStr">
        <is>
          <t>ВКонтакте</t>
        </is>
      </c>
      <c r="B29" s="12" t="inlineStr">
        <is>
          <t>Морошка</t>
        </is>
      </c>
      <c r="C29" s="13" t="n">
        <v>9</v>
      </c>
      <c r="D29" s="13" t="n">
        <v>26347</v>
      </c>
      <c r="E29" s="13">
        <f>IF($D29="","",IFERROR(IF(ISBLANK(INDIRECT("'"&amp;$Q$2&amp;"'!D"&amp;ROW())),"",INDIRECT("'"&amp;$Q$2&amp;"'!D"&amp;ROW())),""))</f>
        <v/>
      </c>
      <c r="F29" s="15">
        <f>IF(OR(D29="",E29=""),"",D29-E29)</f>
        <v/>
      </c>
      <c r="G29" s="16">
        <f>IFERROR(F29/E29,"")</f>
        <v/>
      </c>
      <c r="H29" s="13" t="n">
        <v>363</v>
      </c>
      <c r="I29" s="13">
        <f>IF($H29="","",IFERROR(IF(ISBLANK(INDIRECT("'"&amp;$Q$2&amp;"'!H"&amp;ROW())),"",INDIRECT("'"&amp;$Q$2&amp;"'!H"&amp;ROW())),""))</f>
        <v/>
      </c>
      <c r="J29" s="15">
        <f>IF(OR(H29="",I29=""),"",H29-I29)</f>
        <v/>
      </c>
      <c r="K29" s="16">
        <f>IFERROR(J29/I29,"")</f>
        <v/>
      </c>
      <c r="L29" s="13">
        <f>IFERROR(D29/C29,"")</f>
        <v/>
      </c>
      <c r="M29" s="13">
        <f>IFERROR(H29/D29*1000,"")</f>
        <v/>
      </c>
      <c r="N29" s="13" t="n">
        <v>9759</v>
      </c>
      <c r="O29" s="15">
        <f>IFERROR(IF(OR(N29="",ISBLANK(INDIRECT("'"&amp;$Q$2&amp;"'!N"&amp;ROW()))),"",N29-INDIRECT("'"&amp;$Q$2&amp;"'!N"&amp;ROW())),"")</f>
        <v/>
      </c>
      <c r="P29" s="2" t="n"/>
      <c r="Q29" s="2" t="n"/>
      <c r="R29" s="2" t="n"/>
      <c r="S29" s="18">
        <f>IFERROR(IF(ISBLANK(INDIRECT("'"&amp;$Q$2&amp;"'!G"&amp;ROW())),"",INDIRECT("'"&amp;$Q$2&amp;"'!G"&amp;ROW())),"")</f>
        <v/>
      </c>
      <c r="T29" s="20">
        <f>IF(OR($G29="",$S29=""),"",$G29-$S29)</f>
        <v/>
      </c>
      <c r="U29" s="18">
        <f>IFERROR(IF(ISBLANK(INDIRECT("'"&amp;$Q$2&amp;"'!K"&amp;ROW())),"",INDIRECT("'"&amp;$Q$2&amp;"'!K"&amp;ROW())),"")</f>
        <v/>
      </c>
      <c r="V29" s="20">
        <f>IF(OR($K29="",$U29=""),"",$K29-$U29)</f>
        <v/>
      </c>
      <c r="W29" s="21">
        <f>IFERROR(IF(ISBLANK(INDIRECT("'"&amp;$Q$2&amp;"'!O"&amp;ROW())),"",INDIRECT("'"&amp;$Q$2&amp;"'!O"&amp;ROW())),"")</f>
        <v/>
      </c>
      <c r="X29" s="21">
        <f>IF(OR($O29="",$W29=""),"",$O29-$W29)</f>
        <v/>
      </c>
      <c r="Y29" s="2" t="n"/>
      <c r="Z29" s="2" t="n"/>
    </row>
    <row r="30" ht="14.25" customHeight="1" s="58">
      <c r="A30" s="25" t="n"/>
      <c r="B30" s="25" t="inlineStr">
        <is>
          <t>Итого ВКонтакте</t>
        </is>
      </c>
      <c r="C30" s="26">
        <f>SUM(C3:C29)</f>
        <v/>
      </c>
      <c r="D30" s="26">
        <f>SUM(D3:D29)</f>
        <v/>
      </c>
      <c r="E30" s="26">
        <f>SUM(E3:E29)</f>
        <v/>
      </c>
      <c r="F30" s="27">
        <f>SUM(F3:F29)</f>
        <v/>
      </c>
      <c r="G30" s="28">
        <f>IF(C30=0,"",IFERROR(F30/E30,""))</f>
        <v/>
      </c>
      <c r="H30" s="26">
        <f>SUM(H3:H29)</f>
        <v/>
      </c>
      <c r="I30" s="26">
        <f>SUM(I3:I29)</f>
        <v/>
      </c>
      <c r="J30" s="27">
        <f>SUM(J3:J29)</f>
        <v/>
      </c>
      <c r="K30" s="28">
        <f>IF(C30=0,"",IFERROR(J30/I30,""))</f>
        <v/>
      </c>
      <c r="L30" s="26">
        <f>IFERROR(D30/C30,"")</f>
        <v/>
      </c>
      <c r="M30" s="26">
        <f>IFERROR(H30/D30*1000,"")</f>
        <v/>
      </c>
      <c r="N30" s="26">
        <f>SUM(N3:N29)</f>
        <v/>
      </c>
      <c r="O30" s="27">
        <f>SUM(O3:O29)</f>
        <v/>
      </c>
      <c r="P30" s="2" t="n"/>
      <c r="Q30" s="2" t="n"/>
      <c r="R30" s="2" t="n"/>
      <c r="S30" s="29">
        <f>IFERROR(IF(ISBLANK(INDIRECT("'"&amp;$Q$2&amp;"'!G"&amp;ROW())),"",INDIRECT("'"&amp;$Q$2&amp;"'!G"&amp;ROW())),"")</f>
        <v/>
      </c>
      <c r="T30" s="30">
        <f>IF(OR($G30="",$S30=""),"",$G30-$S30)</f>
        <v/>
      </c>
      <c r="U30" s="29">
        <f>IFERROR(IF(ISBLANK(INDIRECT("'"&amp;$Q$2&amp;"'!K"&amp;ROW())),"",INDIRECT("'"&amp;$Q$2&amp;"'!K"&amp;ROW())),"")</f>
        <v/>
      </c>
      <c r="V30" s="30">
        <f>IF(OR($K30="",$U30=""),"",$K30-$U30)</f>
        <v/>
      </c>
      <c r="W30" s="31">
        <f>IFERROR(IF(ISBLANK(INDIRECT("'"&amp;$Q$2&amp;"'!O"&amp;ROW())),"",INDIRECT("'"&amp;$Q$2&amp;"'!O"&amp;ROW())),"")</f>
        <v/>
      </c>
      <c r="X30" s="31">
        <f>IF(OR(C30=0,$O30="",$W30=""),"",$O30-$W30)</f>
        <v/>
      </c>
      <c r="Y30" s="2" t="n"/>
      <c r="Z30" s="2" t="n"/>
    </row>
    <row r="31" ht="14.25" customHeight="1" s="58">
      <c r="A31" s="12" t="inlineStr">
        <is>
          <t>Одноклассники</t>
        </is>
      </c>
      <c r="B31" s="12" t="inlineStr">
        <is>
          <t>Ямал-Медиа</t>
        </is>
      </c>
      <c r="C31" s="13" t="n">
        <v>114</v>
      </c>
      <c r="D31" s="13" t="n">
        <v>29953</v>
      </c>
      <c r="E31" s="13">
        <f>IF($D31="","",IFERROR(IF(ISBLANK(INDIRECT("'"&amp;$Q$2&amp;"'!D"&amp;ROW())),"",INDIRECT("'"&amp;$Q$2&amp;"'!D"&amp;ROW())),""))</f>
        <v/>
      </c>
      <c r="F31" s="15">
        <f>IF(OR(D31="",E31=""),"",D31-E31)</f>
        <v/>
      </c>
      <c r="G31" s="16">
        <f>IFERROR(F31/E31,"")</f>
        <v/>
      </c>
      <c r="H31" s="13" t="n">
        <v>158</v>
      </c>
      <c r="I31" s="13">
        <f>IF($H31="","",IFERROR(IF(ISBLANK(INDIRECT("'"&amp;$Q$2&amp;"'!H"&amp;ROW())),"",INDIRECT("'"&amp;$Q$2&amp;"'!H"&amp;ROW())),""))</f>
        <v/>
      </c>
      <c r="J31" s="15">
        <f>IF(OR(H31="",I31=""),"",H31-I31)</f>
        <v/>
      </c>
      <c r="K31" s="16">
        <f>IFERROR(J31/I31,"")</f>
        <v/>
      </c>
      <c r="L31" s="13">
        <f>IFERROR(D31/C31,"")</f>
        <v/>
      </c>
      <c r="M31" s="13">
        <f>IFERROR(H31/D31*1000,"")</f>
        <v/>
      </c>
      <c r="N31" s="13" t="n">
        <v>32493</v>
      </c>
      <c r="O31" s="15">
        <f>IFERROR(IF(OR(N31="",ISBLANK(INDIRECT("'"&amp;$Q$2&amp;"'!N"&amp;ROW()))),"",N31-INDIRECT("'"&amp;$Q$2&amp;"'!N"&amp;ROW())),"")</f>
        <v/>
      </c>
      <c r="P31" s="2" t="n"/>
      <c r="Q31" s="2" t="n"/>
      <c r="R31" s="2" t="n"/>
      <c r="S31" s="18">
        <f>IFERROR(IF(ISBLANK(INDIRECT("'"&amp;$Q$2&amp;"'!G"&amp;ROW())),"",INDIRECT("'"&amp;$Q$2&amp;"'!G"&amp;ROW())),"")</f>
        <v/>
      </c>
      <c r="T31" s="20">
        <f>IF(OR($G31="",$S31=""),"",$G31-$S31)</f>
        <v/>
      </c>
      <c r="U31" s="18">
        <f>IFERROR(IF(ISBLANK(INDIRECT("'"&amp;$Q$2&amp;"'!K"&amp;ROW())),"",INDIRECT("'"&amp;$Q$2&amp;"'!K"&amp;ROW())),"")</f>
        <v/>
      </c>
      <c r="V31" s="20">
        <f>IF(OR($K31="",$U31=""),"",$K31-$U31)</f>
        <v/>
      </c>
      <c r="W31" s="21">
        <f>IFERROR(IF(ISBLANK(INDIRECT("'"&amp;$Q$2&amp;"'!O"&amp;ROW())),"",INDIRECT("'"&amp;$Q$2&amp;"'!O"&amp;ROW())),"")</f>
        <v/>
      </c>
      <c r="X31" s="21">
        <f>IF(OR($O31="",$W31=""),"",$O31-$W31)</f>
        <v/>
      </c>
      <c r="Y31" s="2" t="n"/>
      <c r="Z31" s="2" t="n"/>
    </row>
    <row r="32" ht="14.25" customHeight="1" s="58">
      <c r="A32" s="12" t="inlineStr">
        <is>
          <t>Одноклассники</t>
        </is>
      </c>
      <c r="B32" s="12" t="inlineStr">
        <is>
          <t>Север-Пресс</t>
        </is>
      </c>
      <c r="C32" s="13" t="n">
        <v>102</v>
      </c>
      <c r="D32" s="13" t="n">
        <v>35196</v>
      </c>
      <c r="E32" s="13">
        <f>IF($D32="","",IFERROR(IF(ISBLANK(INDIRECT("'"&amp;$Q$2&amp;"'!D"&amp;ROW())),"",INDIRECT("'"&amp;$Q$2&amp;"'!D"&amp;ROW())),""))</f>
        <v/>
      </c>
      <c r="F32" s="15">
        <f>IF(OR(D32="",E32=""),"",D32-E32)</f>
        <v/>
      </c>
      <c r="G32" s="16">
        <f>IFERROR(F32/E32,"")</f>
        <v/>
      </c>
      <c r="H32" s="13" t="n">
        <v>30</v>
      </c>
      <c r="I32" s="13">
        <f>IF($H32="","",IFERROR(IF(ISBLANK(INDIRECT("'"&amp;$Q$2&amp;"'!H"&amp;ROW())),"",INDIRECT("'"&amp;$Q$2&amp;"'!H"&amp;ROW())),""))</f>
        <v/>
      </c>
      <c r="J32" s="15">
        <f>IF(OR(H32="",I32=""),"",H32-I32)</f>
        <v/>
      </c>
      <c r="K32" s="16">
        <f>IFERROR(J32/I32,"")</f>
        <v/>
      </c>
      <c r="L32" s="13">
        <f>IFERROR(D32/C32,"")</f>
        <v/>
      </c>
      <c r="M32" s="13">
        <f>IFERROR(H32/D32*1000,"")</f>
        <v/>
      </c>
      <c r="N32" s="13" t="n">
        <v>21739</v>
      </c>
      <c r="O32" s="15">
        <f>IFERROR(IF(OR(N32="",ISBLANK(INDIRECT("'"&amp;$Q$2&amp;"'!N"&amp;ROW()))),"",N32-INDIRECT("'"&amp;$Q$2&amp;"'!N"&amp;ROW())),"")</f>
        <v/>
      </c>
      <c r="P32" s="2" t="n"/>
      <c r="Q32" s="2" t="n"/>
      <c r="R32" s="2" t="n"/>
      <c r="S32" s="18">
        <f>IFERROR(IF(ISBLANK(INDIRECT("'"&amp;$Q$2&amp;"'!G"&amp;ROW())),"",INDIRECT("'"&amp;$Q$2&amp;"'!G"&amp;ROW())),"")</f>
        <v/>
      </c>
      <c r="T32" s="20">
        <f>IF(OR($G32="",$S32=""),"",$G32-$S32)</f>
        <v/>
      </c>
      <c r="U32" s="18">
        <f>IFERROR(IF(ISBLANK(INDIRECT("'"&amp;$Q$2&amp;"'!K"&amp;ROW())),"",INDIRECT("'"&amp;$Q$2&amp;"'!K"&amp;ROW())),"")</f>
        <v/>
      </c>
      <c r="V32" s="20">
        <f>IF(OR($K32="",$U32=""),"",$K32-$U32)</f>
        <v/>
      </c>
      <c r="W32" s="21">
        <f>IFERROR(IF(ISBLANK(INDIRECT("'"&amp;$Q$2&amp;"'!O"&amp;ROW())),"",INDIRECT("'"&amp;$Q$2&amp;"'!O"&amp;ROW())),"")</f>
        <v/>
      </c>
      <c r="X32" s="21">
        <f>IF(OR($O32="",$W32=""),"",$O32-$W32)</f>
        <v/>
      </c>
      <c r="Y32" s="2" t="n"/>
      <c r="Z32" s="2" t="n"/>
    </row>
    <row r="33" ht="14.25" customHeight="1" s="58">
      <c r="A33" s="12" t="inlineStr">
        <is>
          <t>Одноклассники</t>
        </is>
      </c>
      <c r="B33" s="12" t="inlineStr">
        <is>
          <t>Красный Север</t>
        </is>
      </c>
      <c r="C33" s="13" t="n">
        <v>73</v>
      </c>
      <c r="D33" s="13" t="n">
        <v>24690</v>
      </c>
      <c r="E33" s="13">
        <f>IF($D33="","",IFERROR(IF(ISBLANK(INDIRECT("'"&amp;$Q$2&amp;"'!D"&amp;ROW())),"",INDIRECT("'"&amp;$Q$2&amp;"'!D"&amp;ROW())),""))</f>
        <v/>
      </c>
      <c r="F33" s="15">
        <f>IF(OR(D33="",E33=""),"",D33-E33)</f>
        <v/>
      </c>
      <c r="G33" s="16">
        <f>IFERROR(F33/E33,"")</f>
        <v/>
      </c>
      <c r="H33" s="13" t="n">
        <v>20</v>
      </c>
      <c r="I33" s="13">
        <f>IF($H33="","",IFERROR(IF(ISBLANK(INDIRECT("'"&amp;$Q$2&amp;"'!H"&amp;ROW())),"",INDIRECT("'"&amp;$Q$2&amp;"'!H"&amp;ROW())),""))</f>
        <v/>
      </c>
      <c r="J33" s="15">
        <f>IF(OR(H33="",I33=""),"",H33-I33)</f>
        <v/>
      </c>
      <c r="K33" s="16">
        <f>IFERROR(J33/I33,"")</f>
        <v/>
      </c>
      <c r="L33" s="13">
        <f>IFERROR(D33/C33,"")</f>
        <v/>
      </c>
      <c r="M33" s="13">
        <f>IFERROR(H33/D33*1000,"")</f>
        <v/>
      </c>
      <c r="N33" s="13" t="n">
        <v>8964</v>
      </c>
      <c r="O33" s="15">
        <f>IFERROR(IF(OR(N33="",ISBLANK(INDIRECT("'"&amp;$Q$2&amp;"'!N"&amp;ROW()))),"",N33-INDIRECT("'"&amp;$Q$2&amp;"'!N"&amp;ROW())),"")</f>
        <v/>
      </c>
      <c r="P33" s="2" t="n"/>
      <c r="Q33" s="2" t="n"/>
      <c r="R33" s="2" t="n"/>
      <c r="S33" s="18">
        <f>IFERROR(IF(ISBLANK(INDIRECT("'"&amp;$Q$2&amp;"'!G"&amp;ROW())),"",INDIRECT("'"&amp;$Q$2&amp;"'!G"&amp;ROW())),"")</f>
        <v/>
      </c>
      <c r="T33" s="20">
        <f>IF(OR($G33="",$S33=""),"",$G33-$S33)</f>
        <v/>
      </c>
      <c r="U33" s="18">
        <f>IFERROR(IF(ISBLANK(INDIRECT("'"&amp;$Q$2&amp;"'!K"&amp;ROW())),"",INDIRECT("'"&amp;$Q$2&amp;"'!K"&amp;ROW())),"")</f>
        <v/>
      </c>
      <c r="V33" s="20">
        <f>IF(OR($K33="",$U33=""),"",$K33-$U33)</f>
        <v/>
      </c>
      <c r="W33" s="21">
        <f>IFERROR(IF(ISBLANK(INDIRECT("'"&amp;$Q$2&amp;"'!O"&amp;ROW())),"",INDIRECT("'"&amp;$Q$2&amp;"'!O"&amp;ROW())),"")</f>
        <v/>
      </c>
      <c r="X33" s="21">
        <f>IF(OR($O33="",$W33=""),"",$O33-$W33)</f>
        <v/>
      </c>
      <c r="Y33" s="2" t="n"/>
      <c r="Z33" s="2" t="n"/>
    </row>
    <row r="34" ht="14.25" customHeight="1" s="58">
      <c r="A34" s="12" t="inlineStr">
        <is>
          <t>Одноклассники</t>
        </is>
      </c>
      <c r="B34" s="12" t="inlineStr">
        <is>
          <t>Новый Уренгой</t>
        </is>
      </c>
      <c r="C34" s="13" t="n">
        <v>78</v>
      </c>
      <c r="D34" s="13" t="n">
        <v>583</v>
      </c>
      <c r="E34" s="13">
        <f>IF($D34="","",IFERROR(IF(ISBLANK(INDIRECT("'"&amp;$Q$2&amp;"'!D"&amp;ROW())),"",INDIRECT("'"&amp;$Q$2&amp;"'!D"&amp;ROW())),""))</f>
        <v/>
      </c>
      <c r="F34" s="15">
        <f>IF(OR(D34="",E34=""),"",D34-E34)</f>
        <v/>
      </c>
      <c r="G34" s="16">
        <f>IFERROR(F34/E34,"")</f>
        <v/>
      </c>
      <c r="H34" s="13" t="n">
        <v>0</v>
      </c>
      <c r="I34" s="13">
        <f>IF($H34="","",IFERROR(IF(ISBLANK(INDIRECT("'"&amp;$Q$2&amp;"'!H"&amp;ROW())),"",INDIRECT("'"&amp;$Q$2&amp;"'!H"&amp;ROW())),""))</f>
        <v/>
      </c>
      <c r="J34" s="15">
        <f>IF(OR(H34="",I34=""),"",H34-I34)</f>
        <v/>
      </c>
      <c r="K34" s="16">
        <f>IFERROR(J34/I34,"")</f>
        <v/>
      </c>
      <c r="L34" s="13">
        <f>IFERROR(D34/C34,"")</f>
        <v/>
      </c>
      <c r="M34" s="13">
        <f>IFERROR(H34/D34*1000,"")</f>
        <v/>
      </c>
      <c r="N34" s="13" t="n">
        <v>6</v>
      </c>
      <c r="O34" s="15">
        <f>IFERROR(IF(OR(N34="",ISBLANK(INDIRECT("'"&amp;$Q$2&amp;"'!N"&amp;ROW()))),"",N34-INDIRECT("'"&amp;$Q$2&amp;"'!N"&amp;ROW())),"")</f>
        <v/>
      </c>
      <c r="P34" s="2" t="n"/>
      <c r="Q34" s="2" t="n"/>
      <c r="R34" s="2" t="n"/>
      <c r="S34" s="18">
        <f>IFERROR(IF(ISBLANK(INDIRECT("'"&amp;$Q$2&amp;"'!G"&amp;ROW())),"",INDIRECT("'"&amp;$Q$2&amp;"'!G"&amp;ROW())),"")</f>
        <v/>
      </c>
      <c r="T34" s="20">
        <f>IF(OR($G34="",$S34=""),"",$G34-$S34)</f>
        <v/>
      </c>
      <c r="U34" s="18">
        <f>IFERROR(IF(ISBLANK(INDIRECT("'"&amp;$Q$2&amp;"'!K"&amp;ROW())),"",INDIRECT("'"&amp;$Q$2&amp;"'!K"&amp;ROW())),"")</f>
        <v/>
      </c>
      <c r="V34" s="20">
        <f>IF(OR($K34="",$U34=""),"",$K34-$U34)</f>
        <v/>
      </c>
      <c r="W34" s="21">
        <f>IFERROR(IF(ISBLANK(INDIRECT("'"&amp;$Q$2&amp;"'!O"&amp;ROW())),"",INDIRECT("'"&amp;$Q$2&amp;"'!O"&amp;ROW())),"")</f>
        <v/>
      </c>
      <c r="X34" s="21">
        <f>IF(OR($O34="",$W34=""),"",$O34-$W34)</f>
        <v/>
      </c>
      <c r="Y34" s="2" t="n"/>
      <c r="Z34" s="2" t="n"/>
    </row>
    <row r="35" ht="14.25" customHeight="1" s="58">
      <c r="A35" s="12" t="inlineStr">
        <is>
          <t>Одноклассники</t>
        </is>
      </c>
      <c r="B35" s="12" t="inlineStr">
        <is>
          <t>Надым</t>
        </is>
      </c>
      <c r="C35" s="13" t="n">
        <v>73</v>
      </c>
      <c r="D35" s="13" t="n">
        <v>7094</v>
      </c>
      <c r="E35" s="13">
        <f>IF($D35="","",IFERROR(IF(ISBLANK(INDIRECT("'"&amp;$Q$2&amp;"'!D"&amp;ROW())),"",INDIRECT("'"&amp;$Q$2&amp;"'!D"&amp;ROW())),""))</f>
        <v/>
      </c>
      <c r="F35" s="15">
        <f>IF(OR(D35="",E35=""),"",D35-E35)</f>
        <v/>
      </c>
      <c r="G35" s="16">
        <f>IFERROR(F35/E35,"")</f>
        <v/>
      </c>
      <c r="H35" s="13" t="n">
        <v>72</v>
      </c>
      <c r="I35" s="13">
        <f>IF($H35="","",IFERROR(IF(ISBLANK(INDIRECT("'"&amp;$Q$2&amp;"'!H"&amp;ROW())),"",INDIRECT("'"&amp;$Q$2&amp;"'!H"&amp;ROW())),""))</f>
        <v/>
      </c>
      <c r="J35" s="15">
        <f>IF(OR(H35="",I35=""),"",H35-I35)</f>
        <v/>
      </c>
      <c r="K35" s="16">
        <f>IFERROR(J35/I35,"")</f>
        <v/>
      </c>
      <c r="L35" s="13">
        <f>IFERROR(D35/C35,"")</f>
        <v/>
      </c>
      <c r="M35" s="13">
        <f>IFERROR(H35/D35*1000,"")</f>
        <v/>
      </c>
      <c r="N35" s="13" t="n">
        <v>1943</v>
      </c>
      <c r="O35" s="15">
        <f>IFERROR(IF(OR(N35="",ISBLANK(INDIRECT("'"&amp;$Q$2&amp;"'!N"&amp;ROW()))),"",N35-INDIRECT("'"&amp;$Q$2&amp;"'!N"&amp;ROW())),"")</f>
        <v/>
      </c>
      <c r="P35" s="2" t="n"/>
      <c r="Q35" s="2" t="n"/>
      <c r="R35" s="2" t="n"/>
      <c r="S35" s="18">
        <f>IFERROR(IF(ISBLANK(INDIRECT("'"&amp;$Q$2&amp;"'!G"&amp;ROW())),"",INDIRECT("'"&amp;$Q$2&amp;"'!G"&amp;ROW())),"")</f>
        <v/>
      </c>
      <c r="T35" s="20">
        <f>IF(OR($G35="",$S35=""),"",$G35-$S35)</f>
        <v/>
      </c>
      <c r="U35" s="18">
        <f>IFERROR(IF(ISBLANK(INDIRECT("'"&amp;$Q$2&amp;"'!K"&amp;ROW())),"",INDIRECT("'"&amp;$Q$2&amp;"'!K"&amp;ROW())),"")</f>
        <v/>
      </c>
      <c r="V35" s="20">
        <f>IF(OR($K35="",$U35=""),"",$K35-$U35)</f>
        <v/>
      </c>
      <c r="W35" s="21">
        <f>IFERROR(IF(ISBLANK(INDIRECT("'"&amp;$Q$2&amp;"'!O"&amp;ROW())),"",INDIRECT("'"&amp;$Q$2&amp;"'!O"&amp;ROW())),"")</f>
        <v/>
      </c>
      <c r="X35" s="21">
        <f>IF(OR($O35="",$W35=""),"",$O35-$W35)</f>
        <v/>
      </c>
      <c r="Y35" s="2" t="n"/>
      <c r="Z35" s="2" t="n"/>
    </row>
    <row r="36" ht="14.25" customHeight="1" s="58">
      <c r="A36" s="12" t="inlineStr">
        <is>
          <t>Одноклассники</t>
        </is>
      </c>
      <c r="B36" s="12" t="inlineStr">
        <is>
          <t>Ноябрьск</t>
        </is>
      </c>
      <c r="C36" s="13" t="n">
        <v>83</v>
      </c>
      <c r="D36" s="13" t="n">
        <v>35834</v>
      </c>
      <c r="E36" s="13">
        <f>IF($D36="","",IFERROR(IF(ISBLANK(INDIRECT("'"&amp;$Q$2&amp;"'!D"&amp;ROW())),"",INDIRECT("'"&amp;$Q$2&amp;"'!D"&amp;ROW())),""))</f>
        <v/>
      </c>
      <c r="F36" s="15">
        <f>IF(OR(D36="",E36=""),"",D36-E36)</f>
        <v/>
      </c>
      <c r="G36" s="16">
        <f>IFERROR(F36/E36,"")</f>
        <v/>
      </c>
      <c r="H36" s="13" t="n">
        <v>491</v>
      </c>
      <c r="I36" s="13">
        <f>IF($H36="","",IFERROR(IF(ISBLANK(INDIRECT("'"&amp;$Q$2&amp;"'!H"&amp;ROW())),"",INDIRECT("'"&amp;$Q$2&amp;"'!H"&amp;ROW())),""))</f>
        <v/>
      </c>
      <c r="J36" s="15">
        <f>IF(OR(H36="",I36=""),"",H36-I36)</f>
        <v/>
      </c>
      <c r="K36" s="16">
        <f>IFERROR(J36/I36,"")</f>
        <v/>
      </c>
      <c r="L36" s="13">
        <f>IFERROR(D36/C36,"")</f>
        <v/>
      </c>
      <c r="M36" s="13">
        <f>IFERROR(H36/D36*1000,"")</f>
        <v/>
      </c>
      <c r="N36" s="13" t="n">
        <v>5896</v>
      </c>
      <c r="O36" s="15">
        <f>IFERROR(IF(OR(N36="",ISBLANK(INDIRECT("'"&amp;$Q$2&amp;"'!N"&amp;ROW()))),"",N36-INDIRECT("'"&amp;$Q$2&amp;"'!N"&amp;ROW())),"")</f>
        <v/>
      </c>
      <c r="P36" s="2" t="n"/>
      <c r="Q36" s="2" t="n"/>
      <c r="R36" s="2" t="n"/>
      <c r="S36" s="18">
        <f>IFERROR(IF(ISBLANK(INDIRECT("'"&amp;$Q$2&amp;"'!G"&amp;ROW())),"",INDIRECT("'"&amp;$Q$2&amp;"'!G"&amp;ROW())),"")</f>
        <v/>
      </c>
      <c r="T36" s="20">
        <f>IF(OR($G36="",$S36=""),"",$G36-$S36)</f>
        <v/>
      </c>
      <c r="U36" s="18">
        <f>IFERROR(IF(ISBLANK(INDIRECT("'"&amp;$Q$2&amp;"'!K"&amp;ROW())),"",INDIRECT("'"&amp;$Q$2&amp;"'!K"&amp;ROW())),"")</f>
        <v/>
      </c>
      <c r="V36" s="20">
        <f>IF(OR($K36="",$U36=""),"",$K36-$U36)</f>
        <v/>
      </c>
      <c r="W36" s="21">
        <f>IFERROR(IF(ISBLANK(INDIRECT("'"&amp;$Q$2&amp;"'!O"&amp;ROW())),"",INDIRECT("'"&amp;$Q$2&amp;"'!O"&amp;ROW())),"")</f>
        <v/>
      </c>
      <c r="X36" s="21">
        <f>IF(OR($O36="",$W36=""),"",$O36-$W36)</f>
        <v/>
      </c>
      <c r="Y36" s="2" t="n"/>
      <c r="Z36" s="2" t="n"/>
    </row>
    <row r="37" ht="14.25" customHeight="1" s="58">
      <c r="A37" s="12" t="inlineStr">
        <is>
          <t>Одноклассники</t>
        </is>
      </c>
      <c r="B37" s="12" t="inlineStr">
        <is>
          <t>Салехард</t>
        </is>
      </c>
      <c r="C37" s="13" t="n">
        <v>130</v>
      </c>
      <c r="D37" s="13" t="n">
        <v>7921</v>
      </c>
      <c r="E37" s="13">
        <f>IF($D37="","",IFERROR(IF(ISBLANK(INDIRECT("'"&amp;$Q$2&amp;"'!D"&amp;ROW())),"",INDIRECT("'"&amp;$Q$2&amp;"'!D"&amp;ROW())),""))</f>
        <v/>
      </c>
      <c r="F37" s="15">
        <f>IF(OR(D37="",E37=""),"",D37-E37)</f>
        <v/>
      </c>
      <c r="G37" s="16">
        <f>IFERROR(F37/E37,"")</f>
        <v/>
      </c>
      <c r="H37" s="13" t="n">
        <v>96</v>
      </c>
      <c r="I37" s="13">
        <f>IF($H37="","",IFERROR(IF(ISBLANK(INDIRECT("'"&amp;$Q$2&amp;"'!H"&amp;ROW())),"",INDIRECT("'"&amp;$Q$2&amp;"'!H"&amp;ROW())),""))</f>
        <v/>
      </c>
      <c r="J37" s="15">
        <f>IF(OR(H37="",I37=""),"",H37-I37)</f>
        <v/>
      </c>
      <c r="K37" s="16">
        <f>IFERROR(J37/I37,"")</f>
        <v/>
      </c>
      <c r="L37" s="13">
        <f>IFERROR(D37/C37,"")</f>
        <v/>
      </c>
      <c r="M37" s="13">
        <f>IFERROR(H37/D37*1000,"")</f>
        <v/>
      </c>
      <c r="N37" s="13" t="n">
        <v>3239</v>
      </c>
      <c r="O37" s="15">
        <f>IFERROR(IF(OR(N37="",ISBLANK(INDIRECT("'"&amp;$Q$2&amp;"'!N"&amp;ROW()))),"",N37-INDIRECT("'"&amp;$Q$2&amp;"'!N"&amp;ROW())),"")</f>
        <v/>
      </c>
      <c r="P37" s="2" t="n"/>
      <c r="Q37" s="2" t="n"/>
      <c r="R37" s="2" t="n"/>
      <c r="S37" s="18">
        <f>IFERROR(IF(ISBLANK(INDIRECT("'"&amp;$Q$2&amp;"'!G"&amp;ROW())),"",INDIRECT("'"&amp;$Q$2&amp;"'!G"&amp;ROW())),"")</f>
        <v/>
      </c>
      <c r="T37" s="20">
        <f>IF(OR($G37="",$S37=""),"",$G37-$S37)</f>
        <v/>
      </c>
      <c r="U37" s="18">
        <f>IFERROR(IF(ISBLANK(INDIRECT("'"&amp;$Q$2&amp;"'!K"&amp;ROW())),"",INDIRECT("'"&amp;$Q$2&amp;"'!K"&amp;ROW())),"")</f>
        <v/>
      </c>
      <c r="V37" s="20">
        <f>IF(OR($K37="",$U37=""),"",$K37-$U37)</f>
        <v/>
      </c>
      <c r="W37" s="21">
        <f>IFERROR(IF(ISBLANK(INDIRECT("'"&amp;$Q$2&amp;"'!O"&amp;ROW())),"",INDIRECT("'"&amp;$Q$2&amp;"'!O"&amp;ROW())),"")</f>
        <v/>
      </c>
      <c r="X37" s="21">
        <f>IF(OR($O37="",$W37=""),"",$O37-$W37)</f>
        <v/>
      </c>
      <c r="Y37" s="2" t="n"/>
      <c r="Z37" s="2" t="n"/>
    </row>
    <row r="38" ht="14.25" customHeight="1" s="58">
      <c r="A38" s="12" t="inlineStr">
        <is>
          <t>Одноклассники</t>
        </is>
      </c>
      <c r="B38" s="12" t="inlineStr">
        <is>
          <t>Приуралье</t>
        </is>
      </c>
      <c r="C38" s="13" t="n">
        <v>104</v>
      </c>
      <c r="D38" s="13" t="n">
        <v>10012</v>
      </c>
      <c r="E38" s="13">
        <f>IF($D38="","",IFERROR(IF(ISBLANK(INDIRECT("'"&amp;$Q$2&amp;"'!D"&amp;ROW())),"",INDIRECT("'"&amp;$Q$2&amp;"'!D"&amp;ROW())),""))</f>
        <v/>
      </c>
      <c r="F38" s="15">
        <f>IF(OR(D38="",E38=""),"",D38-E38)</f>
        <v/>
      </c>
      <c r="G38" s="16">
        <f>IFERROR(F38/E38,"")</f>
        <v/>
      </c>
      <c r="H38" s="13" t="n">
        <v>273</v>
      </c>
      <c r="I38" s="13">
        <f>IF($H38="","",IFERROR(IF(ISBLANK(INDIRECT("'"&amp;$Q$2&amp;"'!H"&amp;ROW())),"",INDIRECT("'"&amp;$Q$2&amp;"'!H"&amp;ROW())),""))</f>
        <v/>
      </c>
      <c r="J38" s="15">
        <f>IF(OR(H38="",I38=""),"",H38-I38)</f>
        <v/>
      </c>
      <c r="K38" s="16">
        <f>IFERROR(J38/I38,"")</f>
        <v/>
      </c>
      <c r="L38" s="13">
        <f>IFERROR(D38/C38,"")</f>
        <v/>
      </c>
      <c r="M38" s="13">
        <f>IFERROR(H38/D38*1000,"")</f>
        <v/>
      </c>
      <c r="N38" s="13" t="n">
        <v>1716</v>
      </c>
      <c r="O38" s="15">
        <f>IFERROR(IF(OR(N38="",ISBLANK(INDIRECT("'"&amp;$Q$2&amp;"'!N"&amp;ROW()))),"",N38-INDIRECT("'"&amp;$Q$2&amp;"'!N"&amp;ROW())),"")</f>
        <v/>
      </c>
      <c r="P38" s="2" t="n"/>
      <c r="Q38" s="2" t="n"/>
      <c r="R38" s="2" t="n"/>
      <c r="S38" s="18">
        <f>IFERROR(IF(ISBLANK(INDIRECT("'"&amp;$Q$2&amp;"'!G"&amp;ROW())),"",INDIRECT("'"&amp;$Q$2&amp;"'!G"&amp;ROW())),"")</f>
        <v/>
      </c>
      <c r="T38" s="20">
        <f>IF(OR($G38="",$S38=""),"",$G38-$S38)</f>
        <v/>
      </c>
      <c r="U38" s="18">
        <f>IFERROR(IF(ISBLANK(INDIRECT("'"&amp;$Q$2&amp;"'!K"&amp;ROW())),"",INDIRECT("'"&amp;$Q$2&amp;"'!K"&amp;ROW())),"")</f>
        <v/>
      </c>
      <c r="V38" s="20">
        <f>IF(OR($K38="",$U38=""),"",$K38-$U38)</f>
        <v/>
      </c>
      <c r="W38" s="21">
        <f>IFERROR(IF(ISBLANK(INDIRECT("'"&amp;$Q$2&amp;"'!O"&amp;ROW())),"",INDIRECT("'"&amp;$Q$2&amp;"'!O"&amp;ROW())),"")</f>
        <v/>
      </c>
      <c r="X38" s="21">
        <f>IF(OR($O38="",$W38=""),"",$O38-$W38)</f>
        <v/>
      </c>
      <c r="Y38" s="2" t="n"/>
      <c r="Z38" s="2" t="n"/>
    </row>
    <row r="39" ht="14.25" customHeight="1" s="58">
      <c r="A39" s="12" t="inlineStr">
        <is>
          <t>Одноклассники</t>
        </is>
      </c>
      <c r="B39" s="12" t="inlineStr">
        <is>
          <t>Лабытнанги</t>
        </is>
      </c>
      <c r="C39" s="13" t="n">
        <v>55</v>
      </c>
      <c r="D39" s="13" t="n">
        <v>4149</v>
      </c>
      <c r="E39" s="13">
        <f>IF($D39="","",IFERROR(IF(ISBLANK(INDIRECT("'"&amp;$Q$2&amp;"'!D"&amp;ROW())),"",INDIRECT("'"&amp;$Q$2&amp;"'!D"&amp;ROW())),""))</f>
        <v/>
      </c>
      <c r="F39" s="15">
        <f>IF(OR(D39="",E39=""),"",D39-E39)</f>
        <v/>
      </c>
      <c r="G39" s="16">
        <f>IFERROR(F39/E39,"")</f>
        <v/>
      </c>
      <c r="H39" s="13" t="n">
        <v>2</v>
      </c>
      <c r="I39" s="13">
        <f>IF($H39="","",IFERROR(IF(ISBLANK(INDIRECT("'"&amp;$Q$2&amp;"'!H"&amp;ROW())),"",INDIRECT("'"&amp;$Q$2&amp;"'!H"&amp;ROW())),""))</f>
        <v/>
      </c>
      <c r="J39" s="15">
        <f>IF(OR(H39="",I39=""),"",H39-I39)</f>
        <v/>
      </c>
      <c r="K39" s="16">
        <f>IFERROR(J39/I39,"")</f>
        <v/>
      </c>
      <c r="L39" s="13">
        <f>IFERROR(D39/C39,"")</f>
        <v/>
      </c>
      <c r="M39" s="13">
        <f>IFERROR(H39/D39*1000,"")</f>
        <v/>
      </c>
      <c r="N39" s="13" t="n">
        <v>226</v>
      </c>
      <c r="O39" s="15">
        <f>IFERROR(IF(OR(N39="",ISBLANK(INDIRECT("'"&amp;$Q$2&amp;"'!N"&amp;ROW()))),"",N39-INDIRECT("'"&amp;$Q$2&amp;"'!N"&amp;ROW())),"")</f>
        <v/>
      </c>
      <c r="P39" s="2" t="n"/>
      <c r="Q39" s="2" t="n"/>
      <c r="R39" s="2" t="n"/>
      <c r="S39" s="18">
        <f>IFERROR(IF(ISBLANK(INDIRECT("'"&amp;$Q$2&amp;"'!G"&amp;ROW())),"",INDIRECT("'"&amp;$Q$2&amp;"'!G"&amp;ROW())),"")</f>
        <v/>
      </c>
      <c r="T39" s="20">
        <f>IF(OR($G39="",$S39=""),"",$G39-$S39)</f>
        <v/>
      </c>
      <c r="U39" s="18">
        <f>IFERROR(IF(ISBLANK(INDIRECT("'"&amp;$Q$2&amp;"'!K"&amp;ROW())),"",INDIRECT("'"&amp;$Q$2&amp;"'!K"&amp;ROW())),"")</f>
        <v/>
      </c>
      <c r="V39" s="20">
        <f>IF(OR($K39="",$U39=""),"",$K39-$U39)</f>
        <v/>
      </c>
      <c r="W39" s="21">
        <f>IFERROR(IF(ISBLANK(INDIRECT("'"&amp;$Q$2&amp;"'!O"&amp;ROW())),"",INDIRECT("'"&amp;$Q$2&amp;"'!O"&amp;ROW())),"")</f>
        <v/>
      </c>
      <c r="X39" s="21">
        <f>IF(OR($O39="",$W39=""),"",$O39-$W39)</f>
        <v/>
      </c>
      <c r="Y39" s="2" t="n"/>
      <c r="Z39" s="2" t="n"/>
    </row>
    <row r="40" ht="14.25" customHeight="1" s="58">
      <c r="A40" s="12" t="inlineStr">
        <is>
          <t>Одноклассники</t>
        </is>
      </c>
      <c r="B40" s="12" t="inlineStr">
        <is>
          <t>Пуровский</t>
        </is>
      </c>
      <c r="C40" s="13" t="n">
        <v>37</v>
      </c>
      <c r="D40" s="13" t="n">
        <v>4445</v>
      </c>
      <c r="E40" s="13">
        <f>IF($D40="","",IFERROR(IF(ISBLANK(INDIRECT("'"&amp;$Q$2&amp;"'!D"&amp;ROW())),"",INDIRECT("'"&amp;$Q$2&amp;"'!D"&amp;ROW())),""))</f>
        <v/>
      </c>
      <c r="F40" s="15">
        <f>IF(OR(D40="",E40=""),"",D40-E40)</f>
        <v/>
      </c>
      <c r="G40" s="16">
        <f>IFERROR(F40/E40,"")</f>
        <v/>
      </c>
      <c r="H40" s="13" t="n">
        <v>51</v>
      </c>
      <c r="I40" s="13">
        <f>IF($H40="","",IFERROR(IF(ISBLANK(INDIRECT("'"&amp;$Q$2&amp;"'!H"&amp;ROW())),"",INDIRECT("'"&amp;$Q$2&amp;"'!H"&amp;ROW())),""))</f>
        <v/>
      </c>
      <c r="J40" s="15">
        <f>IF(OR(H40="",I40=""),"",H40-I40)</f>
        <v/>
      </c>
      <c r="K40" s="16">
        <f>IFERROR(J40/I40,"")</f>
        <v/>
      </c>
      <c r="L40" s="13">
        <f>IFERROR(D40/C40,"")</f>
        <v/>
      </c>
      <c r="M40" s="13">
        <f>IFERROR(H40/D40*1000,"")</f>
        <v/>
      </c>
      <c r="N40" s="13" t="n">
        <v>4962</v>
      </c>
      <c r="O40" s="15">
        <f>IFERROR(IF(OR(N40="",ISBLANK(INDIRECT("'"&amp;$Q$2&amp;"'!N"&amp;ROW()))),"",N40-INDIRECT("'"&amp;$Q$2&amp;"'!N"&amp;ROW())),"")</f>
        <v/>
      </c>
      <c r="P40" s="2" t="n"/>
      <c r="Q40" s="2" t="n"/>
      <c r="R40" s="2" t="n"/>
      <c r="S40" s="18">
        <f>IFERROR(IF(ISBLANK(INDIRECT("'"&amp;$Q$2&amp;"'!G"&amp;ROW())),"",INDIRECT("'"&amp;$Q$2&amp;"'!G"&amp;ROW())),"")</f>
        <v/>
      </c>
      <c r="T40" s="20">
        <f>IF(OR($G40="",$S40=""),"",$G40-$S40)</f>
        <v/>
      </c>
      <c r="U40" s="18">
        <f>IFERROR(IF(ISBLANK(INDIRECT("'"&amp;$Q$2&amp;"'!K"&amp;ROW())),"",INDIRECT("'"&amp;$Q$2&amp;"'!K"&amp;ROW())),"")</f>
        <v/>
      </c>
      <c r="V40" s="20">
        <f>IF(OR($K40="",$U40=""),"",$K40-$U40)</f>
        <v/>
      </c>
      <c r="W40" s="21">
        <f>IFERROR(IF(ISBLANK(INDIRECT("'"&amp;$Q$2&amp;"'!O"&amp;ROW())),"",INDIRECT("'"&amp;$Q$2&amp;"'!O"&amp;ROW())),"")</f>
        <v/>
      </c>
      <c r="X40" s="21">
        <f>IF(OR($O40="",$W40=""),"",$O40-$W40)</f>
        <v/>
      </c>
      <c r="Y40" s="2" t="n"/>
      <c r="Z40" s="2" t="n"/>
    </row>
    <row r="41" ht="14.25" customHeight="1" s="58">
      <c r="A41" s="12" t="inlineStr">
        <is>
          <t>Одноклассники</t>
        </is>
      </c>
      <c r="B41" s="12" t="inlineStr">
        <is>
          <t>Тазовский</t>
        </is>
      </c>
      <c r="C41" s="13" t="n">
        <v>55</v>
      </c>
      <c r="D41" s="13" t="n">
        <v>12178</v>
      </c>
      <c r="E41" s="13">
        <f>IF($D41="","",IFERROR(IF(ISBLANK(INDIRECT("'"&amp;$Q$2&amp;"'!D"&amp;ROW())),"",INDIRECT("'"&amp;$Q$2&amp;"'!D"&amp;ROW())),""))</f>
        <v/>
      </c>
      <c r="F41" s="15">
        <f>IF(OR(D41="",E41=""),"",D41-E41)</f>
        <v/>
      </c>
      <c r="G41" s="16">
        <f>IFERROR(F41/E41,"")</f>
        <v/>
      </c>
      <c r="H41" s="13" t="n">
        <v>109</v>
      </c>
      <c r="I41" s="13">
        <f>IF($H41="","",IFERROR(IF(ISBLANK(INDIRECT("'"&amp;$Q$2&amp;"'!H"&amp;ROW())),"",INDIRECT("'"&amp;$Q$2&amp;"'!H"&amp;ROW())),""))</f>
        <v/>
      </c>
      <c r="J41" s="15">
        <f>IF(OR(H41="",I41=""),"",H41-I41)</f>
        <v/>
      </c>
      <c r="K41" s="16">
        <f>IFERROR(J41/I41,"")</f>
        <v/>
      </c>
      <c r="L41" s="13">
        <f>IFERROR(D41/C41,"")</f>
        <v/>
      </c>
      <c r="M41" s="13">
        <f>IFERROR(H41/D41*1000,"")</f>
        <v/>
      </c>
      <c r="N41" s="13" t="n">
        <v>3532</v>
      </c>
      <c r="O41" s="15">
        <f>IFERROR(IF(OR(N41="",ISBLANK(INDIRECT("'"&amp;$Q$2&amp;"'!N"&amp;ROW()))),"",N41-INDIRECT("'"&amp;$Q$2&amp;"'!N"&amp;ROW())),"")</f>
        <v/>
      </c>
      <c r="P41" s="2" t="n"/>
      <c r="Q41" s="2" t="n"/>
      <c r="R41" s="2" t="n"/>
      <c r="S41" s="18">
        <f>IFERROR(IF(ISBLANK(INDIRECT("'"&amp;$Q$2&amp;"'!G"&amp;ROW())),"",INDIRECT("'"&amp;$Q$2&amp;"'!G"&amp;ROW())),"")</f>
        <v/>
      </c>
      <c r="T41" s="20">
        <f>IF(OR($G41="",$S41=""),"",$G41-$S41)</f>
        <v/>
      </c>
      <c r="U41" s="18">
        <f>IFERROR(IF(ISBLANK(INDIRECT("'"&amp;$Q$2&amp;"'!K"&amp;ROW())),"",INDIRECT("'"&amp;$Q$2&amp;"'!K"&amp;ROW())),"")</f>
        <v/>
      </c>
      <c r="V41" s="20">
        <f>IF(OR($K41="",$U41=""),"",$K41-$U41)</f>
        <v/>
      </c>
      <c r="W41" s="21">
        <f>IFERROR(IF(ISBLANK(INDIRECT("'"&amp;$Q$2&amp;"'!O"&amp;ROW())),"",INDIRECT("'"&amp;$Q$2&amp;"'!O"&amp;ROW())),"")</f>
        <v/>
      </c>
      <c r="X41" s="21">
        <f>IF(OR($O41="",$W41=""),"",$O41-$W41)</f>
        <v/>
      </c>
      <c r="Y41" s="2" t="n"/>
      <c r="Z41" s="2" t="n"/>
    </row>
    <row r="42" ht="14.25" customHeight="1" s="58">
      <c r="A42" s="12" t="inlineStr">
        <is>
          <t>Одноклассники</t>
        </is>
      </c>
      <c r="B42" s="12" t="inlineStr">
        <is>
          <t>Красноселькуп</t>
        </is>
      </c>
      <c r="C42" s="13" t="n">
        <v>24</v>
      </c>
      <c r="D42" s="13" t="n">
        <v>5911</v>
      </c>
      <c r="E42" s="13">
        <f>IF($D42="","",IFERROR(IF(ISBLANK(INDIRECT("'"&amp;$Q$2&amp;"'!D"&amp;ROW())),"",INDIRECT("'"&amp;$Q$2&amp;"'!D"&amp;ROW())),""))</f>
        <v/>
      </c>
      <c r="F42" s="15">
        <f>IF(OR(D42="",E42=""),"",D42-E42)</f>
        <v/>
      </c>
      <c r="G42" s="16">
        <f>IFERROR(F42/E42,"")</f>
        <v/>
      </c>
      <c r="H42" s="13" t="n">
        <v>82</v>
      </c>
      <c r="I42" s="13">
        <f>IF($H42="","",IFERROR(IF(ISBLANK(INDIRECT("'"&amp;$Q$2&amp;"'!H"&amp;ROW())),"",INDIRECT("'"&amp;$Q$2&amp;"'!H"&amp;ROW())),""))</f>
        <v/>
      </c>
      <c r="J42" s="15">
        <f>IF(OR(H42="",I42=""),"",H42-I42)</f>
        <v/>
      </c>
      <c r="K42" s="16">
        <f>IFERROR(J42/I42,"")</f>
        <v/>
      </c>
      <c r="L42" s="13">
        <f>IFERROR(D42/C42,"")</f>
        <v/>
      </c>
      <c r="M42" s="13">
        <f>IFERROR(H42/D42*1000,"")</f>
        <v/>
      </c>
      <c r="N42" s="13" t="n">
        <v>655</v>
      </c>
      <c r="O42" s="15">
        <f>IFERROR(IF(OR(N42="",ISBLANK(INDIRECT("'"&amp;$Q$2&amp;"'!N"&amp;ROW()))),"",N42-INDIRECT("'"&amp;$Q$2&amp;"'!N"&amp;ROW())),"")</f>
        <v/>
      </c>
      <c r="P42" s="2" t="n"/>
      <c r="Q42" s="2" t="n"/>
      <c r="R42" s="2" t="n"/>
      <c r="S42" s="18">
        <f>IFERROR(IF(ISBLANK(INDIRECT("'"&amp;$Q$2&amp;"'!G"&amp;ROW())),"",INDIRECT("'"&amp;$Q$2&amp;"'!G"&amp;ROW())),"")</f>
        <v/>
      </c>
      <c r="T42" s="20">
        <f>IF(OR($G42="",$S42=""),"",$G42-$S42)</f>
        <v/>
      </c>
      <c r="U42" s="18">
        <f>IFERROR(IF(ISBLANK(INDIRECT("'"&amp;$Q$2&amp;"'!K"&amp;ROW())),"",INDIRECT("'"&amp;$Q$2&amp;"'!K"&amp;ROW())),"")</f>
        <v/>
      </c>
      <c r="V42" s="20">
        <f>IF(OR($K42="",$U42=""),"",$K42-$U42)</f>
        <v/>
      </c>
      <c r="W42" s="21">
        <f>IFERROR(IF(ISBLANK(INDIRECT("'"&amp;$Q$2&amp;"'!O"&amp;ROW())),"",INDIRECT("'"&amp;$Q$2&amp;"'!O"&amp;ROW())),"")</f>
        <v/>
      </c>
      <c r="X42" s="21">
        <f>IF(OR($O42="",$W42=""),"",$O42-$W42)</f>
        <v/>
      </c>
      <c r="Y42" s="2" t="n"/>
      <c r="Z42" s="2" t="n"/>
    </row>
    <row r="43" ht="14.25" customHeight="1" s="58">
      <c r="A43" s="12" t="inlineStr">
        <is>
          <t>Одноклассники</t>
        </is>
      </c>
      <c r="B43" s="12" t="inlineStr">
        <is>
          <t>Ямальский</t>
        </is>
      </c>
      <c r="C43" s="13" t="n">
        <v>46</v>
      </c>
      <c r="D43" s="13" t="n">
        <v>2419</v>
      </c>
      <c r="E43" s="13">
        <f>IF($D43="","",IFERROR(IF(ISBLANK(INDIRECT("'"&amp;$Q$2&amp;"'!D"&amp;ROW())),"",INDIRECT("'"&amp;$Q$2&amp;"'!D"&amp;ROW())),""))</f>
        <v/>
      </c>
      <c r="F43" s="15">
        <f>IF(OR(D43="",E43=""),"",D43-E43)</f>
        <v/>
      </c>
      <c r="G43" s="16">
        <f>IFERROR(F43/E43,"")</f>
        <v/>
      </c>
      <c r="H43" s="13" t="n">
        <v>14</v>
      </c>
      <c r="I43" s="13">
        <f>IF($H43="","",IFERROR(IF(ISBLANK(INDIRECT("'"&amp;$Q$2&amp;"'!H"&amp;ROW())),"",INDIRECT("'"&amp;$Q$2&amp;"'!H"&amp;ROW())),""))</f>
        <v/>
      </c>
      <c r="J43" s="15">
        <f>IF(OR(H43="",I43=""),"",H43-I43)</f>
        <v/>
      </c>
      <c r="K43" s="16">
        <f>IFERROR(J43/I43,"")</f>
        <v/>
      </c>
      <c r="L43" s="13">
        <f>IFERROR(D43/C43,"")</f>
        <v/>
      </c>
      <c r="M43" s="13">
        <f>IFERROR(H43/D43*1000,"")</f>
        <v/>
      </c>
      <c r="N43" s="13" t="n">
        <v>1954</v>
      </c>
      <c r="O43" s="15">
        <f>IFERROR(IF(OR(N43="",ISBLANK(INDIRECT("'"&amp;$Q$2&amp;"'!N"&amp;ROW()))),"",N43-INDIRECT("'"&amp;$Q$2&amp;"'!N"&amp;ROW())),"")</f>
        <v/>
      </c>
      <c r="P43" s="2" t="n"/>
      <c r="Q43" s="2" t="n"/>
      <c r="R43" s="2" t="n"/>
      <c r="S43" s="18">
        <f>IFERROR(IF(ISBLANK(INDIRECT("'"&amp;$Q$2&amp;"'!G"&amp;ROW())),"",INDIRECT("'"&amp;$Q$2&amp;"'!G"&amp;ROW())),"")</f>
        <v/>
      </c>
      <c r="T43" s="20">
        <f>IF(OR($G43="",$S43=""),"",$G43-$S43)</f>
        <v/>
      </c>
      <c r="U43" s="18">
        <f>IFERROR(IF(ISBLANK(INDIRECT("'"&amp;$Q$2&amp;"'!K"&amp;ROW())),"",INDIRECT("'"&amp;$Q$2&amp;"'!K"&amp;ROW())),"")</f>
        <v/>
      </c>
      <c r="V43" s="20">
        <f>IF(OR($K43="",$U43=""),"",$K43-$U43)</f>
        <v/>
      </c>
      <c r="W43" s="21">
        <f>IFERROR(IF(ISBLANK(INDIRECT("'"&amp;$Q$2&amp;"'!O"&amp;ROW())),"",INDIRECT("'"&amp;$Q$2&amp;"'!O"&amp;ROW())),"")</f>
        <v/>
      </c>
      <c r="X43" s="21">
        <f>IF(OR($O43="",$W43=""),"",$O43-$W43)</f>
        <v/>
      </c>
      <c r="Y43" s="2" t="n"/>
      <c r="Z43" s="2" t="n"/>
    </row>
    <row r="44" ht="14.25" customHeight="1" s="58">
      <c r="A44" s="12" t="inlineStr">
        <is>
          <t>Одноклассники</t>
        </is>
      </c>
      <c r="B44" s="12" t="inlineStr">
        <is>
          <t>Шурышкарский</t>
        </is>
      </c>
      <c r="C44" s="13" t="n">
        <v>51</v>
      </c>
      <c r="D44" s="13" t="n">
        <v>9089</v>
      </c>
      <c r="E44" s="13">
        <f>IF($D44="","",IFERROR(IF(ISBLANK(INDIRECT("'"&amp;$Q$2&amp;"'!D"&amp;ROW())),"",INDIRECT("'"&amp;$Q$2&amp;"'!D"&amp;ROW())),""))</f>
        <v/>
      </c>
      <c r="F44" s="15">
        <f>IF(OR(D44="",E44=""),"",D44-E44)</f>
        <v/>
      </c>
      <c r="G44" s="16">
        <f>IFERROR(F44/E44,"")</f>
        <v/>
      </c>
      <c r="H44" s="13" t="n">
        <v>162</v>
      </c>
      <c r="I44" s="13">
        <f>IF($H44="","",IFERROR(IF(ISBLANK(INDIRECT("'"&amp;$Q$2&amp;"'!H"&amp;ROW())),"",INDIRECT("'"&amp;$Q$2&amp;"'!H"&amp;ROW())),""))</f>
        <v/>
      </c>
      <c r="J44" s="15">
        <f>IF(OR(H44="",I44=""),"",H44-I44)</f>
        <v/>
      </c>
      <c r="K44" s="16">
        <f>IFERROR(J44/I44,"")</f>
        <v/>
      </c>
      <c r="L44" s="13">
        <f>IFERROR(D44/C44,"")</f>
        <v/>
      </c>
      <c r="M44" s="13">
        <f>IFERROR(H44/D44*1000,"")</f>
        <v/>
      </c>
      <c r="N44" s="13" t="n">
        <v>4897</v>
      </c>
      <c r="O44" s="15">
        <f>IFERROR(IF(OR(N44="",ISBLANK(INDIRECT("'"&amp;$Q$2&amp;"'!N"&amp;ROW()))),"",N44-INDIRECT("'"&amp;$Q$2&amp;"'!N"&amp;ROW())),"")</f>
        <v/>
      </c>
      <c r="P44" s="2" t="n"/>
      <c r="Q44" s="2" t="n"/>
      <c r="R44" s="2" t="n"/>
      <c r="S44" s="18">
        <f>IFERROR(IF(ISBLANK(INDIRECT("'"&amp;$Q$2&amp;"'!G"&amp;ROW())),"",INDIRECT("'"&amp;$Q$2&amp;"'!G"&amp;ROW())),"")</f>
        <v/>
      </c>
      <c r="T44" s="20">
        <f>IF(OR($G44="",$S44=""),"",$G44-$S44)</f>
        <v/>
      </c>
      <c r="U44" s="18">
        <f>IFERROR(IF(ISBLANK(INDIRECT("'"&amp;$Q$2&amp;"'!K"&amp;ROW())),"",INDIRECT("'"&amp;$Q$2&amp;"'!K"&amp;ROW())),"")</f>
        <v/>
      </c>
      <c r="V44" s="20">
        <f>IF(OR($K44="",$U44=""),"",$K44-$U44)</f>
        <v/>
      </c>
      <c r="W44" s="21">
        <f>IFERROR(IF(ISBLANK(INDIRECT("'"&amp;$Q$2&amp;"'!O"&amp;ROW())),"",INDIRECT("'"&amp;$Q$2&amp;"'!O"&amp;ROW())),"")</f>
        <v/>
      </c>
      <c r="X44" s="21">
        <f>IF(OR($O44="",$W44=""),"",$O44-$W44)</f>
        <v/>
      </c>
      <c r="Y44" s="2" t="n"/>
      <c r="Z44" s="2" t="n"/>
    </row>
    <row r="45" ht="14.25" customHeight="1" s="58">
      <c r="A45" s="12" t="inlineStr">
        <is>
          <t>Одноклассники</t>
        </is>
      </c>
      <c r="B45" s="12" t="inlineStr">
        <is>
          <t>Муравленко</t>
        </is>
      </c>
      <c r="C45" s="13" t="n">
        <v>55</v>
      </c>
      <c r="D45" s="13" t="n">
        <v>17624</v>
      </c>
      <c r="E45" s="13">
        <f>IF($D45="","",IFERROR(IF(ISBLANK(INDIRECT("'"&amp;$Q$2&amp;"'!D"&amp;ROW())),"",INDIRECT("'"&amp;$Q$2&amp;"'!D"&amp;ROW())),""))</f>
        <v/>
      </c>
      <c r="F45" s="15">
        <f>IF(OR(D45="",E45=""),"",D45-E45)</f>
        <v/>
      </c>
      <c r="G45" s="16">
        <f>IFERROR(F45/E45,"")</f>
        <v/>
      </c>
      <c r="H45" s="13" t="n">
        <v>198</v>
      </c>
      <c r="I45" s="13">
        <f>IF($H45="","",IFERROR(IF(ISBLANK(INDIRECT("'"&amp;$Q$2&amp;"'!H"&amp;ROW())),"",INDIRECT("'"&amp;$Q$2&amp;"'!H"&amp;ROW())),""))</f>
        <v/>
      </c>
      <c r="J45" s="15">
        <f>IF(OR(H45="",I45=""),"",H45-I45)</f>
        <v/>
      </c>
      <c r="K45" s="16">
        <f>IFERROR(J45/I45,"")</f>
        <v/>
      </c>
      <c r="L45" s="13">
        <f>IFERROR(D45/C45,"")</f>
        <v/>
      </c>
      <c r="M45" s="13">
        <f>IFERROR(H45/D45*1000,"")</f>
        <v/>
      </c>
      <c r="N45" s="13" t="n">
        <v>3752</v>
      </c>
      <c r="O45" s="15">
        <f>IFERROR(IF(OR(N45="",ISBLANK(INDIRECT("'"&amp;$Q$2&amp;"'!N"&amp;ROW()))),"",N45-INDIRECT("'"&amp;$Q$2&amp;"'!N"&amp;ROW())),"")</f>
        <v/>
      </c>
      <c r="P45" s="2" t="n"/>
      <c r="Q45" s="2" t="n"/>
      <c r="R45" s="2" t="n"/>
      <c r="S45" s="18">
        <f>IFERROR(IF(ISBLANK(INDIRECT("'"&amp;$Q$2&amp;"'!G"&amp;ROW())),"",INDIRECT("'"&amp;$Q$2&amp;"'!G"&amp;ROW())),"")</f>
        <v/>
      </c>
      <c r="T45" s="20">
        <f>IF(OR($G45="",$S45=""),"",$G45-$S45)</f>
        <v/>
      </c>
      <c r="U45" s="18">
        <f>IFERROR(IF(ISBLANK(INDIRECT("'"&amp;$Q$2&amp;"'!K"&amp;ROW())),"",INDIRECT("'"&amp;$Q$2&amp;"'!K"&amp;ROW())),"")</f>
        <v/>
      </c>
      <c r="V45" s="20">
        <f>IF(OR($K45="",$U45=""),"",$K45-$U45)</f>
        <v/>
      </c>
      <c r="W45" s="21">
        <f>IFERROR(IF(ISBLANK(INDIRECT("'"&amp;$Q$2&amp;"'!O"&amp;ROW())),"",INDIRECT("'"&amp;$Q$2&amp;"'!O"&amp;ROW())),"")</f>
        <v/>
      </c>
      <c r="X45" s="21">
        <f>IF(OR($O45="",$W45=""),"",$O45-$W45)</f>
        <v/>
      </c>
      <c r="Y45" s="2" t="n"/>
      <c r="Z45" s="2" t="n"/>
    </row>
    <row r="46" ht="14.25" customHeight="1" s="58">
      <c r="A46" s="12" t="inlineStr">
        <is>
          <t>Одноклассники</t>
        </is>
      </c>
      <c r="B46" s="12" t="inlineStr">
        <is>
          <t>Губкинский</t>
        </is>
      </c>
      <c r="C46" s="13" t="n">
        <v>71</v>
      </c>
      <c r="D46" s="13" t="n">
        <v>23500</v>
      </c>
      <c r="E46" s="13">
        <f>IF($D46="","",IFERROR(IF(ISBLANK(INDIRECT("'"&amp;$Q$2&amp;"'!D"&amp;ROW())),"",INDIRECT("'"&amp;$Q$2&amp;"'!D"&amp;ROW())),""))</f>
        <v/>
      </c>
      <c r="F46" s="15">
        <f>IF(OR(D46="",E46=""),"",D46-E46)</f>
        <v/>
      </c>
      <c r="G46" s="16">
        <f>IFERROR(F46/E46,"")</f>
        <v/>
      </c>
      <c r="H46" s="13" t="n">
        <v>311</v>
      </c>
      <c r="I46" s="13">
        <f>IF($H46="","",IFERROR(IF(ISBLANK(INDIRECT("'"&amp;$Q$2&amp;"'!H"&amp;ROW())),"",INDIRECT("'"&amp;$Q$2&amp;"'!H"&amp;ROW())),""))</f>
        <v/>
      </c>
      <c r="J46" s="15">
        <f>IF(OR(H46="",I46=""),"",H46-I46)</f>
        <v/>
      </c>
      <c r="K46" s="16">
        <f>IFERROR(J46/I46,"")</f>
        <v/>
      </c>
      <c r="L46" s="13">
        <f>IFERROR(D46/C46,"")</f>
        <v/>
      </c>
      <c r="M46" s="13">
        <f>IFERROR(H46/D46*1000,"")</f>
        <v/>
      </c>
      <c r="N46" s="13" t="n">
        <v>4508</v>
      </c>
      <c r="O46" s="15">
        <f>IFERROR(IF(OR(N46="",ISBLANK(INDIRECT("'"&amp;$Q$2&amp;"'!N"&amp;ROW()))),"",N46-INDIRECT("'"&amp;$Q$2&amp;"'!N"&amp;ROW())),"")</f>
        <v/>
      </c>
      <c r="P46" s="2" t="n"/>
      <c r="Q46" s="2" t="n"/>
      <c r="R46" s="2" t="n"/>
      <c r="S46" s="18">
        <f>IFERROR(IF(ISBLANK(INDIRECT("'"&amp;$Q$2&amp;"'!G"&amp;ROW())),"",INDIRECT("'"&amp;$Q$2&amp;"'!G"&amp;ROW())),"")</f>
        <v/>
      </c>
      <c r="T46" s="20">
        <f>IF(OR($G46="",$S46=""),"",$G46-$S46)</f>
        <v/>
      </c>
      <c r="U46" s="18">
        <f>IFERROR(IF(ISBLANK(INDIRECT("'"&amp;$Q$2&amp;"'!K"&amp;ROW())),"",INDIRECT("'"&amp;$Q$2&amp;"'!K"&amp;ROW())),"")</f>
        <v/>
      </c>
      <c r="V46" s="20">
        <f>IF(OR($K46="",$U46=""),"",$K46-$U46)</f>
        <v/>
      </c>
      <c r="W46" s="21">
        <f>IFERROR(IF(ISBLANK(INDIRECT("'"&amp;$Q$2&amp;"'!O"&amp;ROW())),"",INDIRECT("'"&amp;$Q$2&amp;"'!O"&amp;ROW())),"")</f>
        <v/>
      </c>
      <c r="X46" s="21">
        <f>IF(OR($O46="",$W46=""),"",$O46-$W46)</f>
        <v/>
      </c>
      <c r="Y46" s="2" t="n"/>
      <c r="Z46" s="2" t="n"/>
    </row>
    <row r="47" ht="14.25" customHeight="1" s="58">
      <c r="A47" s="12" t="inlineStr">
        <is>
          <t>Одноклассники</t>
        </is>
      </c>
      <c r="B47" s="12" t="inlineStr">
        <is>
          <t>Нярьяна Нгэрм</t>
        </is>
      </c>
      <c r="C47" s="13" t="n">
        <v>17</v>
      </c>
      <c r="D47" s="13" t="n">
        <v>1177</v>
      </c>
      <c r="E47" s="13">
        <f>IF($D47="","",IFERROR(IF(ISBLANK(INDIRECT("'"&amp;$Q$2&amp;"'!D"&amp;ROW())),"",INDIRECT("'"&amp;$Q$2&amp;"'!D"&amp;ROW())),""))</f>
        <v/>
      </c>
      <c r="F47" s="15">
        <f>IF(OR(D47="",E47=""),"",D47-E47)</f>
        <v/>
      </c>
      <c r="G47" s="16">
        <f>IFERROR(F47/E47,"")</f>
        <v/>
      </c>
      <c r="H47" s="13" t="n">
        <v>73</v>
      </c>
      <c r="I47" s="13">
        <f>IF($H47="","",IFERROR(IF(ISBLANK(INDIRECT("'"&amp;$Q$2&amp;"'!H"&amp;ROW())),"",INDIRECT("'"&amp;$Q$2&amp;"'!H"&amp;ROW())),""))</f>
        <v/>
      </c>
      <c r="J47" s="15">
        <f>IF(OR(H47="",I47=""),"",H47-I47)</f>
        <v/>
      </c>
      <c r="K47" s="16">
        <f>IFERROR(J47/I47,"")</f>
        <v/>
      </c>
      <c r="L47" s="13">
        <f>IFERROR(D47/C47,"")</f>
        <v/>
      </c>
      <c r="M47" s="13">
        <f>IFERROR(H47/D47*1000,"")</f>
        <v/>
      </c>
      <c r="N47" s="13" t="n">
        <v>857</v>
      </c>
      <c r="O47" s="15">
        <f>IFERROR(IF(OR(N47="",ISBLANK(INDIRECT("'"&amp;$Q$2&amp;"'!N"&amp;ROW()))),"",N47-INDIRECT("'"&amp;$Q$2&amp;"'!N"&amp;ROW())),"")</f>
        <v/>
      </c>
      <c r="P47" s="2" t="n"/>
      <c r="Q47" s="2" t="n"/>
      <c r="R47" s="2" t="n"/>
      <c r="S47" s="18">
        <f>IFERROR(IF(ISBLANK(INDIRECT("'"&amp;$Q$2&amp;"'!G"&amp;ROW())),"",INDIRECT("'"&amp;$Q$2&amp;"'!G"&amp;ROW())),"")</f>
        <v/>
      </c>
      <c r="T47" s="20">
        <f>IF(OR($G47="",$S47=""),"",$G47-$S47)</f>
        <v/>
      </c>
      <c r="U47" s="18">
        <f>IFERROR(IF(ISBLANK(INDIRECT("'"&amp;$Q$2&amp;"'!K"&amp;ROW())),"",INDIRECT("'"&amp;$Q$2&amp;"'!K"&amp;ROW())),"")</f>
        <v/>
      </c>
      <c r="V47" s="20">
        <f>IF(OR($K47="",$U47=""),"",$K47-$U47)</f>
        <v/>
      </c>
      <c r="W47" s="21">
        <f>IFERROR(IF(ISBLANK(INDIRECT("'"&amp;$Q$2&amp;"'!O"&amp;ROW())),"",INDIRECT("'"&amp;$Q$2&amp;"'!O"&amp;ROW())),"")</f>
        <v/>
      </c>
      <c r="X47" s="21">
        <f>IF(OR($O47="",$W47=""),"",$O47-$W47)</f>
        <v/>
      </c>
      <c r="Y47" s="2" t="n"/>
      <c r="Z47" s="2" t="n"/>
    </row>
    <row r="48" ht="14.25" customHeight="1" s="58">
      <c r="A48" s="12" t="inlineStr">
        <is>
          <t>Одноклассники</t>
        </is>
      </c>
      <c r="B48" s="12" t="inlineStr">
        <is>
          <t>Лух Авт</t>
        </is>
      </c>
      <c r="C48" s="13" t="n">
        <v>4</v>
      </c>
      <c r="D48" s="13" t="n">
        <v>2358</v>
      </c>
      <c r="E48" s="13">
        <f>IF($D48="","",IFERROR(IF(ISBLANK(INDIRECT("'"&amp;$Q$2&amp;"'!D"&amp;ROW())),"",INDIRECT("'"&amp;$Q$2&amp;"'!D"&amp;ROW())),""))</f>
        <v/>
      </c>
      <c r="F48" s="15">
        <f>IF(OR(D48="",E48=""),"",D48-E48)</f>
        <v/>
      </c>
      <c r="G48" s="16">
        <f>IFERROR(F48/E48,"")</f>
        <v/>
      </c>
      <c r="H48" s="13" t="n">
        <v>144</v>
      </c>
      <c r="I48" s="13">
        <f>IF($H48="","",IFERROR(IF(ISBLANK(INDIRECT("'"&amp;$Q$2&amp;"'!H"&amp;ROW())),"",INDIRECT("'"&amp;$Q$2&amp;"'!H"&amp;ROW())),""))</f>
        <v/>
      </c>
      <c r="J48" s="15">
        <f>IF(OR(H48="",I48=""),"",H48-I48)</f>
        <v/>
      </c>
      <c r="K48" s="16">
        <f>IFERROR(J48/I48,"")</f>
        <v/>
      </c>
      <c r="L48" s="13">
        <f>IFERROR(D48/C48,"")</f>
        <v/>
      </c>
      <c r="M48" s="13">
        <f>IFERROR(H48/D48*1000,"")</f>
        <v/>
      </c>
      <c r="N48" s="13" t="n">
        <v>868</v>
      </c>
      <c r="O48" s="15">
        <f>IFERROR(IF(OR(N48="",ISBLANK(INDIRECT("'"&amp;$Q$2&amp;"'!N"&amp;ROW()))),"",N48-INDIRECT("'"&amp;$Q$2&amp;"'!N"&amp;ROW())),"")</f>
        <v/>
      </c>
      <c r="P48" s="2" t="n"/>
      <c r="Q48" s="2" t="n"/>
      <c r="R48" s="2" t="n"/>
      <c r="S48" s="18">
        <f>IFERROR(IF(ISBLANK(INDIRECT("'"&amp;$Q$2&amp;"'!G"&amp;ROW())),"",INDIRECT("'"&amp;$Q$2&amp;"'!G"&amp;ROW())),"")</f>
        <v/>
      </c>
      <c r="T48" s="20">
        <f>IF(OR($G48="",$S48=""),"",$G48-$S48)</f>
        <v/>
      </c>
      <c r="U48" s="18">
        <f>IFERROR(IF(ISBLANK(INDIRECT("'"&amp;$Q$2&amp;"'!K"&amp;ROW())),"",INDIRECT("'"&amp;$Q$2&amp;"'!K"&amp;ROW())),"")</f>
        <v/>
      </c>
      <c r="V48" s="20">
        <f>IF(OR($K48="",$U48=""),"",$K48-$U48)</f>
        <v/>
      </c>
      <c r="W48" s="21">
        <f>IFERROR(IF(ISBLANK(INDIRECT("'"&amp;$Q$2&amp;"'!O"&amp;ROW())),"",INDIRECT("'"&amp;$Q$2&amp;"'!O"&amp;ROW())),"")</f>
        <v/>
      </c>
      <c r="X48" s="21">
        <f>IF(OR($O48="",$W48=""),"",$O48-$W48)</f>
        <v/>
      </c>
      <c r="Y48" s="2" t="n"/>
      <c r="Z48" s="2" t="n"/>
    </row>
    <row r="49" ht="14.25" customHeight="1" s="58">
      <c r="A49" s="12" t="inlineStr">
        <is>
          <t>Одноклассники</t>
        </is>
      </c>
      <c r="B49" s="12" t="inlineStr">
        <is>
          <t>МК-Ямал</t>
        </is>
      </c>
      <c r="C49" s="13" t="n">
        <v>215</v>
      </c>
      <c r="D49" s="13" t="n">
        <v>9500</v>
      </c>
      <c r="E49" s="13">
        <f>IF($D49="","",IFERROR(IF(ISBLANK(INDIRECT("'"&amp;$Q$2&amp;"'!D"&amp;ROW())),"",INDIRECT("'"&amp;$Q$2&amp;"'!D"&amp;ROW())),""))</f>
        <v/>
      </c>
      <c r="F49" s="15">
        <f>IF(OR(D49="",E49=""),"",D49-E49)</f>
        <v/>
      </c>
      <c r="G49" s="16">
        <f>IFERROR(F49/E49,"")</f>
        <v/>
      </c>
      <c r="H49" s="13" t="n">
        <v>5</v>
      </c>
      <c r="I49" s="13">
        <f>IF($H49="","",IFERROR(IF(ISBLANK(INDIRECT("'"&amp;$Q$2&amp;"'!H"&amp;ROW())),"",INDIRECT("'"&amp;$Q$2&amp;"'!H"&amp;ROW())),""))</f>
        <v/>
      </c>
      <c r="J49" s="15">
        <f>IF(OR(H49="",I49=""),"",H49-I49)</f>
        <v/>
      </c>
      <c r="K49" s="16">
        <f>IFERROR(J49/I49,"")</f>
        <v/>
      </c>
      <c r="L49" s="13">
        <f>IFERROR(D49/C49,"")</f>
        <v/>
      </c>
      <c r="M49" s="13">
        <f>IFERROR(H49/D49*1000,"")</f>
        <v/>
      </c>
      <c r="N49" s="13" t="n">
        <v>4822</v>
      </c>
      <c r="O49" s="15">
        <f>IFERROR(IF(OR(N49="",ISBLANK(INDIRECT("'"&amp;$Q$2&amp;"'!N"&amp;ROW()))),"",N49-INDIRECT("'"&amp;$Q$2&amp;"'!N"&amp;ROW())),"")</f>
        <v/>
      </c>
      <c r="P49" s="2" t="n"/>
      <c r="Q49" s="2" t="n"/>
      <c r="R49" s="2" t="n"/>
      <c r="S49" s="18">
        <f>IFERROR(IF(ISBLANK(INDIRECT("'"&amp;$Q$2&amp;"'!G"&amp;ROW())),"",INDIRECT("'"&amp;$Q$2&amp;"'!G"&amp;ROW())),"")</f>
        <v/>
      </c>
      <c r="T49" s="20">
        <f>IF(OR($G49="",$S49=""),"",$G49-$S49)</f>
        <v/>
      </c>
      <c r="U49" s="18">
        <f>IFERROR(IF(ISBLANK(INDIRECT("'"&amp;$Q$2&amp;"'!K"&amp;ROW())),"",INDIRECT("'"&amp;$Q$2&amp;"'!K"&amp;ROW())),"")</f>
        <v/>
      </c>
      <c r="V49" s="20">
        <f>IF(OR($K49="",$U49=""),"",$K49-$U49)</f>
        <v/>
      </c>
      <c r="W49" s="21">
        <f>IFERROR(IF(ISBLANK(INDIRECT("'"&amp;$Q$2&amp;"'!O"&amp;ROW())),"",INDIRECT("'"&amp;$Q$2&amp;"'!O"&amp;ROW())),"")</f>
        <v/>
      </c>
      <c r="X49" s="21">
        <f>IF(OR($O49="",$W49=""),"",$O49-$W49)</f>
        <v/>
      </c>
      <c r="Y49" s="2" t="n"/>
      <c r="Z49" s="2" t="n"/>
    </row>
    <row r="50" ht="14.25" customHeight="1" s="58">
      <c r="A50" s="12" t="inlineStr">
        <is>
          <t>Одноклассники</t>
        </is>
      </c>
      <c r="B50" s="12" t="inlineStr">
        <is>
          <t>Морошка</t>
        </is>
      </c>
      <c r="C50" s="13" t="n">
        <v>5</v>
      </c>
      <c r="D50" s="13" t="n">
        <v>388</v>
      </c>
      <c r="E50" s="13">
        <f>IF($D50="","",IFERROR(IF(ISBLANK(INDIRECT("'"&amp;$Q$2&amp;"'!D"&amp;ROW())),"",INDIRECT("'"&amp;$Q$2&amp;"'!D"&amp;ROW())),""))</f>
        <v/>
      </c>
      <c r="F50" s="15">
        <f>IF(OR(D50="",E50=""),"",D50-E50)</f>
        <v/>
      </c>
      <c r="G50" s="16">
        <f>IFERROR(F50/E50,"")</f>
        <v/>
      </c>
      <c r="H50" s="13" t="n">
        <v>2</v>
      </c>
      <c r="I50" s="13">
        <f>IF($H50="","",IFERROR(IF(ISBLANK(INDIRECT("'"&amp;$Q$2&amp;"'!H"&amp;ROW())),"",INDIRECT("'"&amp;$Q$2&amp;"'!H"&amp;ROW())),""))</f>
        <v/>
      </c>
      <c r="J50" s="15">
        <f>IF(OR(H50="",I50=""),"",H50-I50)</f>
        <v/>
      </c>
      <c r="K50" s="16">
        <f>IFERROR(J50/I50,"")</f>
        <v/>
      </c>
      <c r="L50" s="13">
        <f>IFERROR(D50/C50,"")</f>
        <v/>
      </c>
      <c r="M50" s="13">
        <f>IFERROR(H50/D50*1000,"")</f>
        <v/>
      </c>
      <c r="N50" s="13" t="n">
        <v>43</v>
      </c>
      <c r="O50" s="15">
        <f>IFERROR(IF(OR(N50="",ISBLANK(INDIRECT("'"&amp;$Q$2&amp;"'!N"&amp;ROW()))),"",N50-INDIRECT("'"&amp;$Q$2&amp;"'!N"&amp;ROW())),"")</f>
        <v/>
      </c>
      <c r="P50" s="2" t="n"/>
      <c r="Q50" s="2" t="n"/>
      <c r="R50" s="2" t="n"/>
      <c r="S50" s="18">
        <f>IFERROR(IF(ISBLANK(INDIRECT("'"&amp;$Q$2&amp;"'!G"&amp;ROW())),"",INDIRECT("'"&amp;$Q$2&amp;"'!G"&amp;ROW())),"")</f>
        <v/>
      </c>
      <c r="T50" s="20">
        <f>IF(OR($G50="",$S50=""),"",$G50-$S50)</f>
        <v/>
      </c>
      <c r="U50" s="18">
        <f>IFERROR(IF(ISBLANK(INDIRECT("'"&amp;$Q$2&amp;"'!K"&amp;ROW())),"",INDIRECT("'"&amp;$Q$2&amp;"'!K"&amp;ROW())),"")</f>
        <v/>
      </c>
      <c r="V50" s="20">
        <f>IF(OR($K50="",$U50=""),"",$K50-$U50)</f>
        <v/>
      </c>
      <c r="W50" s="21">
        <f>IFERROR(IF(ISBLANK(INDIRECT("'"&amp;$Q$2&amp;"'!O"&amp;ROW())),"",INDIRECT("'"&amp;$Q$2&amp;"'!O"&amp;ROW())),"")</f>
        <v/>
      </c>
      <c r="X50" s="21">
        <f>IF(OR($O50="",$W50=""),"",$O50-$W50)</f>
        <v/>
      </c>
      <c r="Y50" s="2" t="n"/>
      <c r="Z50" s="2" t="n"/>
    </row>
    <row r="51" ht="14.25" customHeight="1" s="58">
      <c r="A51" s="25" t="n"/>
      <c r="B51" s="25" t="inlineStr">
        <is>
          <t>Итого Одноклассники</t>
        </is>
      </c>
      <c r="C51" s="26">
        <f>SUM(C31:C50)</f>
        <v/>
      </c>
      <c r="D51" s="26">
        <f>SUM(D31:D50)</f>
        <v/>
      </c>
      <c r="E51" s="26">
        <f>SUM(E31:E50)</f>
        <v/>
      </c>
      <c r="F51" s="27">
        <f>SUM(F31:F50)</f>
        <v/>
      </c>
      <c r="G51" s="28">
        <f>IF(C51=0,"",IFERROR(F51/E51,""))</f>
        <v/>
      </c>
      <c r="H51" s="26">
        <f>SUM(H31:H50)</f>
        <v/>
      </c>
      <c r="I51" s="26">
        <f>SUM(I31:I50)</f>
        <v/>
      </c>
      <c r="J51" s="27">
        <f>SUM(J31:J50)</f>
        <v/>
      </c>
      <c r="K51" s="28">
        <f>IF(C51=0,"",IFERROR(J51/I51,""))</f>
        <v/>
      </c>
      <c r="L51" s="26">
        <f>IFERROR(D51/C51,"")</f>
        <v/>
      </c>
      <c r="M51" s="26">
        <f>IFERROR(H51/D51*1000,"")</f>
        <v/>
      </c>
      <c r="N51" s="26">
        <f>SUM(N31:N50)</f>
        <v/>
      </c>
      <c r="O51" s="27">
        <f>SUM(O31:O50)</f>
        <v/>
      </c>
      <c r="P51" s="2" t="n"/>
      <c r="Q51" s="2" t="n"/>
      <c r="R51" s="2" t="n"/>
      <c r="S51" s="29">
        <f>IFERROR(IF(ISBLANK(INDIRECT("'"&amp;$Q$2&amp;"'!G"&amp;ROW())),"",INDIRECT("'"&amp;$Q$2&amp;"'!G"&amp;ROW())),"")</f>
        <v/>
      </c>
      <c r="T51" s="30">
        <f>IF(OR($G51="",$S51=""),"",$G51-$S51)</f>
        <v/>
      </c>
      <c r="U51" s="29">
        <f>IFERROR(IF(ISBLANK(INDIRECT("'"&amp;$Q$2&amp;"'!K"&amp;ROW())),"",INDIRECT("'"&amp;$Q$2&amp;"'!K"&amp;ROW())),"")</f>
        <v/>
      </c>
      <c r="V51" s="30">
        <f>IF(OR($K51="",$U51=""),"",$K51-$U51)</f>
        <v/>
      </c>
      <c r="W51" s="31">
        <f>IFERROR(IF(ISBLANK(INDIRECT("'"&amp;$Q$2&amp;"'!O"&amp;ROW())),"",INDIRECT("'"&amp;$Q$2&amp;"'!O"&amp;ROW())),"")</f>
        <v/>
      </c>
      <c r="X51" s="31">
        <f>IF(OR(C51=0,$O51="",$W51=""),"",$O51-$W51)</f>
        <v/>
      </c>
      <c r="Y51" s="2" t="n"/>
      <c r="Z51" s="2" t="n"/>
    </row>
    <row r="52" ht="14.25" customHeight="1" s="58">
      <c r="A52" s="12" t="inlineStr">
        <is>
          <t>Telegram</t>
        </is>
      </c>
      <c r="B52" s="12" t="inlineStr">
        <is>
          <t>Ямал-Медиа</t>
        </is>
      </c>
      <c r="C52" s="13" t="n">
        <v>140</v>
      </c>
      <c r="D52" s="13" t="n">
        <v>57464</v>
      </c>
      <c r="E52" s="13">
        <f>IF($D52="","",IFERROR(IF(ISBLANK(INDIRECT("'"&amp;$Q$2&amp;"'!D"&amp;ROW())),"",INDIRECT("'"&amp;$Q$2&amp;"'!D"&amp;ROW())),""))</f>
        <v/>
      </c>
      <c r="F52" s="15">
        <f>IF(OR(D52="",E52=""),"",D52-E52)</f>
        <v/>
      </c>
      <c r="G52" s="16">
        <f>IFERROR(F52/E52,"")</f>
        <v/>
      </c>
      <c r="H52" s="13" t="n">
        <v>262</v>
      </c>
      <c r="I52" s="13">
        <f>IF($H52="","",IFERROR(IF(ISBLANK(INDIRECT("'"&amp;$Q$2&amp;"'!H"&amp;ROW())),"",INDIRECT("'"&amp;$Q$2&amp;"'!H"&amp;ROW())),""))</f>
        <v/>
      </c>
      <c r="J52" s="15">
        <f>IF(OR(H52="",I52=""),"",H52-I52)</f>
        <v/>
      </c>
      <c r="K52" s="16">
        <f>IFERROR(J52/I52,"")</f>
        <v/>
      </c>
      <c r="L52" s="13">
        <f>IFERROR(D52/C52,"")</f>
        <v/>
      </c>
      <c r="M52" s="13">
        <f>IFERROR(H52/D52*1000,"")</f>
        <v/>
      </c>
      <c r="N52" s="13" t="n">
        <v>11741</v>
      </c>
      <c r="O52" s="15">
        <f>IFERROR(IF(OR(N52="",ISBLANK(INDIRECT("'"&amp;$Q$2&amp;"'!N"&amp;ROW()))),"",N52-INDIRECT("'"&amp;$Q$2&amp;"'!N"&amp;ROW())),"")</f>
        <v/>
      </c>
      <c r="P52" s="2" t="n"/>
      <c r="Q52" s="2" t="n"/>
      <c r="R52" s="2" t="n"/>
      <c r="S52" s="18">
        <f>IFERROR(IF(ISBLANK(INDIRECT("'"&amp;$Q$2&amp;"'!G"&amp;ROW())),"",INDIRECT("'"&amp;$Q$2&amp;"'!G"&amp;ROW())),"")</f>
        <v/>
      </c>
      <c r="T52" s="20">
        <f>IF(OR($G52="",$S52=""),"",$G52-$S52)</f>
        <v/>
      </c>
      <c r="U52" s="18">
        <f>IFERROR(IF(ISBLANK(INDIRECT("'"&amp;$Q$2&amp;"'!K"&amp;ROW())),"",INDIRECT("'"&amp;$Q$2&amp;"'!K"&amp;ROW())),"")</f>
        <v/>
      </c>
      <c r="V52" s="20">
        <f>IF(OR($K52="",$U52=""),"",$K52-$U52)</f>
        <v/>
      </c>
      <c r="W52" s="21">
        <f>IFERROR(IF(ISBLANK(INDIRECT("'"&amp;$Q$2&amp;"'!O"&amp;ROW())),"",INDIRECT("'"&amp;$Q$2&amp;"'!O"&amp;ROW())),"")</f>
        <v/>
      </c>
      <c r="X52" s="21">
        <f>IF(OR($O52="",$W52=""),"",$O52-$W52)</f>
        <v/>
      </c>
      <c r="Y52" s="2" t="n"/>
      <c r="Z52" s="2" t="n"/>
    </row>
    <row r="53" ht="14.25" customHeight="1" s="58">
      <c r="A53" s="12" t="inlineStr">
        <is>
          <t>Telegram</t>
        </is>
      </c>
      <c r="B53" s="12" t="inlineStr">
        <is>
          <t>Север-Пресс</t>
        </is>
      </c>
      <c r="C53" s="13" t="n">
        <v>135</v>
      </c>
      <c r="D53" s="13" t="n">
        <v>43678</v>
      </c>
      <c r="E53" s="13">
        <f>IF($D53="","",IFERROR(IF(ISBLANK(INDIRECT("'"&amp;$Q$2&amp;"'!D"&amp;ROW())),"",INDIRECT("'"&amp;$Q$2&amp;"'!D"&amp;ROW())),""))</f>
        <v/>
      </c>
      <c r="F53" s="15">
        <f>IF(OR(D53="",E53=""),"",D53-E53)</f>
        <v/>
      </c>
      <c r="G53" s="16">
        <f>IFERROR(F53/E53,"")</f>
        <v/>
      </c>
      <c r="H53" s="13" t="n">
        <v>41</v>
      </c>
      <c r="I53" s="13">
        <f>IF($H53="","",IFERROR(IF(ISBLANK(INDIRECT("'"&amp;$Q$2&amp;"'!H"&amp;ROW())),"",INDIRECT("'"&amp;$Q$2&amp;"'!H"&amp;ROW())),""))</f>
        <v/>
      </c>
      <c r="J53" s="15">
        <f>IF(OR(H53="",I53=""),"",H53-I53)</f>
        <v/>
      </c>
      <c r="K53" s="16">
        <f>IFERROR(J53/I53,"")</f>
        <v/>
      </c>
      <c r="L53" s="13">
        <f>IFERROR(D53/C53,"")</f>
        <v/>
      </c>
      <c r="M53" s="13">
        <f>IFERROR(H53/D53*1000,"")</f>
        <v/>
      </c>
      <c r="N53" s="13" t="n">
        <v>4790</v>
      </c>
      <c r="O53" s="15">
        <f>IFERROR(IF(OR(N53="",ISBLANK(INDIRECT("'"&amp;$Q$2&amp;"'!N"&amp;ROW()))),"",N53-INDIRECT("'"&amp;$Q$2&amp;"'!N"&amp;ROW())),"")</f>
        <v/>
      </c>
      <c r="P53" s="2" t="n"/>
      <c r="Q53" s="2" t="n"/>
      <c r="R53" s="2" t="n"/>
      <c r="S53" s="18">
        <f>IFERROR(IF(ISBLANK(INDIRECT("'"&amp;$Q$2&amp;"'!G"&amp;ROW())),"",INDIRECT("'"&amp;$Q$2&amp;"'!G"&amp;ROW())),"")</f>
        <v/>
      </c>
      <c r="T53" s="20">
        <f>IF(OR($G53="",$S53=""),"",$G53-$S53)</f>
        <v/>
      </c>
      <c r="U53" s="18">
        <f>IFERROR(IF(ISBLANK(INDIRECT("'"&amp;$Q$2&amp;"'!K"&amp;ROW())),"",INDIRECT("'"&amp;$Q$2&amp;"'!K"&amp;ROW())),"")</f>
        <v/>
      </c>
      <c r="V53" s="20">
        <f>IF(OR($K53="",$U53=""),"",$K53-$U53)</f>
        <v/>
      </c>
      <c r="W53" s="21">
        <f>IFERROR(IF(ISBLANK(INDIRECT("'"&amp;$Q$2&amp;"'!O"&amp;ROW())),"",INDIRECT("'"&amp;$Q$2&amp;"'!O"&amp;ROW())),"")</f>
        <v/>
      </c>
      <c r="X53" s="21">
        <f>IF(OR($O53="",$W53=""),"",$O53-$W53)</f>
        <v/>
      </c>
      <c r="Y53" s="2" t="n"/>
      <c r="Z53" s="2" t="n"/>
    </row>
    <row r="54" ht="14.25" customHeight="1" s="58">
      <c r="A54" s="12" t="inlineStr">
        <is>
          <t>Telegram</t>
        </is>
      </c>
      <c r="B54" s="12" t="inlineStr">
        <is>
          <t>Красный Север</t>
        </is>
      </c>
      <c r="C54" s="13" t="n">
        <v>85</v>
      </c>
      <c r="D54" s="13" t="n">
        <v>1927</v>
      </c>
      <c r="E54" s="13">
        <f>IF($D54="","",IFERROR(IF(ISBLANK(INDIRECT("'"&amp;$Q$2&amp;"'!D"&amp;ROW())),"",INDIRECT("'"&amp;$Q$2&amp;"'!D"&amp;ROW())),""))</f>
        <v/>
      </c>
      <c r="F54" s="15">
        <f>IF(OR(D54="",E54=""),"",D54-E54)</f>
        <v/>
      </c>
      <c r="G54" s="16">
        <f>IFERROR(F54/E54,"")</f>
        <v/>
      </c>
      <c r="H54" s="13" t="n">
        <v>2</v>
      </c>
      <c r="I54" s="13">
        <f>IF($H54="","",IFERROR(IF(ISBLANK(INDIRECT("'"&amp;$Q$2&amp;"'!H"&amp;ROW())),"",INDIRECT("'"&amp;$Q$2&amp;"'!H"&amp;ROW())),""))</f>
        <v/>
      </c>
      <c r="J54" s="15">
        <f>IF(OR(H54="",I54=""),"",H54-I54)</f>
        <v/>
      </c>
      <c r="K54" s="16">
        <f>IFERROR(J54/I54,"")</f>
        <v/>
      </c>
      <c r="L54" s="13">
        <f>IFERROR(D54/C54,"")</f>
        <v/>
      </c>
      <c r="M54" s="13">
        <f>IFERROR(H54/D54*1000,"")</f>
        <v/>
      </c>
      <c r="N54" s="13" t="n">
        <v>868</v>
      </c>
      <c r="O54" s="15">
        <f>IFERROR(IF(OR(N54="",ISBLANK(INDIRECT("'"&amp;$Q$2&amp;"'!N"&amp;ROW()))),"",N54-INDIRECT("'"&amp;$Q$2&amp;"'!N"&amp;ROW())),"")</f>
        <v/>
      </c>
      <c r="P54" s="2" t="n"/>
      <c r="Q54" s="2" t="n"/>
      <c r="R54" s="2" t="n"/>
      <c r="S54" s="18">
        <f>IFERROR(IF(ISBLANK(INDIRECT("'"&amp;$Q$2&amp;"'!G"&amp;ROW())),"",INDIRECT("'"&amp;$Q$2&amp;"'!G"&amp;ROW())),"")</f>
        <v/>
      </c>
      <c r="T54" s="20">
        <f>IF(OR($G54="",$S54=""),"",$G54-$S54)</f>
        <v/>
      </c>
      <c r="U54" s="18">
        <f>IFERROR(IF(ISBLANK(INDIRECT("'"&amp;$Q$2&amp;"'!K"&amp;ROW())),"",INDIRECT("'"&amp;$Q$2&amp;"'!K"&amp;ROW())),"")</f>
        <v/>
      </c>
      <c r="V54" s="20">
        <f>IF(OR($K54="",$U54=""),"",$K54-$U54)</f>
        <v/>
      </c>
      <c r="W54" s="21">
        <f>IFERROR(IF(ISBLANK(INDIRECT("'"&amp;$Q$2&amp;"'!O"&amp;ROW())),"",INDIRECT("'"&amp;$Q$2&amp;"'!O"&amp;ROW())),"")</f>
        <v/>
      </c>
      <c r="X54" s="21">
        <f>IF(OR($O54="",$W54=""),"",$O54-$W54)</f>
        <v/>
      </c>
      <c r="Y54" s="2" t="n"/>
      <c r="Z54" s="2" t="n"/>
    </row>
    <row r="55" ht="14.25" customHeight="1" s="58">
      <c r="A55" s="12" t="inlineStr">
        <is>
          <t>Telegram</t>
        </is>
      </c>
      <c r="B55" s="12" t="inlineStr">
        <is>
          <t>СМП</t>
        </is>
      </c>
      <c r="C55" s="13" t="n">
        <v>9</v>
      </c>
      <c r="D55" s="13" t="n">
        <v>6726</v>
      </c>
      <c r="E55" s="13">
        <f>IF($D55="","",IFERROR(IF(ISBLANK(INDIRECT("'"&amp;$Q$2&amp;"'!D"&amp;ROW())),"",INDIRECT("'"&amp;$Q$2&amp;"'!D"&amp;ROW())),""))</f>
        <v/>
      </c>
      <c r="F55" s="15">
        <f>IF(OR(D55="",E55=""),"",D55-E55)</f>
        <v/>
      </c>
      <c r="G55" s="16">
        <f>IFERROR(F55/E55,"")</f>
        <v/>
      </c>
      <c r="H55" s="13" t="n">
        <v>28</v>
      </c>
      <c r="I55" s="13">
        <f>IF($H55="","",IFERROR(IF(ISBLANK(INDIRECT("'"&amp;$Q$2&amp;"'!H"&amp;ROW())),"",INDIRECT("'"&amp;$Q$2&amp;"'!H"&amp;ROW())),""))</f>
        <v/>
      </c>
      <c r="J55" s="15">
        <f>IF(OR(H55="",I55=""),"",H55-I55)</f>
        <v/>
      </c>
      <c r="K55" s="16">
        <f>IFERROR(J55/I55,"")</f>
        <v/>
      </c>
      <c r="L55" s="13">
        <f>IFERROR(D55/C55,"")</f>
        <v/>
      </c>
      <c r="M55" s="13">
        <f>IFERROR(H55/D55*1000,"")</f>
        <v/>
      </c>
      <c r="N55" s="13" t="n">
        <v>13804</v>
      </c>
      <c r="O55" s="15">
        <f>IFERROR(IF(OR(N55="",ISBLANK(INDIRECT("'"&amp;$Q$2&amp;"'!N"&amp;ROW()))),"",N55-INDIRECT("'"&amp;$Q$2&amp;"'!N"&amp;ROW())),"")</f>
        <v/>
      </c>
      <c r="P55" s="2" t="n"/>
      <c r="Q55" s="2" t="n"/>
      <c r="R55" s="2" t="n"/>
      <c r="S55" s="18">
        <f>IFERROR(IF(ISBLANK(INDIRECT("'"&amp;$Q$2&amp;"'!G"&amp;ROW())),"",INDIRECT("'"&amp;$Q$2&amp;"'!G"&amp;ROW())),"")</f>
        <v/>
      </c>
      <c r="T55" s="20">
        <f>IF(OR($G55="",$S55=""),"",$G55-$S55)</f>
        <v/>
      </c>
      <c r="U55" s="18">
        <f>IFERROR(IF(ISBLANK(INDIRECT("'"&amp;$Q$2&amp;"'!K"&amp;ROW())),"",INDIRECT("'"&amp;$Q$2&amp;"'!K"&amp;ROW())),"")</f>
        <v/>
      </c>
      <c r="V55" s="20">
        <f>IF(OR($K55="",$U55=""),"",$K55-$U55)</f>
        <v/>
      </c>
      <c r="W55" s="21">
        <f>IFERROR(IF(ISBLANK(INDIRECT("'"&amp;$Q$2&amp;"'!O"&amp;ROW())),"",INDIRECT("'"&amp;$Q$2&amp;"'!O"&amp;ROW())),"")</f>
        <v/>
      </c>
      <c r="X55" s="21">
        <f>IF(OR($O55="",$W55=""),"",$O55-$W55)</f>
        <v/>
      </c>
      <c r="Y55" s="2" t="n"/>
      <c r="Z55" s="2" t="n"/>
    </row>
    <row r="56" ht="14.25" customHeight="1" s="58">
      <c r="A56" s="12" t="inlineStr">
        <is>
          <t>Telegram</t>
        </is>
      </c>
      <c r="B56" s="12" t="inlineStr">
        <is>
          <t>СШХ</t>
        </is>
      </c>
      <c r="C56" s="13" t="n">
        <v>10</v>
      </c>
      <c r="D56" s="13" t="n">
        <v>2676</v>
      </c>
      <c r="E56" s="13">
        <f>IF($D56="","",IFERROR(IF(ISBLANK(INDIRECT("'"&amp;$Q$2&amp;"'!D"&amp;ROW())),"",INDIRECT("'"&amp;$Q$2&amp;"'!D"&amp;ROW())),""))</f>
        <v/>
      </c>
      <c r="F56" s="15">
        <f>IF(OR(D56="",E56=""),"",D56-E56)</f>
        <v/>
      </c>
      <c r="G56" s="16">
        <f>IFERROR(F56/E56,"")</f>
        <v/>
      </c>
      <c r="H56" s="13" t="n">
        <v>24</v>
      </c>
      <c r="I56" s="13">
        <f>IF($H56="","",IFERROR(IF(ISBLANK(INDIRECT("'"&amp;$Q$2&amp;"'!H"&amp;ROW())),"",INDIRECT("'"&amp;$Q$2&amp;"'!H"&amp;ROW())),""))</f>
        <v/>
      </c>
      <c r="J56" s="15">
        <f>IF(OR(H56="",I56=""),"",H56-I56)</f>
        <v/>
      </c>
      <c r="K56" s="16">
        <f>IFERROR(J56/I56,"")</f>
        <v/>
      </c>
      <c r="L56" s="13">
        <f>IFERROR(D56/C56,"")</f>
        <v/>
      </c>
      <c r="M56" s="13">
        <f>IFERROR(H56/D56*1000,"")</f>
        <v/>
      </c>
      <c r="N56" s="13" t="n">
        <v>8653</v>
      </c>
      <c r="O56" s="15">
        <f>IFERROR(IF(OR(N56="",ISBLANK(INDIRECT("'"&amp;$Q$2&amp;"'!N"&amp;ROW()))),"",N56-INDIRECT("'"&amp;$Q$2&amp;"'!N"&amp;ROW())),"")</f>
        <v/>
      </c>
      <c r="P56" s="2" t="n"/>
      <c r="Q56" s="2" t="n"/>
      <c r="R56" s="2" t="n"/>
      <c r="S56" s="18">
        <f>IFERROR(IF(ISBLANK(INDIRECT("'"&amp;$Q$2&amp;"'!G"&amp;ROW())),"",INDIRECT("'"&amp;$Q$2&amp;"'!G"&amp;ROW())),"")</f>
        <v/>
      </c>
      <c r="T56" s="20">
        <f>IF(OR($G56="",$S56=""),"",$G56-$S56)</f>
        <v/>
      </c>
      <c r="U56" s="18">
        <f>IFERROR(IF(ISBLANK(INDIRECT("'"&amp;$Q$2&amp;"'!K"&amp;ROW())),"",INDIRECT("'"&amp;$Q$2&amp;"'!K"&amp;ROW())),"")</f>
        <v/>
      </c>
      <c r="V56" s="20">
        <f>IF(OR($K56="",$U56=""),"",$K56-$U56)</f>
        <v/>
      </c>
      <c r="W56" s="21">
        <f>IFERROR(IF(ISBLANK(INDIRECT("'"&amp;$Q$2&amp;"'!O"&amp;ROW())),"",INDIRECT("'"&amp;$Q$2&amp;"'!O"&amp;ROW())),"")</f>
        <v/>
      </c>
      <c r="X56" s="21">
        <f>IF(OR($O56="",$W56=""),"",$O56-$W56)</f>
        <v/>
      </c>
      <c r="Y56" s="2" t="n"/>
      <c r="Z56" s="2" t="n"/>
    </row>
    <row r="57" ht="14.25" customHeight="1" s="58">
      <c r="A57" s="12" t="inlineStr">
        <is>
          <t>Telegram</t>
        </is>
      </c>
      <c r="B57" s="12" t="inlineStr">
        <is>
          <t>Новый Уренгой</t>
        </is>
      </c>
      <c r="C57" s="13" t="n">
        <v>103</v>
      </c>
      <c r="D57" s="13" t="n">
        <v>53833</v>
      </c>
      <c r="E57" s="13">
        <f>IF($D57="","",IFERROR(IF(ISBLANK(INDIRECT("'"&amp;$Q$2&amp;"'!D"&amp;ROW())),"",INDIRECT("'"&amp;$Q$2&amp;"'!D"&amp;ROW())),""))</f>
        <v/>
      </c>
      <c r="F57" s="15">
        <f>IF(OR(D57="",E57=""),"",D57-E57)</f>
        <v/>
      </c>
      <c r="G57" s="16">
        <f>IFERROR(F57/E57,"")</f>
        <v/>
      </c>
      <c r="H57" s="13" t="n">
        <v>201</v>
      </c>
      <c r="I57" s="13">
        <f>IF($H57="","",IFERROR(IF(ISBLANK(INDIRECT("'"&amp;$Q$2&amp;"'!H"&amp;ROW())),"",INDIRECT("'"&amp;$Q$2&amp;"'!H"&amp;ROW())),""))</f>
        <v/>
      </c>
      <c r="J57" s="15">
        <f>IF(OR(H57="",I57=""),"",H57-I57)</f>
        <v/>
      </c>
      <c r="K57" s="16">
        <f>IFERROR(J57/I57,"")</f>
        <v/>
      </c>
      <c r="L57" s="13">
        <f>IFERROR(D57/C57,"")</f>
        <v/>
      </c>
      <c r="M57" s="13">
        <f>IFERROR(H57/D57*1000,"")</f>
        <v/>
      </c>
      <c r="N57" s="13" t="n">
        <v>10864</v>
      </c>
      <c r="O57" s="15">
        <f>IFERROR(IF(OR(N57="",ISBLANK(INDIRECT("'"&amp;$Q$2&amp;"'!N"&amp;ROW()))),"",N57-INDIRECT("'"&amp;$Q$2&amp;"'!N"&amp;ROW())),"")</f>
        <v/>
      </c>
      <c r="P57" s="2" t="n"/>
      <c r="Q57" s="2" t="n"/>
      <c r="R57" s="2" t="n"/>
      <c r="S57" s="18">
        <f>IFERROR(IF(ISBLANK(INDIRECT("'"&amp;$Q$2&amp;"'!G"&amp;ROW())),"",INDIRECT("'"&amp;$Q$2&amp;"'!G"&amp;ROW())),"")</f>
        <v/>
      </c>
      <c r="T57" s="20">
        <f>IF(OR($G57="",$S57=""),"",$G57-$S57)</f>
        <v/>
      </c>
      <c r="U57" s="18">
        <f>IFERROR(IF(ISBLANK(INDIRECT("'"&amp;$Q$2&amp;"'!K"&amp;ROW())),"",INDIRECT("'"&amp;$Q$2&amp;"'!K"&amp;ROW())),"")</f>
        <v/>
      </c>
      <c r="V57" s="20">
        <f>IF(OR($K57="",$U57=""),"",$K57-$U57)</f>
        <v/>
      </c>
      <c r="W57" s="21">
        <f>IFERROR(IF(ISBLANK(INDIRECT("'"&amp;$Q$2&amp;"'!O"&amp;ROW())),"",INDIRECT("'"&amp;$Q$2&amp;"'!O"&amp;ROW())),"")</f>
        <v/>
      </c>
      <c r="X57" s="21">
        <f>IF(OR($O57="",$W57=""),"",$O57-$W57)</f>
        <v/>
      </c>
      <c r="Y57" s="2" t="n"/>
      <c r="Z57" s="2" t="n"/>
    </row>
    <row r="58" ht="14.25" customHeight="1" s="58">
      <c r="A58" s="12" t="inlineStr">
        <is>
          <t>Telegram</t>
        </is>
      </c>
      <c r="B58" s="12" t="inlineStr">
        <is>
          <t>Надым</t>
        </is>
      </c>
      <c r="C58" s="13" t="n">
        <v>82</v>
      </c>
      <c r="D58" s="13" t="n">
        <v>18052</v>
      </c>
      <c r="E58" s="13">
        <f>IF($D58="","",IFERROR(IF(ISBLANK(INDIRECT("'"&amp;$Q$2&amp;"'!D"&amp;ROW())),"",INDIRECT("'"&amp;$Q$2&amp;"'!D"&amp;ROW())),""))</f>
        <v/>
      </c>
      <c r="F58" s="15">
        <f>IF(OR(D58="",E58=""),"",D58-E58)</f>
        <v/>
      </c>
      <c r="G58" s="16">
        <f>IFERROR(F58/E58,"")</f>
        <v/>
      </c>
      <c r="H58" s="13" t="n">
        <v>315</v>
      </c>
      <c r="I58" s="13">
        <f>IF($H58="","",IFERROR(IF(ISBLANK(INDIRECT("'"&amp;$Q$2&amp;"'!H"&amp;ROW())),"",INDIRECT("'"&amp;$Q$2&amp;"'!H"&amp;ROW())),""))</f>
        <v/>
      </c>
      <c r="J58" s="15">
        <f>IF(OR(H58="",I58=""),"",H58-I58)</f>
        <v/>
      </c>
      <c r="K58" s="16">
        <f>IFERROR(J58/I58,"")</f>
        <v/>
      </c>
      <c r="L58" s="13">
        <f>IFERROR(D58/C58,"")</f>
        <v/>
      </c>
      <c r="M58" s="13">
        <f>IFERROR(H58/D58*1000,"")</f>
        <v/>
      </c>
      <c r="N58" s="13" t="n">
        <v>4095</v>
      </c>
      <c r="O58" s="15">
        <f>IFERROR(IF(OR(N58="",ISBLANK(INDIRECT("'"&amp;$Q$2&amp;"'!N"&amp;ROW()))),"",N58-INDIRECT("'"&amp;$Q$2&amp;"'!N"&amp;ROW())),"")</f>
        <v/>
      </c>
      <c r="P58" s="2" t="n"/>
      <c r="Q58" s="2" t="n"/>
      <c r="R58" s="2" t="n"/>
      <c r="S58" s="18">
        <f>IFERROR(IF(ISBLANK(INDIRECT("'"&amp;$Q$2&amp;"'!G"&amp;ROW())),"",INDIRECT("'"&amp;$Q$2&amp;"'!G"&amp;ROW())),"")</f>
        <v/>
      </c>
      <c r="T58" s="20">
        <f>IF(OR($G58="",$S58=""),"",$G58-$S58)</f>
        <v/>
      </c>
      <c r="U58" s="18">
        <f>IFERROR(IF(ISBLANK(INDIRECT("'"&amp;$Q$2&amp;"'!K"&amp;ROW())),"",INDIRECT("'"&amp;$Q$2&amp;"'!K"&amp;ROW())),"")</f>
        <v/>
      </c>
      <c r="V58" s="20">
        <f>IF(OR($K58="",$U58=""),"",$K58-$U58)</f>
        <v/>
      </c>
      <c r="W58" s="21">
        <f>IFERROR(IF(ISBLANK(INDIRECT("'"&amp;$Q$2&amp;"'!O"&amp;ROW())),"",INDIRECT("'"&amp;$Q$2&amp;"'!O"&amp;ROW())),"")</f>
        <v/>
      </c>
      <c r="X58" s="21">
        <f>IF(OR($O58="",$W58=""),"",$O58-$W58)</f>
        <v/>
      </c>
      <c r="Y58" s="2" t="n"/>
      <c r="Z58" s="2" t="n"/>
    </row>
    <row r="59" ht="14.25" customHeight="1" s="58">
      <c r="A59" s="12" t="inlineStr">
        <is>
          <t>Telegram</t>
        </is>
      </c>
      <c r="B59" s="12" t="inlineStr">
        <is>
          <t>Ноябрьск</t>
        </is>
      </c>
      <c r="C59" s="13" t="n">
        <v>91</v>
      </c>
      <c r="D59" s="13" t="n">
        <v>29628</v>
      </c>
      <c r="E59" s="13">
        <f>IF($D59="","",IFERROR(IF(ISBLANK(INDIRECT("'"&amp;$Q$2&amp;"'!D"&amp;ROW())),"",INDIRECT("'"&amp;$Q$2&amp;"'!D"&amp;ROW())),""))</f>
        <v/>
      </c>
      <c r="F59" s="15">
        <f>IF(OR(D59="",E59=""),"",D59-E59)</f>
        <v/>
      </c>
      <c r="G59" s="16">
        <f>IFERROR(F59/E59,"")</f>
        <v/>
      </c>
      <c r="H59" s="13" t="n">
        <v>148</v>
      </c>
      <c r="I59" s="13">
        <f>IF($H59="","",IFERROR(IF(ISBLANK(INDIRECT("'"&amp;$Q$2&amp;"'!H"&amp;ROW())),"",INDIRECT("'"&amp;$Q$2&amp;"'!H"&amp;ROW())),""))</f>
        <v/>
      </c>
      <c r="J59" s="15">
        <f>IF(OR(H59="",I59=""),"",H59-I59)</f>
        <v/>
      </c>
      <c r="K59" s="16">
        <f>IFERROR(J59/I59,"")</f>
        <v/>
      </c>
      <c r="L59" s="13">
        <f>IFERROR(D59/C59,"")</f>
        <v/>
      </c>
      <c r="M59" s="13">
        <f>IFERROR(H59/D59*1000,"")</f>
        <v/>
      </c>
      <c r="N59" s="13" t="n">
        <v>5504</v>
      </c>
      <c r="O59" s="15">
        <f>IFERROR(IF(OR(N59="",ISBLANK(INDIRECT("'"&amp;$Q$2&amp;"'!N"&amp;ROW()))),"",N59-INDIRECT("'"&amp;$Q$2&amp;"'!N"&amp;ROW())),"")</f>
        <v/>
      </c>
      <c r="P59" s="2" t="n"/>
      <c r="Q59" s="2" t="n"/>
      <c r="R59" s="2" t="n"/>
      <c r="S59" s="18">
        <f>IFERROR(IF(ISBLANK(INDIRECT("'"&amp;$Q$2&amp;"'!G"&amp;ROW())),"",INDIRECT("'"&amp;$Q$2&amp;"'!G"&amp;ROW())),"")</f>
        <v/>
      </c>
      <c r="T59" s="20">
        <f>IF(OR($G59="",$S59=""),"",$G59-$S59)</f>
        <v/>
      </c>
      <c r="U59" s="18">
        <f>IFERROR(IF(ISBLANK(INDIRECT("'"&amp;$Q$2&amp;"'!K"&amp;ROW())),"",INDIRECT("'"&amp;$Q$2&amp;"'!K"&amp;ROW())),"")</f>
        <v/>
      </c>
      <c r="V59" s="20">
        <f>IF(OR($K59="",$U59=""),"",$K59-$U59)</f>
        <v/>
      </c>
      <c r="W59" s="21">
        <f>IFERROR(IF(ISBLANK(INDIRECT("'"&amp;$Q$2&amp;"'!O"&amp;ROW())),"",INDIRECT("'"&amp;$Q$2&amp;"'!O"&amp;ROW())),"")</f>
        <v/>
      </c>
      <c r="X59" s="21">
        <f>IF(OR($O59="",$W59=""),"",$O59-$W59)</f>
        <v/>
      </c>
      <c r="Y59" s="2" t="n"/>
      <c r="Z59" s="2" t="n"/>
    </row>
    <row r="60" ht="14.25" customHeight="1" s="58">
      <c r="A60" s="12" t="inlineStr">
        <is>
          <t>Telegram</t>
        </is>
      </c>
      <c r="B60" s="12" t="inlineStr">
        <is>
          <t>Салехард</t>
        </is>
      </c>
      <c r="C60" s="13" t="n">
        <v>143</v>
      </c>
      <c r="D60" s="13" t="n">
        <v>89139</v>
      </c>
      <c r="E60" s="13">
        <f>IF($D60="","",IFERROR(IF(ISBLANK(INDIRECT("'"&amp;$Q$2&amp;"'!D"&amp;ROW())),"",INDIRECT("'"&amp;$Q$2&amp;"'!D"&amp;ROW())),""))</f>
        <v/>
      </c>
      <c r="F60" s="15">
        <f>IF(OR(D60="",E60=""),"",D60-E60)</f>
        <v/>
      </c>
      <c r="G60" s="16">
        <f>IFERROR(F60/E60,"")</f>
        <v/>
      </c>
      <c r="H60" s="13" t="n">
        <v>175</v>
      </c>
      <c r="I60" s="13">
        <f>IF($H60="","",IFERROR(IF(ISBLANK(INDIRECT("'"&amp;$Q$2&amp;"'!H"&amp;ROW())),"",INDIRECT("'"&amp;$Q$2&amp;"'!H"&amp;ROW())),""))</f>
        <v/>
      </c>
      <c r="J60" s="15">
        <f>IF(OR(H60="",I60=""),"",H60-I60)</f>
        <v/>
      </c>
      <c r="K60" s="16">
        <f>IFERROR(J60/I60,"")</f>
        <v/>
      </c>
      <c r="L60" s="13">
        <f>IFERROR(D60/C60,"")</f>
        <v/>
      </c>
      <c r="M60" s="13">
        <f>IFERROR(H60/D60*1000,"")</f>
        <v/>
      </c>
      <c r="N60" s="13" t="n">
        <v>10382</v>
      </c>
      <c r="O60" s="15">
        <f>IFERROR(IF(OR(N60="",ISBLANK(INDIRECT("'"&amp;$Q$2&amp;"'!N"&amp;ROW()))),"",N60-INDIRECT("'"&amp;$Q$2&amp;"'!N"&amp;ROW())),"")</f>
        <v/>
      </c>
      <c r="P60" s="2" t="n"/>
      <c r="Q60" s="2" t="n"/>
      <c r="R60" s="2" t="n"/>
      <c r="S60" s="18">
        <f>IFERROR(IF(ISBLANK(INDIRECT("'"&amp;$Q$2&amp;"'!G"&amp;ROW())),"",INDIRECT("'"&amp;$Q$2&amp;"'!G"&amp;ROW())),"")</f>
        <v/>
      </c>
      <c r="T60" s="20">
        <f>IF(OR($G60="",$S60=""),"",$G60-$S60)</f>
        <v/>
      </c>
      <c r="U60" s="18">
        <f>IFERROR(IF(ISBLANK(INDIRECT("'"&amp;$Q$2&amp;"'!K"&amp;ROW())),"",INDIRECT("'"&amp;$Q$2&amp;"'!K"&amp;ROW())),"")</f>
        <v/>
      </c>
      <c r="V60" s="20">
        <f>IF(OR($K60="",$U60=""),"",$K60-$U60)</f>
        <v/>
      </c>
      <c r="W60" s="21">
        <f>IFERROR(IF(ISBLANK(INDIRECT("'"&amp;$Q$2&amp;"'!O"&amp;ROW())),"",INDIRECT("'"&amp;$Q$2&amp;"'!O"&amp;ROW())),"")</f>
        <v/>
      </c>
      <c r="X60" s="21">
        <f>IF(OR($O60="",$W60=""),"",$O60-$W60)</f>
        <v/>
      </c>
      <c r="Y60" s="2" t="n"/>
      <c r="Z60" s="2" t="n"/>
    </row>
    <row r="61" ht="14.25" customHeight="1" s="58">
      <c r="A61" s="12" t="inlineStr">
        <is>
          <t>Telegram</t>
        </is>
      </c>
      <c r="B61" s="12" t="inlineStr">
        <is>
          <t>Приуралье</t>
        </is>
      </c>
      <c r="C61" s="13" t="n">
        <v>107</v>
      </c>
      <c r="D61" s="13" t="n">
        <v>12304</v>
      </c>
      <c r="E61" s="13">
        <f>IF($D61="","",IFERROR(IF(ISBLANK(INDIRECT("'"&amp;$Q$2&amp;"'!D"&amp;ROW())),"",INDIRECT("'"&amp;$Q$2&amp;"'!D"&amp;ROW())),""))</f>
        <v/>
      </c>
      <c r="F61" s="15">
        <f>IF(OR(D61="",E61=""),"",D61-E61)</f>
        <v/>
      </c>
      <c r="G61" s="16">
        <f>IFERROR(F61/E61,"")</f>
        <v/>
      </c>
      <c r="H61" s="13" t="n">
        <v>180</v>
      </c>
      <c r="I61" s="13">
        <f>IF($H61="","",IFERROR(IF(ISBLANK(INDIRECT("'"&amp;$Q$2&amp;"'!H"&amp;ROW())),"",INDIRECT("'"&amp;$Q$2&amp;"'!H"&amp;ROW())),""))</f>
        <v/>
      </c>
      <c r="J61" s="15">
        <f>IF(OR(H61="",I61=""),"",H61-I61)</f>
        <v/>
      </c>
      <c r="K61" s="16">
        <f>IFERROR(J61/I61,"")</f>
        <v/>
      </c>
      <c r="L61" s="13">
        <f>IFERROR(D61/C61,"")</f>
        <v/>
      </c>
      <c r="M61" s="13">
        <f>IFERROR(H61/D61*1000,"")</f>
        <v/>
      </c>
      <c r="N61" s="13" t="n">
        <v>2309</v>
      </c>
      <c r="O61" s="15">
        <f>IFERROR(IF(OR(N61="",ISBLANK(INDIRECT("'"&amp;$Q$2&amp;"'!N"&amp;ROW()))),"",N61-INDIRECT("'"&amp;$Q$2&amp;"'!N"&amp;ROW())),"")</f>
        <v/>
      </c>
      <c r="P61" s="2" t="n"/>
      <c r="Q61" s="2" t="n"/>
      <c r="R61" s="2" t="n"/>
      <c r="S61" s="18">
        <f>IFERROR(IF(ISBLANK(INDIRECT("'"&amp;$Q$2&amp;"'!G"&amp;ROW())),"",INDIRECT("'"&amp;$Q$2&amp;"'!G"&amp;ROW())),"")</f>
        <v/>
      </c>
      <c r="T61" s="20">
        <f>IF(OR($G61="",$S61=""),"",$G61-$S61)</f>
        <v/>
      </c>
      <c r="U61" s="18">
        <f>IFERROR(IF(ISBLANK(INDIRECT("'"&amp;$Q$2&amp;"'!K"&amp;ROW())),"",INDIRECT("'"&amp;$Q$2&amp;"'!K"&amp;ROW())),"")</f>
        <v/>
      </c>
      <c r="V61" s="20">
        <f>IF(OR($K61="",$U61=""),"",$K61-$U61)</f>
        <v/>
      </c>
      <c r="W61" s="21">
        <f>IFERROR(IF(ISBLANK(INDIRECT("'"&amp;$Q$2&amp;"'!O"&amp;ROW())),"",INDIRECT("'"&amp;$Q$2&amp;"'!O"&amp;ROW())),"")</f>
        <v/>
      </c>
      <c r="X61" s="21">
        <f>IF(OR($O61="",$W61=""),"",$O61-$W61)</f>
        <v/>
      </c>
      <c r="Y61" s="2" t="n"/>
      <c r="Z61" s="2" t="n"/>
    </row>
    <row r="62" ht="14.25" customHeight="1" s="58">
      <c r="A62" s="12" t="inlineStr">
        <is>
          <t>Telegram</t>
        </is>
      </c>
      <c r="B62" s="12" t="inlineStr">
        <is>
          <t>Лабытнанги</t>
        </is>
      </c>
      <c r="C62" s="13" t="n">
        <v>59</v>
      </c>
      <c r="D62" s="13" t="n">
        <v>4617</v>
      </c>
      <c r="E62" s="13">
        <f>IF($D62="","",IFERROR(IF(ISBLANK(INDIRECT("'"&amp;$Q$2&amp;"'!D"&amp;ROW())),"",INDIRECT("'"&amp;$Q$2&amp;"'!D"&amp;ROW())),""))</f>
        <v/>
      </c>
      <c r="F62" s="15">
        <f>IF(OR(D62="",E62=""),"",D62-E62)</f>
        <v/>
      </c>
      <c r="G62" s="16">
        <f>IFERROR(F62/E62,"")</f>
        <v/>
      </c>
      <c r="H62" s="13" t="n">
        <v>25</v>
      </c>
      <c r="I62" s="13">
        <f>IF($H62="","",IFERROR(IF(ISBLANK(INDIRECT("'"&amp;$Q$2&amp;"'!H"&amp;ROW())),"",INDIRECT("'"&amp;$Q$2&amp;"'!H"&amp;ROW())),""))</f>
        <v/>
      </c>
      <c r="J62" s="15">
        <f>IF(OR(H62="",I62=""),"",H62-I62)</f>
        <v/>
      </c>
      <c r="K62" s="16">
        <f>IFERROR(J62/I62,"")</f>
        <v/>
      </c>
      <c r="L62" s="13">
        <f>IFERROR(D62/C62,"")</f>
        <v/>
      </c>
      <c r="M62" s="13">
        <f>IFERROR(H62/D62*1000,"")</f>
        <v/>
      </c>
      <c r="N62" s="13" t="n">
        <v>1369</v>
      </c>
      <c r="O62" s="15">
        <f>IFERROR(IF(OR(N62="",ISBLANK(INDIRECT("'"&amp;$Q$2&amp;"'!N"&amp;ROW()))),"",N62-INDIRECT("'"&amp;$Q$2&amp;"'!N"&amp;ROW())),"")</f>
        <v/>
      </c>
      <c r="P62" s="2" t="n"/>
      <c r="Q62" s="2" t="n"/>
      <c r="R62" s="2" t="n"/>
      <c r="S62" s="18">
        <f>IFERROR(IF(ISBLANK(INDIRECT("'"&amp;$Q$2&amp;"'!G"&amp;ROW())),"",INDIRECT("'"&amp;$Q$2&amp;"'!G"&amp;ROW())),"")</f>
        <v/>
      </c>
      <c r="T62" s="20">
        <f>IF(OR($G62="",$S62=""),"",$G62-$S62)</f>
        <v/>
      </c>
      <c r="U62" s="18">
        <f>IFERROR(IF(ISBLANK(INDIRECT("'"&amp;$Q$2&amp;"'!K"&amp;ROW())),"",INDIRECT("'"&amp;$Q$2&amp;"'!K"&amp;ROW())),"")</f>
        <v/>
      </c>
      <c r="V62" s="20">
        <f>IF(OR($K62="",$U62=""),"",$K62-$U62)</f>
        <v/>
      </c>
      <c r="W62" s="21">
        <f>IFERROR(IF(ISBLANK(INDIRECT("'"&amp;$Q$2&amp;"'!O"&amp;ROW())),"",INDIRECT("'"&amp;$Q$2&amp;"'!O"&amp;ROW())),"")</f>
        <v/>
      </c>
      <c r="X62" s="21">
        <f>IF(OR($O62="",$W62=""),"",$O62-$W62)</f>
        <v/>
      </c>
      <c r="Y62" s="2" t="n"/>
      <c r="Z62" s="2" t="n"/>
    </row>
    <row r="63" ht="14.25" customHeight="1" s="58">
      <c r="A63" s="12" t="inlineStr">
        <is>
          <t>Telegram</t>
        </is>
      </c>
      <c r="B63" s="12" t="inlineStr">
        <is>
          <t>Пуровский</t>
        </is>
      </c>
      <c r="C63" s="13" t="n">
        <v>53</v>
      </c>
      <c r="D63" s="13" t="n">
        <v>17338</v>
      </c>
      <c r="E63" s="13">
        <f>IF($D63="","",IFERROR(IF(ISBLANK(INDIRECT("'"&amp;$Q$2&amp;"'!D"&amp;ROW())),"",INDIRECT("'"&amp;$Q$2&amp;"'!D"&amp;ROW())),""))</f>
        <v/>
      </c>
      <c r="F63" s="15">
        <f>IF(OR(D63="",E63=""),"",D63-E63)</f>
        <v/>
      </c>
      <c r="G63" s="16">
        <f>IFERROR(F63/E63,"")</f>
        <v/>
      </c>
      <c r="H63" s="13" t="n">
        <v>41</v>
      </c>
      <c r="I63" s="13">
        <f>IF($H63="","",IFERROR(IF(ISBLANK(INDIRECT("'"&amp;$Q$2&amp;"'!H"&amp;ROW())),"",INDIRECT("'"&amp;$Q$2&amp;"'!H"&amp;ROW())),""))</f>
        <v/>
      </c>
      <c r="J63" s="15">
        <f>IF(OR(H63="",I63=""),"",H63-I63)</f>
        <v/>
      </c>
      <c r="K63" s="16">
        <f>IFERROR(J63/I63,"")</f>
        <v/>
      </c>
      <c r="L63" s="13">
        <f>IFERROR(D63/C63,"")</f>
        <v/>
      </c>
      <c r="M63" s="13">
        <f>IFERROR(H63/D63*1000,"")</f>
        <v/>
      </c>
      <c r="N63" s="13" t="n">
        <v>5617</v>
      </c>
      <c r="O63" s="15">
        <f>IFERROR(IF(OR(N63="",ISBLANK(INDIRECT("'"&amp;$Q$2&amp;"'!N"&amp;ROW()))),"",N63-INDIRECT("'"&amp;$Q$2&amp;"'!N"&amp;ROW())),"")</f>
        <v/>
      </c>
      <c r="P63" s="2" t="n"/>
      <c r="Q63" s="2" t="n"/>
      <c r="R63" s="2" t="n"/>
      <c r="S63" s="18">
        <f>IFERROR(IF(ISBLANK(INDIRECT("'"&amp;$Q$2&amp;"'!G"&amp;ROW())),"",INDIRECT("'"&amp;$Q$2&amp;"'!G"&amp;ROW())),"")</f>
        <v/>
      </c>
      <c r="T63" s="20">
        <f>IF(OR($G63="",$S63=""),"",$G63-$S63)</f>
        <v/>
      </c>
      <c r="U63" s="18">
        <f>IFERROR(IF(ISBLANK(INDIRECT("'"&amp;$Q$2&amp;"'!K"&amp;ROW())),"",INDIRECT("'"&amp;$Q$2&amp;"'!K"&amp;ROW())),"")</f>
        <v/>
      </c>
      <c r="V63" s="20">
        <f>IF(OR($K63="",$U63=""),"",$K63-$U63)</f>
        <v/>
      </c>
      <c r="W63" s="21">
        <f>IFERROR(IF(ISBLANK(INDIRECT("'"&amp;$Q$2&amp;"'!O"&amp;ROW())),"",INDIRECT("'"&amp;$Q$2&amp;"'!O"&amp;ROW())),"")</f>
        <v/>
      </c>
      <c r="X63" s="21">
        <f>IF(OR($O63="",$W63=""),"",$O63-$W63)</f>
        <v/>
      </c>
      <c r="Y63" s="2" t="n"/>
      <c r="Z63" s="2" t="n"/>
    </row>
    <row r="64" ht="14.25" customHeight="1" s="58">
      <c r="A64" s="12" t="inlineStr">
        <is>
          <t>Telegram</t>
        </is>
      </c>
      <c r="B64" s="12" t="inlineStr">
        <is>
          <t>Тазовский</t>
        </is>
      </c>
      <c r="C64" s="13" t="n">
        <v>62</v>
      </c>
      <c r="D64" s="13" t="n">
        <v>6371</v>
      </c>
      <c r="E64" s="13">
        <f>IF($D64="","",IFERROR(IF(ISBLANK(INDIRECT("'"&amp;$Q$2&amp;"'!D"&amp;ROW())),"",INDIRECT("'"&amp;$Q$2&amp;"'!D"&amp;ROW())),""))</f>
        <v/>
      </c>
      <c r="F64" s="15">
        <f>IF(OR(D64="",E64=""),"",D64-E64)</f>
        <v/>
      </c>
      <c r="G64" s="16">
        <f>IFERROR(F64/E64,"")</f>
        <v/>
      </c>
      <c r="H64" s="13" t="n">
        <v>10</v>
      </c>
      <c r="I64" s="13">
        <f>IF($H64="","",IFERROR(IF(ISBLANK(INDIRECT("'"&amp;$Q$2&amp;"'!H"&amp;ROW())),"",INDIRECT("'"&amp;$Q$2&amp;"'!H"&amp;ROW())),""))</f>
        <v/>
      </c>
      <c r="J64" s="15">
        <f>IF(OR(H64="",I64=""),"",H64-I64)</f>
        <v/>
      </c>
      <c r="K64" s="16">
        <f>IFERROR(J64/I64,"")</f>
        <v/>
      </c>
      <c r="L64" s="13">
        <f>IFERROR(D64/C64,"")</f>
        <v/>
      </c>
      <c r="M64" s="13">
        <f>IFERROR(H64/D64*1000,"")</f>
        <v/>
      </c>
      <c r="N64" s="13" t="n">
        <v>1817</v>
      </c>
      <c r="O64" s="15">
        <f>IFERROR(IF(OR(N64="",ISBLANK(INDIRECT("'"&amp;$Q$2&amp;"'!N"&amp;ROW()))),"",N64-INDIRECT("'"&amp;$Q$2&amp;"'!N"&amp;ROW())),"")</f>
        <v/>
      </c>
      <c r="P64" s="2" t="n"/>
      <c r="Q64" s="2" t="n"/>
      <c r="R64" s="2" t="n"/>
      <c r="S64" s="18">
        <f>IFERROR(IF(ISBLANK(INDIRECT("'"&amp;$Q$2&amp;"'!G"&amp;ROW())),"",INDIRECT("'"&amp;$Q$2&amp;"'!G"&amp;ROW())),"")</f>
        <v/>
      </c>
      <c r="T64" s="20">
        <f>IF(OR($G64="",$S64=""),"",$G64-$S64)</f>
        <v/>
      </c>
      <c r="U64" s="18">
        <f>IFERROR(IF(ISBLANK(INDIRECT("'"&amp;$Q$2&amp;"'!K"&amp;ROW())),"",INDIRECT("'"&amp;$Q$2&amp;"'!K"&amp;ROW())),"")</f>
        <v/>
      </c>
      <c r="V64" s="20">
        <f>IF(OR($K64="",$U64=""),"",$K64-$U64)</f>
        <v/>
      </c>
      <c r="W64" s="21">
        <f>IFERROR(IF(ISBLANK(INDIRECT("'"&amp;$Q$2&amp;"'!O"&amp;ROW())),"",INDIRECT("'"&amp;$Q$2&amp;"'!O"&amp;ROW())),"")</f>
        <v/>
      </c>
      <c r="X64" s="21">
        <f>IF(OR($O64="",$W64=""),"",$O64-$W64)</f>
        <v/>
      </c>
      <c r="Y64" s="2" t="n"/>
      <c r="Z64" s="2" t="n"/>
    </row>
    <row r="65" ht="14.25" customHeight="1" s="58">
      <c r="A65" s="12" t="inlineStr">
        <is>
          <t>Telegram</t>
        </is>
      </c>
      <c r="B65" s="12" t="inlineStr">
        <is>
          <t>Красноселькуп</t>
        </is>
      </c>
      <c r="C65" s="13" t="n">
        <v>31</v>
      </c>
      <c r="D65" s="13" t="n">
        <v>2768</v>
      </c>
      <c r="E65" s="13">
        <f>IF($D65="","",IFERROR(IF(ISBLANK(INDIRECT("'"&amp;$Q$2&amp;"'!D"&amp;ROW())),"",INDIRECT("'"&amp;$Q$2&amp;"'!D"&amp;ROW())),""))</f>
        <v/>
      </c>
      <c r="F65" s="15">
        <f>IF(OR(D65="",E65=""),"",D65-E65)</f>
        <v/>
      </c>
      <c r="G65" s="16">
        <f>IFERROR(F65/E65,"")</f>
        <v/>
      </c>
      <c r="H65" s="13" t="n">
        <v>7</v>
      </c>
      <c r="I65" s="13">
        <f>IF($H65="","",IFERROR(IF(ISBLANK(INDIRECT("'"&amp;$Q$2&amp;"'!H"&amp;ROW())),"",INDIRECT("'"&amp;$Q$2&amp;"'!H"&amp;ROW())),""))</f>
        <v/>
      </c>
      <c r="J65" s="15">
        <f>IF(OR(H65="",I65=""),"",H65-I65)</f>
        <v/>
      </c>
      <c r="K65" s="16">
        <f>IFERROR(J65/I65,"")</f>
        <v/>
      </c>
      <c r="L65" s="13">
        <f>IFERROR(D65/C65,"")</f>
        <v/>
      </c>
      <c r="M65" s="13">
        <f>IFERROR(H65/D65*1000,"")</f>
        <v/>
      </c>
      <c r="N65" s="13" t="n">
        <v>867</v>
      </c>
      <c r="O65" s="15">
        <f>IFERROR(IF(OR(N65="",ISBLANK(INDIRECT("'"&amp;$Q$2&amp;"'!N"&amp;ROW()))),"",N65-INDIRECT("'"&amp;$Q$2&amp;"'!N"&amp;ROW())),"")</f>
        <v/>
      </c>
      <c r="P65" s="2" t="n"/>
      <c r="Q65" s="2" t="n"/>
      <c r="R65" s="2" t="n"/>
      <c r="S65" s="18">
        <f>IFERROR(IF(ISBLANK(INDIRECT("'"&amp;$Q$2&amp;"'!G"&amp;ROW())),"",INDIRECT("'"&amp;$Q$2&amp;"'!G"&amp;ROW())),"")</f>
        <v/>
      </c>
      <c r="T65" s="20">
        <f>IF(OR($G65="",$S65=""),"",$G65-$S65)</f>
        <v/>
      </c>
      <c r="U65" s="18">
        <f>IFERROR(IF(ISBLANK(INDIRECT("'"&amp;$Q$2&amp;"'!K"&amp;ROW())),"",INDIRECT("'"&amp;$Q$2&amp;"'!K"&amp;ROW())),"")</f>
        <v/>
      </c>
      <c r="V65" s="20">
        <f>IF(OR($K65="",$U65=""),"",$K65-$U65)</f>
        <v/>
      </c>
      <c r="W65" s="21">
        <f>IFERROR(IF(ISBLANK(INDIRECT("'"&amp;$Q$2&amp;"'!O"&amp;ROW())),"",INDIRECT("'"&amp;$Q$2&amp;"'!O"&amp;ROW())),"")</f>
        <v/>
      </c>
      <c r="X65" s="21">
        <f>IF(OR($O65="",$W65=""),"",$O65-$W65)</f>
        <v/>
      </c>
      <c r="Y65" s="2" t="n"/>
      <c r="Z65" s="2" t="n"/>
    </row>
    <row r="66" ht="14.25" customHeight="1" s="58">
      <c r="A66" s="12" t="inlineStr">
        <is>
          <t>Telegram</t>
        </is>
      </c>
      <c r="B66" s="12" t="inlineStr">
        <is>
          <t>Ямальский</t>
        </is>
      </c>
      <c r="C66" s="13" t="n">
        <v>45</v>
      </c>
      <c r="D66" s="13" t="n">
        <v>3567</v>
      </c>
      <c r="E66" s="13">
        <f>IF($D66="","",IFERROR(IF(ISBLANK(INDIRECT("'"&amp;$Q$2&amp;"'!D"&amp;ROW())),"",INDIRECT("'"&amp;$Q$2&amp;"'!D"&amp;ROW())),""))</f>
        <v/>
      </c>
      <c r="F66" s="15">
        <f>IF(OR(D66="",E66=""),"",D66-E66)</f>
        <v/>
      </c>
      <c r="G66" s="16">
        <f>IFERROR(F66/E66,"")</f>
        <v/>
      </c>
      <c r="H66" s="13" t="n">
        <v>4</v>
      </c>
      <c r="I66" s="13">
        <f>IF($H66="","",IFERROR(IF(ISBLANK(INDIRECT("'"&amp;$Q$2&amp;"'!H"&amp;ROW())),"",INDIRECT("'"&amp;$Q$2&amp;"'!H"&amp;ROW())),""))</f>
        <v/>
      </c>
      <c r="J66" s="15">
        <f>IF(OR(H66="",I66=""),"",H66-I66)</f>
        <v/>
      </c>
      <c r="K66" s="16">
        <f>IFERROR(J66/I66,"")</f>
        <v/>
      </c>
      <c r="L66" s="13">
        <f>IFERROR(D66/C66,"")</f>
        <v/>
      </c>
      <c r="M66" s="13">
        <f>IFERROR(H66/D66*1000,"")</f>
        <v/>
      </c>
      <c r="N66" s="13" t="n">
        <v>846</v>
      </c>
      <c r="O66" s="15">
        <f>IFERROR(IF(OR(N66="",ISBLANK(INDIRECT("'"&amp;$Q$2&amp;"'!N"&amp;ROW()))),"",N66-INDIRECT("'"&amp;$Q$2&amp;"'!N"&amp;ROW())),"")</f>
        <v/>
      </c>
      <c r="P66" s="2" t="n"/>
      <c r="Q66" s="2" t="n"/>
      <c r="R66" s="2" t="n"/>
      <c r="S66" s="18">
        <f>IFERROR(IF(ISBLANK(INDIRECT("'"&amp;$Q$2&amp;"'!G"&amp;ROW())),"",INDIRECT("'"&amp;$Q$2&amp;"'!G"&amp;ROW())),"")</f>
        <v/>
      </c>
      <c r="T66" s="20">
        <f>IF(OR($G66="",$S66=""),"",$G66-$S66)</f>
        <v/>
      </c>
      <c r="U66" s="18">
        <f>IFERROR(IF(ISBLANK(INDIRECT("'"&amp;$Q$2&amp;"'!K"&amp;ROW())),"",INDIRECT("'"&amp;$Q$2&amp;"'!K"&amp;ROW())),"")</f>
        <v/>
      </c>
      <c r="V66" s="20">
        <f>IF(OR($K66="",$U66=""),"",$K66-$U66)</f>
        <v/>
      </c>
      <c r="W66" s="21">
        <f>IFERROR(IF(ISBLANK(INDIRECT("'"&amp;$Q$2&amp;"'!O"&amp;ROW())),"",INDIRECT("'"&amp;$Q$2&amp;"'!O"&amp;ROW())),"")</f>
        <v/>
      </c>
      <c r="X66" s="21">
        <f>IF(OR($O66="",$W66=""),"",$O66-$W66)</f>
        <v/>
      </c>
      <c r="Y66" s="2" t="n"/>
      <c r="Z66" s="2" t="n"/>
    </row>
    <row r="67" ht="14.25" customHeight="1" s="58">
      <c r="A67" s="12" t="inlineStr">
        <is>
          <t>Telegram</t>
        </is>
      </c>
      <c r="B67" s="12" t="inlineStr">
        <is>
          <t>Шурышкарский</t>
        </is>
      </c>
      <c r="C67" s="13" t="n">
        <v>57</v>
      </c>
      <c r="D67" s="13" t="n">
        <v>6156</v>
      </c>
      <c r="E67" s="13">
        <f>IF($D67="","",IFERROR(IF(ISBLANK(INDIRECT("'"&amp;$Q$2&amp;"'!D"&amp;ROW())),"",INDIRECT("'"&amp;$Q$2&amp;"'!D"&amp;ROW())),""))</f>
        <v/>
      </c>
      <c r="F67" s="15">
        <f>IF(OR(D67="",E67=""),"",D67-E67)</f>
        <v/>
      </c>
      <c r="G67" s="16">
        <f>IFERROR(F67/E67,"")</f>
        <v/>
      </c>
      <c r="H67" s="13" t="n">
        <v>38</v>
      </c>
      <c r="I67" s="13">
        <f>IF($H67="","",IFERROR(IF(ISBLANK(INDIRECT("'"&amp;$Q$2&amp;"'!H"&amp;ROW())),"",INDIRECT("'"&amp;$Q$2&amp;"'!H"&amp;ROW())),""))</f>
        <v/>
      </c>
      <c r="J67" s="15">
        <f>IF(OR(H67="",I67=""),"",H67-I67)</f>
        <v/>
      </c>
      <c r="K67" s="16">
        <f>IFERROR(J67/I67,"")</f>
        <v/>
      </c>
      <c r="L67" s="13">
        <f>IFERROR(D67/C67,"")</f>
        <v/>
      </c>
      <c r="M67" s="13">
        <f>IFERROR(H67/D67*1000,"")</f>
        <v/>
      </c>
      <c r="N67" s="13" t="n">
        <v>1159</v>
      </c>
      <c r="O67" s="15">
        <f>IFERROR(IF(OR(N67="",ISBLANK(INDIRECT("'"&amp;$Q$2&amp;"'!N"&amp;ROW()))),"",N67-INDIRECT("'"&amp;$Q$2&amp;"'!N"&amp;ROW())),"")</f>
        <v/>
      </c>
      <c r="P67" s="2" t="n"/>
      <c r="Q67" s="2" t="n"/>
      <c r="R67" s="2" t="n"/>
      <c r="S67" s="18">
        <f>IFERROR(IF(ISBLANK(INDIRECT("'"&amp;$Q$2&amp;"'!G"&amp;ROW())),"",INDIRECT("'"&amp;$Q$2&amp;"'!G"&amp;ROW())),"")</f>
        <v/>
      </c>
      <c r="T67" s="20">
        <f>IF(OR($G67="",$S67=""),"",$G67-$S67)</f>
        <v/>
      </c>
      <c r="U67" s="18">
        <f>IFERROR(IF(ISBLANK(INDIRECT("'"&amp;$Q$2&amp;"'!K"&amp;ROW())),"",INDIRECT("'"&amp;$Q$2&amp;"'!K"&amp;ROW())),"")</f>
        <v/>
      </c>
      <c r="V67" s="20">
        <f>IF(OR($K67="",$U67=""),"",$K67-$U67)</f>
        <v/>
      </c>
      <c r="W67" s="21">
        <f>IFERROR(IF(ISBLANK(INDIRECT("'"&amp;$Q$2&amp;"'!O"&amp;ROW())),"",INDIRECT("'"&amp;$Q$2&amp;"'!O"&amp;ROW())),"")</f>
        <v/>
      </c>
      <c r="X67" s="21">
        <f>IF(OR($O67="",$W67=""),"",$O67-$W67)</f>
        <v/>
      </c>
      <c r="Y67" s="2" t="n"/>
      <c r="Z67" s="2" t="n"/>
    </row>
    <row r="68" ht="14.25" customHeight="1" s="58">
      <c r="A68" s="12" t="inlineStr">
        <is>
          <t>Telegram</t>
        </is>
      </c>
      <c r="B68" s="12" t="inlineStr">
        <is>
          <t>Муравленко</t>
        </is>
      </c>
      <c r="C68" s="13" t="n">
        <v>68</v>
      </c>
      <c r="D68" s="13" t="n">
        <v>20849</v>
      </c>
      <c r="E68" s="13">
        <f>IF($D68="","",IFERROR(IF(ISBLANK(INDIRECT("'"&amp;$Q$2&amp;"'!D"&amp;ROW())),"",INDIRECT("'"&amp;$Q$2&amp;"'!D"&amp;ROW())),""))</f>
        <v/>
      </c>
      <c r="F68" s="15">
        <f>IF(OR(D68="",E68=""),"",D68-E68)</f>
        <v/>
      </c>
      <c r="G68" s="16">
        <f>IFERROR(F68/E68,"")</f>
        <v/>
      </c>
      <c r="H68" s="13" t="n">
        <v>54</v>
      </c>
      <c r="I68" s="13">
        <f>IF($H68="","",IFERROR(IF(ISBLANK(INDIRECT("'"&amp;$Q$2&amp;"'!H"&amp;ROW())),"",INDIRECT("'"&amp;$Q$2&amp;"'!H"&amp;ROW())),""))</f>
        <v/>
      </c>
      <c r="J68" s="15">
        <f>IF(OR(H68="",I68=""),"",H68-I68)</f>
        <v/>
      </c>
      <c r="K68" s="16">
        <f>IFERROR(J68/I68,"")</f>
        <v/>
      </c>
      <c r="L68" s="13">
        <f>IFERROR(D68/C68,"")</f>
        <v/>
      </c>
      <c r="M68" s="13">
        <f>IFERROR(H68/D68*1000,"")</f>
        <v/>
      </c>
      <c r="N68" s="13" t="n">
        <v>4394</v>
      </c>
      <c r="O68" s="15">
        <f>IFERROR(IF(OR(N68="",ISBLANK(INDIRECT("'"&amp;$Q$2&amp;"'!N"&amp;ROW()))),"",N68-INDIRECT("'"&amp;$Q$2&amp;"'!N"&amp;ROW())),"")</f>
        <v/>
      </c>
      <c r="P68" s="2" t="n"/>
      <c r="Q68" s="2" t="n"/>
      <c r="R68" s="2" t="n"/>
      <c r="S68" s="18">
        <f>IFERROR(IF(ISBLANK(INDIRECT("'"&amp;$Q$2&amp;"'!G"&amp;ROW())),"",INDIRECT("'"&amp;$Q$2&amp;"'!G"&amp;ROW())),"")</f>
        <v/>
      </c>
      <c r="T68" s="20">
        <f>IF(OR($G68="",$S68=""),"",$G68-$S68)</f>
        <v/>
      </c>
      <c r="U68" s="18">
        <f>IFERROR(IF(ISBLANK(INDIRECT("'"&amp;$Q$2&amp;"'!K"&amp;ROW())),"",INDIRECT("'"&amp;$Q$2&amp;"'!K"&amp;ROW())),"")</f>
        <v/>
      </c>
      <c r="V68" s="20">
        <f>IF(OR($K68="",$U68=""),"",$K68-$U68)</f>
        <v/>
      </c>
      <c r="W68" s="21">
        <f>IFERROR(IF(ISBLANK(INDIRECT("'"&amp;$Q$2&amp;"'!O"&amp;ROW())),"",INDIRECT("'"&amp;$Q$2&amp;"'!O"&amp;ROW())),"")</f>
        <v/>
      </c>
      <c r="X68" s="21">
        <f>IF(OR($O68="",$W68=""),"",$O68-$W68)</f>
        <v/>
      </c>
      <c r="Y68" s="2" t="n"/>
      <c r="Z68" s="2" t="n"/>
    </row>
    <row r="69" ht="14.25" customHeight="1" s="58">
      <c r="A69" s="12" t="inlineStr">
        <is>
          <t>Telegram</t>
        </is>
      </c>
      <c r="B69" s="12" t="inlineStr">
        <is>
          <t>Губкинский</t>
        </is>
      </c>
      <c r="C69" s="13" t="n">
        <v>100</v>
      </c>
      <c r="D69" s="13" t="n">
        <v>38452</v>
      </c>
      <c r="E69" s="13">
        <f>IF($D69="","",IFERROR(IF(ISBLANK(INDIRECT("'"&amp;$Q$2&amp;"'!D"&amp;ROW())),"",INDIRECT("'"&amp;$Q$2&amp;"'!D"&amp;ROW())),""))</f>
        <v/>
      </c>
      <c r="F69" s="15">
        <f>IF(OR(D69="",E69=""),"",D69-E69)</f>
        <v/>
      </c>
      <c r="G69" s="16">
        <f>IFERROR(F69/E69,"")</f>
        <v/>
      </c>
      <c r="H69" s="13" t="n">
        <v>260</v>
      </c>
      <c r="I69" s="13">
        <f>IF($H69="","",IFERROR(IF(ISBLANK(INDIRECT("'"&amp;$Q$2&amp;"'!H"&amp;ROW())),"",INDIRECT("'"&amp;$Q$2&amp;"'!H"&amp;ROW())),""))</f>
        <v/>
      </c>
      <c r="J69" s="15">
        <f>IF(OR(H69="",I69=""),"",H69-I69)</f>
        <v/>
      </c>
      <c r="K69" s="16">
        <f>IFERROR(J69/I69,"")</f>
        <v/>
      </c>
      <c r="L69" s="13">
        <f>IFERROR(D69/C69,"")</f>
        <v/>
      </c>
      <c r="M69" s="13">
        <f>IFERROR(H69/D69*1000,"")</f>
        <v/>
      </c>
      <c r="N69" s="13" t="n">
        <v>5463</v>
      </c>
      <c r="O69" s="15">
        <f>IFERROR(IF(OR(N69="",ISBLANK(INDIRECT("'"&amp;$Q$2&amp;"'!N"&amp;ROW()))),"",N69-INDIRECT("'"&amp;$Q$2&amp;"'!N"&amp;ROW())),"")</f>
        <v/>
      </c>
      <c r="P69" s="2" t="n"/>
      <c r="Q69" s="2" t="n"/>
      <c r="R69" s="2" t="n"/>
      <c r="S69" s="18">
        <f>IFERROR(IF(ISBLANK(INDIRECT("'"&amp;$Q$2&amp;"'!G"&amp;ROW())),"",INDIRECT("'"&amp;$Q$2&amp;"'!G"&amp;ROW())),"")</f>
        <v/>
      </c>
      <c r="T69" s="20">
        <f>IF(OR($G69="",$S69=""),"",$G69-$S69)</f>
        <v/>
      </c>
      <c r="U69" s="18">
        <f>IFERROR(IF(ISBLANK(INDIRECT("'"&amp;$Q$2&amp;"'!K"&amp;ROW())),"",INDIRECT("'"&amp;$Q$2&amp;"'!K"&amp;ROW())),"")</f>
        <v/>
      </c>
      <c r="V69" s="20">
        <f>IF(OR($K69="",$U69=""),"",$K69-$U69)</f>
        <v/>
      </c>
      <c r="W69" s="21">
        <f>IFERROR(IF(ISBLANK(INDIRECT("'"&amp;$Q$2&amp;"'!O"&amp;ROW())),"",INDIRECT("'"&amp;$Q$2&amp;"'!O"&amp;ROW())),"")</f>
        <v/>
      </c>
      <c r="X69" s="21">
        <f>IF(OR($O69="",$W69=""),"",$O69-$W69)</f>
        <v/>
      </c>
      <c r="Y69" s="2" t="n"/>
      <c r="Z69" s="2" t="n"/>
    </row>
    <row r="70" ht="14.25" customHeight="1" s="58">
      <c r="A70" s="12" t="inlineStr">
        <is>
          <t>Telegram</t>
        </is>
      </c>
      <c r="B70" s="12" t="inlineStr">
        <is>
          <t>МК-Ямал</t>
        </is>
      </c>
      <c r="C70" s="13" t="n">
        <v>231</v>
      </c>
      <c r="D70" s="13" t="n">
        <v>3792</v>
      </c>
      <c r="E70" s="13">
        <f>IF($D70="","",IFERROR(IF(ISBLANK(INDIRECT("'"&amp;$Q$2&amp;"'!D"&amp;ROW())),"",INDIRECT("'"&amp;$Q$2&amp;"'!D"&amp;ROW())),""))</f>
        <v/>
      </c>
      <c r="F70" s="15">
        <f>IF(OR(D70="",E70=""),"",D70-E70)</f>
        <v/>
      </c>
      <c r="G70" s="16">
        <f>IFERROR(F70/E70,"")</f>
        <v/>
      </c>
      <c r="H70" s="13" t="n">
        <v>3</v>
      </c>
      <c r="I70" s="13">
        <f>IF($H70="","",IFERROR(IF(ISBLANK(INDIRECT("'"&amp;$Q$2&amp;"'!H"&amp;ROW())),"",INDIRECT("'"&amp;$Q$2&amp;"'!H"&amp;ROW())),""))</f>
        <v/>
      </c>
      <c r="J70" s="15">
        <f>IF(OR(H70="",I70=""),"",H70-I70)</f>
        <v/>
      </c>
      <c r="K70" s="16">
        <f>IFERROR(J70/I70,"")</f>
        <v/>
      </c>
      <c r="L70" s="13">
        <f>IFERROR(D70/C70,"")</f>
        <v/>
      </c>
      <c r="M70" s="13">
        <f>IFERROR(H70/D70*1000,"")</f>
        <v/>
      </c>
      <c r="N70" s="13" t="n">
        <v>687</v>
      </c>
      <c r="O70" s="15">
        <f>IFERROR(IF(OR(N70="",ISBLANK(INDIRECT("'"&amp;$Q$2&amp;"'!N"&amp;ROW()))),"",N70-INDIRECT("'"&amp;$Q$2&amp;"'!N"&amp;ROW())),"")</f>
        <v/>
      </c>
      <c r="P70" s="2" t="n"/>
      <c r="Q70" s="2" t="n"/>
      <c r="R70" s="2" t="n"/>
      <c r="S70" s="18">
        <f>IFERROR(IF(ISBLANK(INDIRECT("'"&amp;$Q$2&amp;"'!G"&amp;ROW())),"",INDIRECT("'"&amp;$Q$2&amp;"'!G"&amp;ROW())),"")</f>
        <v/>
      </c>
      <c r="T70" s="20">
        <f>IF(OR($G70="",$S70=""),"",$G70-$S70)</f>
        <v/>
      </c>
      <c r="U70" s="18">
        <f>IFERROR(IF(ISBLANK(INDIRECT("'"&amp;$Q$2&amp;"'!K"&amp;ROW())),"",INDIRECT("'"&amp;$Q$2&amp;"'!K"&amp;ROW())),"")</f>
        <v/>
      </c>
      <c r="V70" s="20">
        <f>IF(OR($K70="",$U70=""),"",$K70-$U70)</f>
        <v/>
      </c>
      <c r="W70" s="21">
        <f>IFERROR(IF(ISBLANK(INDIRECT("'"&amp;$Q$2&amp;"'!O"&amp;ROW())),"",INDIRECT("'"&amp;$Q$2&amp;"'!O"&amp;ROW())),"")</f>
        <v/>
      </c>
      <c r="X70" s="21">
        <f>IF(OR($O70="",$W70=""),"",$O70-$W70)</f>
        <v/>
      </c>
      <c r="Y70" s="2" t="n"/>
      <c r="Z70" s="2" t="n"/>
    </row>
    <row r="71" ht="14.25" customHeight="1" s="58">
      <c r="A71" s="12" t="inlineStr">
        <is>
          <t>Telegram</t>
        </is>
      </c>
      <c r="B71" s="12" t="inlineStr">
        <is>
          <t>Не олени</t>
        </is>
      </c>
      <c r="C71" s="13" t="n">
        <v>21</v>
      </c>
      <c r="D71" s="13" t="n">
        <v>4262</v>
      </c>
      <c r="E71" s="13">
        <f>IF($D71="","",IFERROR(IF(ISBLANK(INDIRECT("'"&amp;$Q$2&amp;"'!D"&amp;ROW())),"",INDIRECT("'"&amp;$Q$2&amp;"'!D"&amp;ROW())),""))</f>
        <v/>
      </c>
      <c r="F71" s="15">
        <f>IF(OR(D71="",E71=""),"",D71-E71)</f>
        <v/>
      </c>
      <c r="G71" s="16">
        <f>IFERROR(F71/E71,"")</f>
        <v/>
      </c>
      <c r="H71" s="13" t="n">
        <v>492</v>
      </c>
      <c r="I71" s="13">
        <f>IF($H71="","",IFERROR(IF(ISBLANK(INDIRECT("'"&amp;$Q$2&amp;"'!H"&amp;ROW())),"",INDIRECT("'"&amp;$Q$2&amp;"'!H"&amp;ROW())),""))</f>
        <v/>
      </c>
      <c r="J71" s="15">
        <f>IF(OR(H71="",I71=""),"",H71-I71)</f>
        <v/>
      </c>
      <c r="K71" s="16">
        <f>IFERROR(J71/I71,"")</f>
        <v/>
      </c>
      <c r="L71" s="13">
        <f>IFERROR(D71/C71,"")</f>
        <v/>
      </c>
      <c r="M71" s="13">
        <f>IFERROR(H71/D71*1000,"")</f>
        <v/>
      </c>
      <c r="N71" s="13" t="n">
        <v>2480</v>
      </c>
      <c r="O71" s="15">
        <f>IFERROR(IF(OR(N71="",ISBLANK(INDIRECT("'"&amp;$Q$2&amp;"'!N"&amp;ROW()))),"",N71-INDIRECT("'"&amp;$Q$2&amp;"'!N"&amp;ROW())),"")</f>
        <v/>
      </c>
      <c r="P71" s="2" t="n"/>
      <c r="Q71" s="2" t="n"/>
      <c r="R71" s="2" t="n"/>
      <c r="S71" s="18">
        <f>IFERROR(IF(ISBLANK(INDIRECT("'"&amp;$Q$2&amp;"'!G"&amp;ROW())),"",INDIRECT("'"&amp;$Q$2&amp;"'!G"&amp;ROW())),"")</f>
        <v/>
      </c>
      <c r="T71" s="20">
        <f>IF(OR($G71="",$S71=""),"",$G71-$S71)</f>
        <v/>
      </c>
      <c r="U71" s="18">
        <f>IFERROR(IF(ISBLANK(INDIRECT("'"&amp;$Q$2&amp;"'!K"&amp;ROW())),"",INDIRECT("'"&amp;$Q$2&amp;"'!K"&amp;ROW())),"")</f>
        <v/>
      </c>
      <c r="V71" s="20">
        <f>IF(OR($K71="",$U71=""),"",$K71-$U71)</f>
        <v/>
      </c>
      <c r="W71" s="21">
        <f>IFERROR(IF(ISBLANK(INDIRECT("'"&amp;$Q$2&amp;"'!O"&amp;ROW())),"",INDIRECT("'"&amp;$Q$2&amp;"'!O"&amp;ROW())),"")</f>
        <v/>
      </c>
      <c r="X71" s="21">
        <f>IF(OR($O71="",$W71=""),"",$O71-$W71)</f>
        <v/>
      </c>
      <c r="Y71" s="2" t="n"/>
      <c r="Z71" s="2" t="n"/>
    </row>
    <row r="72" ht="14.25" customHeight="1" s="58">
      <c r="A72" s="12" t="inlineStr">
        <is>
          <t>Telegram</t>
        </is>
      </c>
      <c r="B72" s="12" t="inlineStr">
        <is>
          <t>Ямальский меридиан</t>
        </is>
      </c>
      <c r="C72" s="13" t="n">
        <v>7</v>
      </c>
      <c r="D72" s="13" t="n">
        <v>178</v>
      </c>
      <c r="E72" s="13">
        <f>IF($D72="","",IFERROR(IF(ISBLANK(INDIRECT("'"&amp;$Q$2&amp;"'!D"&amp;ROW())),"",INDIRECT("'"&amp;$Q$2&amp;"'!D"&amp;ROW())),""))</f>
        <v/>
      </c>
      <c r="F72" s="15">
        <f>IF(OR(D72="",E72=""),"",D72-E72)</f>
        <v/>
      </c>
      <c r="G72" s="16">
        <f>IFERROR(F72/E72,"")</f>
        <v/>
      </c>
      <c r="H72" s="13" t="n">
        <v>45</v>
      </c>
      <c r="I72" s="13">
        <f>IF($H72="","",IFERROR(IF(ISBLANK(INDIRECT("'"&amp;$Q$2&amp;"'!H"&amp;ROW())),"",INDIRECT("'"&amp;$Q$2&amp;"'!H"&amp;ROW())),""))</f>
        <v/>
      </c>
      <c r="J72" s="15">
        <f>IF(OR(H72="",I72=""),"",H72-I72)</f>
        <v/>
      </c>
      <c r="K72" s="16">
        <f>IFERROR(J72/I72,"")</f>
        <v/>
      </c>
      <c r="L72" s="13">
        <f>IFERROR(D72/C72,"")</f>
        <v/>
      </c>
      <c r="M72" s="13">
        <f>IFERROR(H72/D72*1000,"")</f>
        <v/>
      </c>
      <c r="N72" s="13" t="n">
        <v>173</v>
      </c>
      <c r="O72" s="15">
        <f>IFERROR(IF(OR(N72="",ISBLANK(INDIRECT("'"&amp;$Q$2&amp;"'!N"&amp;ROW()))),"",N72-INDIRECT("'"&amp;$Q$2&amp;"'!N"&amp;ROW())),"")</f>
        <v/>
      </c>
      <c r="P72" s="2" t="n"/>
      <c r="Q72" s="2" t="n"/>
      <c r="R72" s="2" t="n"/>
      <c r="S72" s="18">
        <f>IFERROR(IF(ISBLANK(INDIRECT("'"&amp;$Q$2&amp;"'!G"&amp;ROW())),"",INDIRECT("'"&amp;$Q$2&amp;"'!G"&amp;ROW())),"")</f>
        <v/>
      </c>
      <c r="T72" s="20">
        <f>IF(OR($G72="",$S72=""),"",$G72-$S72)</f>
        <v/>
      </c>
      <c r="U72" s="18">
        <f>IFERROR(IF(ISBLANK(INDIRECT("'"&amp;$Q$2&amp;"'!K"&amp;ROW())),"",INDIRECT("'"&amp;$Q$2&amp;"'!K"&amp;ROW())),"")</f>
        <v/>
      </c>
      <c r="V72" s="20">
        <f>IF(OR($K72="",$U72=""),"",$K72-$U72)</f>
        <v/>
      </c>
      <c r="W72" s="21">
        <f>IFERROR(IF(ISBLANK(INDIRECT("'"&amp;$Q$2&amp;"'!O"&amp;ROW())),"",INDIRECT("'"&amp;$Q$2&amp;"'!O"&amp;ROW())),"")</f>
        <v/>
      </c>
      <c r="X72" s="21">
        <f>IF(OR($O72="",$W72=""),"",$O72-$W72)</f>
        <v/>
      </c>
      <c r="Y72" s="2" t="n"/>
      <c r="Z72" s="2" t="n"/>
    </row>
    <row r="73" ht="14.25" customHeight="1" s="58">
      <c r="A73" s="12" t="inlineStr">
        <is>
          <t>Telegram</t>
        </is>
      </c>
      <c r="B73" s="12" t="inlineStr">
        <is>
          <t>Морошка</t>
        </is>
      </c>
      <c r="C73" s="13" t="n">
        <v>9</v>
      </c>
      <c r="D73" s="13" t="n">
        <v>1066</v>
      </c>
      <c r="E73" s="13">
        <f>IF($D73="","",IFERROR(IF(ISBLANK(INDIRECT("'"&amp;$Q$2&amp;"'!D"&amp;ROW())),"",INDIRECT("'"&amp;$Q$2&amp;"'!D"&amp;ROW())),""))</f>
        <v/>
      </c>
      <c r="F73" s="15">
        <f>IF(OR(D73="",E73=""),"",D73-E73)</f>
        <v/>
      </c>
      <c r="G73" s="16">
        <f>IFERROR(F73/E73,"")</f>
        <v/>
      </c>
      <c r="H73" s="13" t="n">
        <v>22</v>
      </c>
      <c r="I73" s="13">
        <f>IF($H73="","",IFERROR(IF(ISBLANK(INDIRECT("'"&amp;$Q$2&amp;"'!H"&amp;ROW())),"",INDIRECT("'"&amp;$Q$2&amp;"'!H"&amp;ROW())),""))</f>
        <v/>
      </c>
      <c r="J73" s="15">
        <f>IF(OR(H73="",I73=""),"",H73-I73)</f>
        <v/>
      </c>
      <c r="K73" s="16">
        <f>IFERROR(J73/I73,"")</f>
        <v/>
      </c>
      <c r="L73" s="13">
        <f>IFERROR(D73/C73,"")</f>
        <v/>
      </c>
      <c r="M73" s="13">
        <f>IFERROR(H73/D73*1000,"")</f>
        <v/>
      </c>
      <c r="N73" s="13" t="n">
        <v>56</v>
      </c>
      <c r="O73" s="15">
        <f>IFERROR(IF(OR(N73="",ISBLANK(INDIRECT("'"&amp;$Q$2&amp;"'!N"&amp;ROW()))),"",N73-INDIRECT("'"&amp;$Q$2&amp;"'!N"&amp;ROW())),"")</f>
        <v/>
      </c>
      <c r="P73" s="2" t="n"/>
      <c r="Q73" s="2" t="n"/>
      <c r="R73" s="2" t="n"/>
      <c r="S73" s="18">
        <f>IFERROR(IF(ISBLANK(INDIRECT("'"&amp;$Q$2&amp;"'!G"&amp;ROW())),"",INDIRECT("'"&amp;$Q$2&amp;"'!G"&amp;ROW())),"")</f>
        <v/>
      </c>
      <c r="T73" s="20">
        <f>IF(OR($G73="",$S73=""),"",$G73-$S73)</f>
        <v/>
      </c>
      <c r="U73" s="18">
        <f>IFERROR(IF(ISBLANK(INDIRECT("'"&amp;$Q$2&amp;"'!K"&amp;ROW())),"",INDIRECT("'"&amp;$Q$2&amp;"'!K"&amp;ROW())),"")</f>
        <v/>
      </c>
      <c r="V73" s="20">
        <f>IF(OR($K73="",$U73=""),"",$K73-$U73)</f>
        <v/>
      </c>
      <c r="W73" s="21">
        <f>IFERROR(IF(ISBLANK(INDIRECT("'"&amp;$Q$2&amp;"'!O"&amp;ROW())),"",INDIRECT("'"&amp;$Q$2&amp;"'!O"&amp;ROW())),"")</f>
        <v/>
      </c>
      <c r="X73" s="21">
        <f>IF(OR($O73="",$W73=""),"",$O73-$W73)</f>
        <v/>
      </c>
      <c r="Y73" s="2" t="n"/>
      <c r="Z73" s="2" t="n"/>
    </row>
    <row r="74" ht="14.25" customHeight="1" s="58">
      <c r="A74" s="25" t="n"/>
      <c r="B74" s="25" t="inlineStr">
        <is>
          <t>Итого Telegram</t>
        </is>
      </c>
      <c r="C74" s="26">
        <f>SUM(C52:C73)</f>
        <v/>
      </c>
      <c r="D74" s="26">
        <f>SUM(D52:D73)</f>
        <v/>
      </c>
      <c r="E74" s="26">
        <f>SUM(E52:E73)</f>
        <v/>
      </c>
      <c r="F74" s="27">
        <f>SUM(F52:F73)</f>
        <v/>
      </c>
      <c r="G74" s="28">
        <f>IF(C74=0,"",IFERROR(F74/E74,""))</f>
        <v/>
      </c>
      <c r="H74" s="26">
        <f>SUM(H52:H73)</f>
        <v/>
      </c>
      <c r="I74" s="26">
        <f>SUM(I52:I73)</f>
        <v/>
      </c>
      <c r="J74" s="27">
        <f>SUM(J52:J73)</f>
        <v/>
      </c>
      <c r="K74" s="28">
        <f>IF(C74=0,"",IFERROR(J74/I74,""))</f>
        <v/>
      </c>
      <c r="L74" s="26">
        <f>IFERROR(D74/C74,"")</f>
        <v/>
      </c>
      <c r="M74" s="26">
        <f>IFERROR(H74/D74*1000,"")</f>
        <v/>
      </c>
      <c r="N74" s="26">
        <f>SUM(N52:N73)</f>
        <v/>
      </c>
      <c r="O74" s="27">
        <f>SUM(O52:O73)</f>
        <v/>
      </c>
      <c r="P74" s="2" t="n"/>
      <c r="Q74" s="2" t="n"/>
      <c r="R74" s="2" t="n"/>
      <c r="S74" s="29">
        <f>IFERROR(IF(ISBLANK(INDIRECT("'"&amp;$Q$2&amp;"'!G"&amp;ROW())),"",INDIRECT("'"&amp;$Q$2&amp;"'!G"&amp;ROW())),"")</f>
        <v/>
      </c>
      <c r="T74" s="30">
        <f>IF(OR($G74="",$S74=""),"",$G74-$S74)</f>
        <v/>
      </c>
      <c r="U74" s="29">
        <f>IFERROR(IF(ISBLANK(INDIRECT("'"&amp;$Q$2&amp;"'!K"&amp;ROW())),"",INDIRECT("'"&amp;$Q$2&amp;"'!K"&amp;ROW())),"")</f>
        <v/>
      </c>
      <c r="V74" s="30">
        <f>IF(OR($K74="",$U74=""),"",$K74-$U74)</f>
        <v/>
      </c>
      <c r="W74" s="31">
        <f>IFERROR(IF(ISBLANK(INDIRECT("'"&amp;$Q$2&amp;"'!O"&amp;ROW())),"",INDIRECT("'"&amp;$Q$2&amp;"'!O"&amp;ROW())),"")</f>
        <v/>
      </c>
      <c r="X74" s="31">
        <f>IF(OR(C74=0,$O74="",$W74=""),"",$O74-$W74)</f>
        <v/>
      </c>
      <c r="Y74" s="2" t="n"/>
      <c r="Z74" s="2" t="n"/>
    </row>
    <row r="75" ht="14.25" customHeight="1" s="58">
      <c r="A75" s="12" t="inlineStr">
        <is>
          <t>МАКС</t>
        </is>
      </c>
      <c r="B75" s="12" t="inlineStr">
        <is>
          <t>Ямал-Медиа</t>
        </is>
      </c>
      <c r="C75" s="13" t="n">
        <v>136</v>
      </c>
      <c r="D75" s="13" t="n">
        <v>144944</v>
      </c>
      <c r="E75" s="13">
        <f>IF($D75="","",IFERROR(IF(ISBLANK(INDIRECT("'"&amp;$Q$2&amp;"'!D"&amp;ROW())),"",INDIRECT("'"&amp;$Q$2&amp;"'!D"&amp;ROW())),""))</f>
        <v/>
      </c>
      <c r="F75" s="15">
        <f>IF(OR(D75="",E75=""),"",D75-E75)</f>
        <v/>
      </c>
      <c r="G75" s="16">
        <f>IFERROR(F75/E75,"")</f>
        <v/>
      </c>
      <c r="H75" s="13" t="n">
        <v>1405</v>
      </c>
      <c r="I75" s="13">
        <f>IF($H75="","",IFERROR(IF(ISBLANK(INDIRECT("'"&amp;$Q$2&amp;"'!H"&amp;ROW())),"",INDIRECT("'"&amp;$Q$2&amp;"'!H"&amp;ROW())),""))</f>
        <v/>
      </c>
      <c r="J75" s="15">
        <f>IF(OR(H75="",I75=""),"",H75-I75)</f>
        <v/>
      </c>
      <c r="K75" s="16">
        <f>IFERROR(J75/I75,"")</f>
        <v/>
      </c>
      <c r="L75" s="13">
        <f>IFERROR(D75/C75,"")</f>
        <v/>
      </c>
      <c r="M75" s="13">
        <f>IFERROR(H75/D75*1000,"")</f>
        <v/>
      </c>
      <c r="N75" s="13" t="n">
        <v>4495</v>
      </c>
      <c r="O75" s="15">
        <f>IFERROR(IF(OR(N75="",ISBLANK(INDIRECT("'"&amp;$Q$2&amp;"'!N"&amp;ROW()))),"",N75-INDIRECT("'"&amp;$Q$2&amp;"'!N"&amp;ROW())),"")</f>
        <v/>
      </c>
      <c r="P75" s="2" t="n"/>
      <c r="Q75" s="2" t="n"/>
      <c r="R75" s="2" t="n"/>
      <c r="S75" s="18">
        <f>IFERROR(IF(ISBLANK(INDIRECT("'"&amp;$Q$2&amp;"'!G"&amp;ROW())),"",INDIRECT("'"&amp;$Q$2&amp;"'!G"&amp;ROW())),"")</f>
        <v/>
      </c>
      <c r="T75" s="20">
        <f>IF(OR($G75="",$S75=""),"",$G75-$S75)</f>
        <v/>
      </c>
      <c r="U75" s="18">
        <f>IFERROR(IF(ISBLANK(INDIRECT("'"&amp;$Q$2&amp;"'!K"&amp;ROW())),"",INDIRECT("'"&amp;$Q$2&amp;"'!K"&amp;ROW())),"")</f>
        <v/>
      </c>
      <c r="V75" s="20">
        <f>IF(OR($K75="",$U75=""),"",$K75-$U75)</f>
        <v/>
      </c>
      <c r="W75" s="21">
        <f>IFERROR(IF(ISBLANK(INDIRECT("'"&amp;$Q$2&amp;"'!O"&amp;ROW())),"",INDIRECT("'"&amp;$Q$2&amp;"'!O"&amp;ROW())),"")</f>
        <v/>
      </c>
      <c r="X75" s="21">
        <f>IF(OR($O75="",$W75=""),"",$O75-$W75)</f>
        <v/>
      </c>
      <c r="Y75" s="2" t="n"/>
      <c r="Z75" s="2" t="n"/>
    </row>
    <row r="76" ht="14.25" customHeight="1" s="58">
      <c r="A76" s="12" t="inlineStr">
        <is>
          <t>МАКС</t>
        </is>
      </c>
      <c r="B76" s="12" t="inlineStr">
        <is>
          <t>Север-Пресс</t>
        </is>
      </c>
      <c r="C76" s="13" t="n">
        <v>137</v>
      </c>
      <c r="D76" s="13" t="n">
        <v>64457</v>
      </c>
      <c r="E76" s="13">
        <f>IF($D76="","",IFERROR(IF(ISBLANK(INDIRECT("'"&amp;$Q$2&amp;"'!D"&amp;ROW())),"",INDIRECT("'"&amp;$Q$2&amp;"'!D"&amp;ROW())),""))</f>
        <v/>
      </c>
      <c r="F76" s="15">
        <f>IF(OR(D76="",E76=""),"",D76-E76)</f>
        <v/>
      </c>
      <c r="G76" s="16">
        <f>IFERROR(F76/E76,"")</f>
        <v/>
      </c>
      <c r="H76" s="13" t="n">
        <v>293</v>
      </c>
      <c r="I76" s="13">
        <f>IF($H76="","",IFERROR(IF(ISBLANK(INDIRECT("'"&amp;$Q$2&amp;"'!H"&amp;ROW())),"",INDIRECT("'"&amp;$Q$2&amp;"'!H"&amp;ROW())),""))</f>
        <v/>
      </c>
      <c r="J76" s="15">
        <f>IF(OR(H76="",I76=""),"",H76-I76)</f>
        <v/>
      </c>
      <c r="K76" s="16">
        <f>IFERROR(J76/I76,"")</f>
        <v/>
      </c>
      <c r="L76" s="13">
        <f>IFERROR(D76/C76,"")</f>
        <v/>
      </c>
      <c r="M76" s="13">
        <f>IFERROR(H76/D76*1000,"")</f>
        <v/>
      </c>
      <c r="N76" s="13" t="n">
        <v>2252</v>
      </c>
      <c r="O76" s="15">
        <f>IFERROR(IF(OR(N76="",ISBLANK(INDIRECT("'"&amp;$Q$2&amp;"'!N"&amp;ROW()))),"",N76-INDIRECT("'"&amp;$Q$2&amp;"'!N"&amp;ROW())),"")</f>
        <v/>
      </c>
      <c r="P76" s="2" t="n"/>
      <c r="Q76" s="2" t="n"/>
      <c r="R76" s="2" t="n"/>
      <c r="S76" s="18">
        <f>IFERROR(IF(ISBLANK(INDIRECT("'"&amp;$Q$2&amp;"'!G"&amp;ROW())),"",INDIRECT("'"&amp;$Q$2&amp;"'!G"&amp;ROW())),"")</f>
        <v/>
      </c>
      <c r="T76" s="20">
        <f>IF(OR($G76="",$S76=""),"",$G76-$S76)</f>
        <v/>
      </c>
      <c r="U76" s="18">
        <f>IFERROR(IF(ISBLANK(INDIRECT("'"&amp;$Q$2&amp;"'!K"&amp;ROW())),"",INDIRECT("'"&amp;$Q$2&amp;"'!K"&amp;ROW())),"")</f>
        <v/>
      </c>
      <c r="V76" s="20">
        <f>IF(OR($K76="",$U76=""),"",$K76-$U76)</f>
        <v/>
      </c>
      <c r="W76" s="21">
        <f>IFERROR(IF(ISBLANK(INDIRECT("'"&amp;$Q$2&amp;"'!O"&amp;ROW())),"",INDIRECT("'"&amp;$Q$2&amp;"'!O"&amp;ROW())),"")</f>
        <v/>
      </c>
      <c r="X76" s="21">
        <f>IF(OR($O76="",$W76=""),"",$O76-$W76)</f>
        <v/>
      </c>
      <c r="Y76" s="2" t="n"/>
      <c r="Z76" s="2" t="n"/>
    </row>
    <row r="77" ht="14.25" customHeight="1" s="58">
      <c r="A77" s="12" t="inlineStr">
        <is>
          <t>МАКС</t>
        </is>
      </c>
      <c r="B77" s="12" t="inlineStr">
        <is>
          <t>Красный Север</t>
        </is>
      </c>
      <c r="C77" s="13" t="n">
        <v>85</v>
      </c>
      <c r="D77" s="13" t="n">
        <v>5223</v>
      </c>
      <c r="E77" s="13">
        <f>IF($D77="","",IFERROR(IF(ISBLANK(INDIRECT("'"&amp;$Q$2&amp;"'!D"&amp;ROW())),"",INDIRECT("'"&amp;$Q$2&amp;"'!D"&amp;ROW())),""))</f>
        <v/>
      </c>
      <c r="F77" s="15">
        <f>IF(OR(D77="",E77=""),"",D77-E77)</f>
        <v/>
      </c>
      <c r="G77" s="16">
        <f>IFERROR(F77/E77,"")</f>
        <v/>
      </c>
      <c r="H77" s="13" t="n">
        <v>10</v>
      </c>
      <c r="I77" s="13">
        <f>IF($H77="","",IFERROR(IF(ISBLANK(INDIRECT("'"&amp;$Q$2&amp;"'!H"&amp;ROW())),"",INDIRECT("'"&amp;$Q$2&amp;"'!H"&amp;ROW())),""))</f>
        <v/>
      </c>
      <c r="J77" s="15">
        <f>IF(OR(H77="",I77=""),"",H77-I77)</f>
        <v/>
      </c>
      <c r="K77" s="16">
        <f>IFERROR(J77/I77,"")</f>
        <v/>
      </c>
      <c r="L77" s="13">
        <f>IFERROR(D77/C77,"")</f>
        <v/>
      </c>
      <c r="M77" s="13">
        <f>IFERROR(H77/D77*1000,"")</f>
        <v/>
      </c>
      <c r="N77" s="13" t="n">
        <v>281</v>
      </c>
      <c r="O77" s="15">
        <f>IFERROR(IF(OR(N77="",ISBLANK(INDIRECT("'"&amp;$Q$2&amp;"'!N"&amp;ROW()))),"",N77-INDIRECT("'"&amp;$Q$2&amp;"'!N"&amp;ROW())),"")</f>
        <v/>
      </c>
      <c r="P77" s="2" t="n"/>
      <c r="Q77" s="2" t="n"/>
      <c r="R77" s="2" t="n"/>
      <c r="S77" s="18">
        <f>IFERROR(IF(ISBLANK(INDIRECT("'"&amp;$Q$2&amp;"'!G"&amp;ROW())),"",INDIRECT("'"&amp;$Q$2&amp;"'!G"&amp;ROW())),"")</f>
        <v/>
      </c>
      <c r="T77" s="20">
        <f>IF(OR($G77="",$S77=""),"",$G77-$S77)</f>
        <v/>
      </c>
      <c r="U77" s="18">
        <f>IFERROR(IF(ISBLANK(INDIRECT("'"&amp;$Q$2&amp;"'!K"&amp;ROW())),"",INDIRECT("'"&amp;$Q$2&amp;"'!K"&amp;ROW())),"")</f>
        <v/>
      </c>
      <c r="V77" s="20">
        <f>IF(OR($K77="",$U77=""),"",$K77-$U77)</f>
        <v/>
      </c>
      <c r="W77" s="21">
        <f>IFERROR(IF(ISBLANK(INDIRECT("'"&amp;$Q$2&amp;"'!O"&amp;ROW())),"",INDIRECT("'"&amp;$Q$2&amp;"'!O"&amp;ROW())),"")</f>
        <v/>
      </c>
      <c r="X77" s="21">
        <f>IF(OR($O77="",$W77=""),"",$O77-$W77)</f>
        <v/>
      </c>
      <c r="Y77" s="2" t="n"/>
      <c r="Z77" s="2" t="n"/>
    </row>
    <row r="78" ht="14.25" customHeight="1" s="58">
      <c r="A78" s="12" t="inlineStr">
        <is>
          <t>МАКС</t>
        </is>
      </c>
      <c r="B78" s="12" t="inlineStr">
        <is>
          <t>СМП</t>
        </is>
      </c>
      <c r="C78" s="13" t="n">
        <v>7</v>
      </c>
      <c r="D78" s="13" t="n">
        <v>1172</v>
      </c>
      <c r="E78" s="13">
        <f>IF($D78="","",IFERROR(IF(ISBLANK(INDIRECT("'"&amp;$Q$2&amp;"'!D"&amp;ROW())),"",INDIRECT("'"&amp;$Q$2&amp;"'!D"&amp;ROW())),""))</f>
        <v/>
      </c>
      <c r="F78" s="15">
        <f>IF(OR(D78="",E78=""),"",D78-E78)</f>
        <v/>
      </c>
      <c r="G78" s="16">
        <f>IFERROR(F78/E78,"")</f>
        <v/>
      </c>
      <c r="H78" s="13" t="n">
        <v>23</v>
      </c>
      <c r="I78" s="13">
        <f>IF($H78="","",IFERROR(IF(ISBLANK(INDIRECT("'"&amp;$Q$2&amp;"'!H"&amp;ROW())),"",INDIRECT("'"&amp;$Q$2&amp;"'!H"&amp;ROW())),""))</f>
        <v/>
      </c>
      <c r="J78" s="15">
        <f>IF(OR(H78="",I78=""),"",H78-I78)</f>
        <v/>
      </c>
      <c r="K78" s="16">
        <f>IFERROR(J78/I78,"")</f>
        <v/>
      </c>
      <c r="L78" s="13">
        <f>IFERROR(D78/C78,"")</f>
        <v/>
      </c>
      <c r="M78" s="13">
        <f>IFERROR(H78/D78*1000,"")</f>
        <v/>
      </c>
      <c r="N78" s="13" t="n">
        <v>213</v>
      </c>
      <c r="O78" s="15">
        <f>IFERROR(IF(OR(N78="",ISBLANK(INDIRECT("'"&amp;$Q$2&amp;"'!N"&amp;ROW()))),"",N78-INDIRECT("'"&amp;$Q$2&amp;"'!N"&amp;ROW())),"")</f>
        <v/>
      </c>
      <c r="P78" s="2" t="n"/>
      <c r="Q78" s="2" t="n"/>
      <c r="R78" s="2" t="n"/>
      <c r="S78" s="18">
        <f>IFERROR(IF(ISBLANK(INDIRECT("'"&amp;$Q$2&amp;"'!G"&amp;ROW())),"",INDIRECT("'"&amp;$Q$2&amp;"'!G"&amp;ROW())),"")</f>
        <v/>
      </c>
      <c r="T78" s="20">
        <f>IF(OR($G78="",$S78=""),"",$G78-$S78)</f>
        <v/>
      </c>
      <c r="U78" s="18">
        <f>IFERROR(IF(ISBLANK(INDIRECT("'"&amp;$Q$2&amp;"'!K"&amp;ROW())),"",INDIRECT("'"&amp;$Q$2&amp;"'!K"&amp;ROW())),"")</f>
        <v/>
      </c>
      <c r="V78" s="20">
        <f>IF(OR($K78="",$U78=""),"",$K78-$U78)</f>
        <v/>
      </c>
      <c r="W78" s="21">
        <f>IFERROR(IF(ISBLANK(INDIRECT("'"&amp;$Q$2&amp;"'!O"&amp;ROW())),"",INDIRECT("'"&amp;$Q$2&amp;"'!O"&amp;ROW())),"")</f>
        <v/>
      </c>
      <c r="X78" s="21">
        <f>IF(OR($O78="",$W78=""),"",$O78-$W78)</f>
        <v/>
      </c>
      <c r="Y78" s="2" t="n"/>
      <c r="Z78" s="2" t="n"/>
    </row>
    <row r="79" ht="14.25" customHeight="1" s="58">
      <c r="A79" s="12" t="inlineStr">
        <is>
          <t>МАКС</t>
        </is>
      </c>
      <c r="B79" s="12" t="inlineStr">
        <is>
          <t>СШХ</t>
        </is>
      </c>
      <c r="C79" s="13" t="n">
        <v>9</v>
      </c>
      <c r="D79" s="13" t="n">
        <v>148</v>
      </c>
      <c r="E79" s="13">
        <f>IF($D79="","",IFERROR(IF(ISBLANK(INDIRECT("'"&amp;$Q$2&amp;"'!D"&amp;ROW())),"",INDIRECT("'"&amp;$Q$2&amp;"'!D"&amp;ROW())),""))</f>
        <v/>
      </c>
      <c r="F79" s="15">
        <f>IF(OR(D79="",E79=""),"",D79-E79)</f>
        <v/>
      </c>
      <c r="G79" s="16">
        <f>IFERROR(F79/E79,"")</f>
        <v/>
      </c>
      <c r="H79" s="13" t="n">
        <v>3</v>
      </c>
      <c r="I79" s="13">
        <f>IF($H79="","",IFERROR(IF(ISBLANK(INDIRECT("'"&amp;$Q$2&amp;"'!H"&amp;ROW())),"",INDIRECT("'"&amp;$Q$2&amp;"'!H"&amp;ROW())),""))</f>
        <v/>
      </c>
      <c r="J79" s="15">
        <f>IF(OR(H79="",I79=""),"",H79-I79)</f>
        <v/>
      </c>
      <c r="K79" s="16">
        <f>IFERROR(J79/I79,"")</f>
        <v/>
      </c>
      <c r="L79" s="13">
        <f>IFERROR(D79/C79,"")</f>
        <v/>
      </c>
      <c r="M79" s="13">
        <f>IFERROR(H79/D79*1000,"")</f>
        <v/>
      </c>
      <c r="N79" s="13" t="n">
        <v>37</v>
      </c>
      <c r="O79" s="15">
        <f>IFERROR(IF(OR(N79="",ISBLANK(INDIRECT("'"&amp;$Q$2&amp;"'!N"&amp;ROW()))),"",N79-INDIRECT("'"&amp;$Q$2&amp;"'!N"&amp;ROW())),"")</f>
        <v/>
      </c>
      <c r="P79" s="2" t="n"/>
      <c r="Q79" s="2" t="n"/>
      <c r="R79" s="2" t="n"/>
      <c r="S79" s="18">
        <f>IFERROR(IF(ISBLANK(INDIRECT("'"&amp;$Q$2&amp;"'!G"&amp;ROW())),"",INDIRECT("'"&amp;$Q$2&amp;"'!G"&amp;ROW())),"")</f>
        <v/>
      </c>
      <c r="T79" s="20">
        <f>IF(OR($G79="",$S79=""),"",$G79-$S79)</f>
        <v/>
      </c>
      <c r="U79" s="18">
        <f>IFERROR(IF(ISBLANK(INDIRECT("'"&amp;$Q$2&amp;"'!K"&amp;ROW())),"",INDIRECT("'"&amp;$Q$2&amp;"'!K"&amp;ROW())),"")</f>
        <v/>
      </c>
      <c r="V79" s="20">
        <f>IF(OR($K79="",$U79=""),"",$K79-$U79)</f>
        <v/>
      </c>
      <c r="W79" s="21">
        <f>IFERROR(IF(ISBLANK(INDIRECT("'"&amp;$Q$2&amp;"'!O"&amp;ROW())),"",INDIRECT("'"&amp;$Q$2&amp;"'!O"&amp;ROW())),"")</f>
        <v/>
      </c>
      <c r="X79" s="21">
        <f>IF(OR($O79="",$W79=""),"",$O79-$W79)</f>
        <v/>
      </c>
      <c r="Y79" s="2" t="n"/>
      <c r="Z79" s="2" t="n"/>
    </row>
    <row r="80" ht="14.25" customHeight="1" s="58">
      <c r="A80" s="12" t="inlineStr">
        <is>
          <t>МАКС</t>
        </is>
      </c>
      <c r="B80" s="12" t="inlineStr">
        <is>
          <t>Новый Уренгой</t>
        </is>
      </c>
      <c r="C80" s="13" t="n">
        <v>98</v>
      </c>
      <c r="D80" s="13" t="n">
        <v>147796</v>
      </c>
      <c r="E80" s="13">
        <f>IF($D80="","",IFERROR(IF(ISBLANK(INDIRECT("'"&amp;$Q$2&amp;"'!D"&amp;ROW())),"",INDIRECT("'"&amp;$Q$2&amp;"'!D"&amp;ROW())),""))</f>
        <v/>
      </c>
      <c r="F80" s="15">
        <f>IF(OR(D80="",E80=""),"",D80-E80)</f>
        <v/>
      </c>
      <c r="G80" s="16">
        <f>IFERROR(F80/E80,"")</f>
        <v/>
      </c>
      <c r="H80" s="13" t="n">
        <v>1392</v>
      </c>
      <c r="I80" s="13">
        <f>IF($H80="","",IFERROR(IF(ISBLANK(INDIRECT("'"&amp;$Q$2&amp;"'!H"&amp;ROW())),"",INDIRECT("'"&amp;$Q$2&amp;"'!H"&amp;ROW())),""))</f>
        <v/>
      </c>
      <c r="J80" s="15">
        <f>IF(OR(H80="",I80=""),"",H80-I80)</f>
        <v/>
      </c>
      <c r="K80" s="16">
        <f>IFERROR(J80/I80,"")</f>
        <v/>
      </c>
      <c r="L80" s="13">
        <f>IFERROR(D80/C80,"")</f>
        <v/>
      </c>
      <c r="M80" s="13">
        <f>IFERROR(H80/D80*1000,"")</f>
        <v/>
      </c>
      <c r="N80" s="13" t="n">
        <v>4373</v>
      </c>
      <c r="O80" s="15">
        <f>IFERROR(IF(OR(N80="",ISBLANK(INDIRECT("'"&amp;$Q$2&amp;"'!N"&amp;ROW()))),"",N80-INDIRECT("'"&amp;$Q$2&amp;"'!N"&amp;ROW())),"")</f>
        <v/>
      </c>
      <c r="P80" s="2" t="n"/>
      <c r="Q80" s="2" t="n"/>
      <c r="R80" s="2" t="n"/>
      <c r="S80" s="18">
        <f>IFERROR(IF(ISBLANK(INDIRECT("'"&amp;$Q$2&amp;"'!G"&amp;ROW())),"",INDIRECT("'"&amp;$Q$2&amp;"'!G"&amp;ROW())),"")</f>
        <v/>
      </c>
      <c r="T80" s="20">
        <f>IF(OR($G80="",$S80=""),"",$G80-$S80)</f>
        <v/>
      </c>
      <c r="U80" s="18">
        <f>IFERROR(IF(ISBLANK(INDIRECT("'"&amp;$Q$2&amp;"'!K"&amp;ROW())),"",INDIRECT("'"&amp;$Q$2&amp;"'!K"&amp;ROW())),"")</f>
        <v/>
      </c>
      <c r="V80" s="20">
        <f>IF(OR($K80="",$U80=""),"",$K80-$U80)</f>
        <v/>
      </c>
      <c r="W80" s="21">
        <f>IFERROR(IF(ISBLANK(INDIRECT("'"&amp;$Q$2&amp;"'!O"&amp;ROW())),"",INDIRECT("'"&amp;$Q$2&amp;"'!O"&amp;ROW())),"")</f>
        <v/>
      </c>
      <c r="X80" s="21">
        <f>IF(OR($O80="",$W80=""),"",$O80-$W80)</f>
        <v/>
      </c>
      <c r="Y80" s="2" t="n"/>
      <c r="Z80" s="2" t="n"/>
    </row>
    <row r="81" ht="14.25" customHeight="1" s="58">
      <c r="A81" s="12" t="inlineStr">
        <is>
          <t>МАКС</t>
        </is>
      </c>
      <c r="B81" s="12" t="inlineStr">
        <is>
          <t>Надым</t>
        </is>
      </c>
      <c r="C81" s="13" t="n">
        <v>79</v>
      </c>
      <c r="D81" s="13" t="n">
        <v>65875</v>
      </c>
      <c r="E81" s="13">
        <f>IF($D81="","",IFERROR(IF(ISBLANK(INDIRECT("'"&amp;$Q$2&amp;"'!D"&amp;ROW())),"",INDIRECT("'"&amp;$Q$2&amp;"'!D"&amp;ROW())),""))</f>
        <v/>
      </c>
      <c r="F81" s="15">
        <f>IF(OR(D81="",E81=""),"",D81-E81)</f>
        <v/>
      </c>
      <c r="G81" s="16">
        <f>IFERROR(F81/E81,"")</f>
        <v/>
      </c>
      <c r="H81" s="13" t="n">
        <v>1425</v>
      </c>
      <c r="I81" s="13">
        <f>IF($H81="","",IFERROR(IF(ISBLANK(INDIRECT("'"&amp;$Q$2&amp;"'!H"&amp;ROW())),"",INDIRECT("'"&amp;$Q$2&amp;"'!H"&amp;ROW())),""))</f>
        <v/>
      </c>
      <c r="J81" s="15">
        <f>IF(OR(H81="",I81=""),"",H81-I81)</f>
        <v/>
      </c>
      <c r="K81" s="16">
        <f>IFERROR(J81/I81,"")</f>
        <v/>
      </c>
      <c r="L81" s="13">
        <f>IFERROR(D81/C81,"")</f>
        <v/>
      </c>
      <c r="M81" s="13">
        <f>IFERROR(H81/D81*1000,"")</f>
        <v/>
      </c>
      <c r="N81" s="13" t="n">
        <v>2536</v>
      </c>
      <c r="O81" s="15">
        <f>IFERROR(IF(OR(N81="",ISBLANK(INDIRECT("'"&amp;$Q$2&amp;"'!N"&amp;ROW()))),"",N81-INDIRECT("'"&amp;$Q$2&amp;"'!N"&amp;ROW())),"")</f>
        <v/>
      </c>
      <c r="P81" s="2" t="n"/>
      <c r="Q81" s="2" t="n"/>
      <c r="R81" s="2" t="n"/>
      <c r="S81" s="18">
        <f>IFERROR(IF(ISBLANK(INDIRECT("'"&amp;$Q$2&amp;"'!G"&amp;ROW())),"",INDIRECT("'"&amp;$Q$2&amp;"'!G"&amp;ROW())),"")</f>
        <v/>
      </c>
      <c r="T81" s="20">
        <f>IF(OR($G81="",$S81=""),"",$G81-$S81)</f>
        <v/>
      </c>
      <c r="U81" s="18">
        <f>IFERROR(IF(ISBLANK(INDIRECT("'"&amp;$Q$2&amp;"'!K"&amp;ROW())),"",INDIRECT("'"&amp;$Q$2&amp;"'!K"&amp;ROW())),"")</f>
        <v/>
      </c>
      <c r="V81" s="20">
        <f>IF(OR($K81="",$U81=""),"",$K81-$U81)</f>
        <v/>
      </c>
      <c r="W81" s="21">
        <f>IFERROR(IF(ISBLANK(INDIRECT("'"&amp;$Q$2&amp;"'!O"&amp;ROW())),"",INDIRECT("'"&amp;$Q$2&amp;"'!O"&amp;ROW())),"")</f>
        <v/>
      </c>
      <c r="X81" s="21">
        <f>IF(OR($O81="",$W81=""),"",$O81-$W81)</f>
        <v/>
      </c>
      <c r="Y81" s="2" t="n"/>
      <c r="Z81" s="2" t="n"/>
    </row>
    <row r="82" ht="14.25" customHeight="1" s="58">
      <c r="A82" s="12" t="inlineStr">
        <is>
          <t>МАКС</t>
        </is>
      </c>
      <c r="B82" s="12" t="inlineStr">
        <is>
          <t>Ноябрьск</t>
        </is>
      </c>
      <c r="C82" s="13" t="n">
        <v>93</v>
      </c>
      <c r="D82" s="13" t="n">
        <v>158096</v>
      </c>
      <c r="E82" s="13">
        <f>IF($D82="","",IFERROR(IF(ISBLANK(INDIRECT("'"&amp;$Q$2&amp;"'!D"&amp;ROW())),"",INDIRECT("'"&amp;$Q$2&amp;"'!D"&amp;ROW())),""))</f>
        <v/>
      </c>
      <c r="F82" s="15">
        <f>IF(OR(D82="",E82=""),"",D82-E82)</f>
        <v/>
      </c>
      <c r="G82" s="16">
        <f>IFERROR(F82/E82,"")</f>
        <v/>
      </c>
      <c r="H82" s="13" t="n">
        <v>3293</v>
      </c>
      <c r="I82" s="13">
        <f>IF($H82="","",IFERROR(IF(ISBLANK(INDIRECT("'"&amp;$Q$2&amp;"'!H"&amp;ROW())),"",INDIRECT("'"&amp;$Q$2&amp;"'!H"&amp;ROW())),""))</f>
        <v/>
      </c>
      <c r="J82" s="15">
        <f>IF(OR(H82="",I82=""),"",H82-I82)</f>
        <v/>
      </c>
      <c r="K82" s="16">
        <f>IFERROR(J82/I82,"")</f>
        <v/>
      </c>
      <c r="L82" s="13">
        <f>IFERROR(D82/C82,"")</f>
        <v/>
      </c>
      <c r="M82" s="13">
        <f>IFERROR(H82/D82*1000,"")</f>
        <v/>
      </c>
      <c r="N82" s="13" t="n">
        <v>3811</v>
      </c>
      <c r="O82" s="15">
        <f>IFERROR(IF(OR(N82="",ISBLANK(INDIRECT("'"&amp;$Q$2&amp;"'!N"&amp;ROW()))),"",N82-INDIRECT("'"&amp;$Q$2&amp;"'!N"&amp;ROW())),"")</f>
        <v/>
      </c>
      <c r="P82" s="2" t="n"/>
      <c r="Q82" s="2" t="n"/>
      <c r="R82" s="2" t="n"/>
      <c r="S82" s="18">
        <f>IFERROR(IF(ISBLANK(INDIRECT("'"&amp;$Q$2&amp;"'!G"&amp;ROW())),"",INDIRECT("'"&amp;$Q$2&amp;"'!G"&amp;ROW())),"")</f>
        <v/>
      </c>
      <c r="T82" s="20">
        <f>IF(OR($G82="",$S82=""),"",$G82-$S82)</f>
        <v/>
      </c>
      <c r="U82" s="18">
        <f>IFERROR(IF(ISBLANK(INDIRECT("'"&amp;$Q$2&amp;"'!K"&amp;ROW())),"",INDIRECT("'"&amp;$Q$2&amp;"'!K"&amp;ROW())),"")</f>
        <v/>
      </c>
      <c r="V82" s="20">
        <f>IF(OR($K82="",$U82=""),"",$K82-$U82)</f>
        <v/>
      </c>
      <c r="W82" s="21">
        <f>IFERROR(IF(ISBLANK(INDIRECT("'"&amp;$Q$2&amp;"'!O"&amp;ROW())),"",INDIRECT("'"&amp;$Q$2&amp;"'!O"&amp;ROW())),"")</f>
        <v/>
      </c>
      <c r="X82" s="21">
        <f>IF(OR($O82="",$W82=""),"",$O82-$W82)</f>
        <v/>
      </c>
      <c r="Y82" s="2" t="n"/>
      <c r="Z82" s="2" t="n"/>
    </row>
    <row r="83" ht="14.25" customHeight="1" s="58">
      <c r="A83" s="12" t="inlineStr">
        <is>
          <t>МАКС</t>
        </is>
      </c>
      <c r="B83" s="12" t="inlineStr">
        <is>
          <t>Салехард</t>
        </is>
      </c>
      <c r="C83" s="13" t="n">
        <v>132</v>
      </c>
      <c r="D83" s="13" t="n">
        <v>79662</v>
      </c>
      <c r="E83" s="13">
        <f>IF($D83="","",IFERROR(IF(ISBLANK(INDIRECT("'"&amp;$Q$2&amp;"'!D"&amp;ROW())),"",INDIRECT("'"&amp;$Q$2&amp;"'!D"&amp;ROW())),""))</f>
        <v/>
      </c>
      <c r="F83" s="15">
        <f>IF(OR(D83="",E83=""),"",D83-E83)</f>
        <v/>
      </c>
      <c r="G83" s="16">
        <f>IFERROR(F83/E83,"")</f>
        <v/>
      </c>
      <c r="H83" s="13" t="n">
        <v>598</v>
      </c>
      <c r="I83" s="13">
        <f>IF($H83="","",IFERROR(IF(ISBLANK(INDIRECT("'"&amp;$Q$2&amp;"'!H"&amp;ROW())),"",INDIRECT("'"&amp;$Q$2&amp;"'!H"&amp;ROW())),""))</f>
        <v/>
      </c>
      <c r="J83" s="15">
        <f>IF(OR(H83="",I83=""),"",H83-I83)</f>
        <v/>
      </c>
      <c r="K83" s="16">
        <f>IFERROR(J83/I83,"")</f>
        <v/>
      </c>
      <c r="L83" s="13">
        <f>IFERROR(D83/C83,"")</f>
        <v/>
      </c>
      <c r="M83" s="13">
        <f>IFERROR(H83/D83*1000,"")</f>
        <v/>
      </c>
      <c r="N83" s="13" t="n">
        <v>1815</v>
      </c>
      <c r="O83" s="15">
        <f>IFERROR(IF(OR(N83="",ISBLANK(INDIRECT("'"&amp;$Q$2&amp;"'!N"&amp;ROW()))),"",N83-INDIRECT("'"&amp;$Q$2&amp;"'!N"&amp;ROW())),"")</f>
        <v/>
      </c>
      <c r="P83" s="2" t="n"/>
      <c r="Q83" s="2" t="n"/>
      <c r="R83" s="2" t="n"/>
      <c r="S83" s="18">
        <f>IFERROR(IF(ISBLANK(INDIRECT("'"&amp;$Q$2&amp;"'!G"&amp;ROW())),"",INDIRECT("'"&amp;$Q$2&amp;"'!G"&amp;ROW())),"")</f>
        <v/>
      </c>
      <c r="T83" s="20">
        <f>IF(OR($G83="",$S83=""),"",$G83-$S83)</f>
        <v/>
      </c>
      <c r="U83" s="18">
        <f>IFERROR(IF(ISBLANK(INDIRECT("'"&amp;$Q$2&amp;"'!K"&amp;ROW())),"",INDIRECT("'"&amp;$Q$2&amp;"'!K"&amp;ROW())),"")</f>
        <v/>
      </c>
      <c r="V83" s="20">
        <f>IF(OR($K83="",$U83=""),"",$K83-$U83)</f>
        <v/>
      </c>
      <c r="W83" s="21">
        <f>IFERROR(IF(ISBLANK(INDIRECT("'"&amp;$Q$2&amp;"'!O"&amp;ROW())),"",INDIRECT("'"&amp;$Q$2&amp;"'!O"&amp;ROW())),"")</f>
        <v/>
      </c>
      <c r="X83" s="21">
        <f>IF(OR($O83="",$W83=""),"",$O83-$W83)</f>
        <v/>
      </c>
      <c r="Y83" s="2" t="n"/>
      <c r="Z83" s="2" t="n"/>
    </row>
    <row r="84" ht="14.25" customHeight="1" s="58">
      <c r="A84" s="12" t="inlineStr">
        <is>
          <t>МАКС</t>
        </is>
      </c>
      <c r="B84" s="12" t="inlineStr">
        <is>
          <t>Приуралье</t>
        </is>
      </c>
      <c r="C84" s="13" t="n">
        <v>100</v>
      </c>
      <c r="D84" s="13" t="n">
        <v>25284</v>
      </c>
      <c r="E84" s="13">
        <f>IF($D84="","",IFERROR(IF(ISBLANK(INDIRECT("'"&amp;$Q$2&amp;"'!D"&amp;ROW())),"",INDIRECT("'"&amp;$Q$2&amp;"'!D"&amp;ROW())),""))</f>
        <v/>
      </c>
      <c r="F84" s="15">
        <f>IF(OR(D84="",E84=""),"",D84-E84)</f>
        <v/>
      </c>
      <c r="G84" s="16">
        <f>IFERROR(F84/E84,"")</f>
        <v/>
      </c>
      <c r="H84" s="13" t="n">
        <v>310</v>
      </c>
      <c r="I84" s="13">
        <f>IF($H84="","",IFERROR(IF(ISBLANK(INDIRECT("'"&amp;$Q$2&amp;"'!H"&amp;ROW())),"",INDIRECT("'"&amp;$Q$2&amp;"'!H"&amp;ROW())),""))</f>
        <v/>
      </c>
      <c r="J84" s="15">
        <f>IF(OR(H84="",I84=""),"",H84-I84)</f>
        <v/>
      </c>
      <c r="K84" s="16">
        <f>IFERROR(J84/I84,"")</f>
        <v/>
      </c>
      <c r="L84" s="13">
        <f>IFERROR(D84/C84,"")</f>
        <v/>
      </c>
      <c r="M84" s="13">
        <f>IFERROR(H84/D84*1000,"")</f>
        <v/>
      </c>
      <c r="N84" s="13" t="n">
        <v>765</v>
      </c>
      <c r="O84" s="15">
        <f>IFERROR(IF(OR(N84="",ISBLANK(INDIRECT("'"&amp;$Q$2&amp;"'!N"&amp;ROW()))),"",N84-INDIRECT("'"&amp;$Q$2&amp;"'!N"&amp;ROW())),"")</f>
        <v/>
      </c>
      <c r="P84" s="2" t="n"/>
      <c r="Q84" s="2" t="n"/>
      <c r="R84" s="2" t="n"/>
      <c r="S84" s="18">
        <f>IFERROR(IF(ISBLANK(INDIRECT("'"&amp;$Q$2&amp;"'!G"&amp;ROW())),"",INDIRECT("'"&amp;$Q$2&amp;"'!G"&amp;ROW())),"")</f>
        <v/>
      </c>
      <c r="T84" s="20">
        <f>IF(OR($G84="",$S84=""),"",$G84-$S84)</f>
        <v/>
      </c>
      <c r="U84" s="18">
        <f>IFERROR(IF(ISBLANK(INDIRECT("'"&amp;$Q$2&amp;"'!K"&amp;ROW())),"",INDIRECT("'"&amp;$Q$2&amp;"'!K"&amp;ROW())),"")</f>
        <v/>
      </c>
      <c r="V84" s="20">
        <f>IF(OR($K84="",$U84=""),"",$K84-$U84)</f>
        <v/>
      </c>
      <c r="W84" s="21">
        <f>IFERROR(IF(ISBLANK(INDIRECT("'"&amp;$Q$2&amp;"'!O"&amp;ROW())),"",INDIRECT("'"&amp;$Q$2&amp;"'!O"&amp;ROW())),"")</f>
        <v/>
      </c>
      <c r="X84" s="21">
        <f>IF(OR($O84="",$W84=""),"",$O84-$W84)</f>
        <v/>
      </c>
      <c r="Y84" s="2" t="n"/>
      <c r="Z84" s="2" t="n"/>
    </row>
    <row r="85" ht="14.25" customHeight="1" s="58">
      <c r="A85" s="12" t="inlineStr">
        <is>
          <t>МАКС</t>
        </is>
      </c>
      <c r="B85" s="12" t="inlineStr">
        <is>
          <t>Лабытнанги</t>
        </is>
      </c>
      <c r="C85" s="13" t="n">
        <v>65</v>
      </c>
      <c r="D85" s="13" t="n">
        <v>8543</v>
      </c>
      <c r="E85" s="13">
        <f>IF($D85="","",IFERROR(IF(ISBLANK(INDIRECT("'"&amp;$Q$2&amp;"'!D"&amp;ROW())),"",INDIRECT("'"&amp;$Q$2&amp;"'!D"&amp;ROW())),""))</f>
        <v/>
      </c>
      <c r="F85" s="15">
        <f>IF(OR(D85="",E85=""),"",D85-E85)</f>
        <v/>
      </c>
      <c r="G85" s="16">
        <f>IFERROR(F85/E85,"")</f>
        <v/>
      </c>
      <c r="H85" s="13" t="n">
        <v>573</v>
      </c>
      <c r="I85" s="13">
        <f>IF($H85="","",IFERROR(IF(ISBLANK(INDIRECT("'"&amp;$Q$2&amp;"'!H"&amp;ROW())),"",INDIRECT("'"&amp;$Q$2&amp;"'!H"&amp;ROW())),""))</f>
        <v/>
      </c>
      <c r="J85" s="15">
        <f>IF(OR(H85="",I85=""),"",H85-I85)</f>
        <v/>
      </c>
      <c r="K85" s="16">
        <f>IFERROR(J85/I85,"")</f>
        <v/>
      </c>
      <c r="L85" s="13">
        <f>IFERROR(D85/C85,"")</f>
        <v/>
      </c>
      <c r="M85" s="13">
        <f>IFERROR(H85/D85*1000,"")</f>
        <v/>
      </c>
      <c r="N85" s="13" t="n">
        <v>319</v>
      </c>
      <c r="O85" s="15">
        <f>IFERROR(IF(OR(N85="",ISBLANK(INDIRECT("'"&amp;$Q$2&amp;"'!N"&amp;ROW()))),"",N85-INDIRECT("'"&amp;$Q$2&amp;"'!N"&amp;ROW())),"")</f>
        <v/>
      </c>
      <c r="P85" s="2" t="n"/>
      <c r="Q85" s="2" t="n"/>
      <c r="R85" s="2" t="n"/>
      <c r="S85" s="18">
        <f>IFERROR(IF(ISBLANK(INDIRECT("'"&amp;$Q$2&amp;"'!G"&amp;ROW())),"",INDIRECT("'"&amp;$Q$2&amp;"'!G"&amp;ROW())),"")</f>
        <v/>
      </c>
      <c r="T85" s="20">
        <f>IF(OR($G85="",$S85=""),"",$G85-$S85)</f>
        <v/>
      </c>
      <c r="U85" s="18">
        <f>IFERROR(IF(ISBLANK(INDIRECT("'"&amp;$Q$2&amp;"'!K"&amp;ROW())),"",INDIRECT("'"&amp;$Q$2&amp;"'!K"&amp;ROW())),"")</f>
        <v/>
      </c>
      <c r="V85" s="20">
        <f>IF(OR($K85="",$U85=""),"",$K85-$U85)</f>
        <v/>
      </c>
      <c r="W85" s="21">
        <f>IFERROR(IF(ISBLANK(INDIRECT("'"&amp;$Q$2&amp;"'!O"&amp;ROW())),"",INDIRECT("'"&amp;$Q$2&amp;"'!O"&amp;ROW())),"")</f>
        <v/>
      </c>
      <c r="X85" s="21">
        <f>IF(OR($O85="",$W85=""),"",$O85-$W85)</f>
        <v/>
      </c>
      <c r="Y85" s="2" t="n"/>
      <c r="Z85" s="2" t="n"/>
    </row>
    <row r="86" ht="14.25" customHeight="1" s="58">
      <c r="A86" s="12" t="inlineStr">
        <is>
          <t>МАКС</t>
        </is>
      </c>
      <c r="B86" s="12" t="inlineStr">
        <is>
          <t>Пуровский</t>
        </is>
      </c>
      <c r="C86" s="13" t="n">
        <v>52</v>
      </c>
      <c r="D86" s="13" t="n">
        <v>39387</v>
      </c>
      <c r="E86" s="13">
        <f>IF($D86="","",IFERROR(IF(ISBLANK(INDIRECT("'"&amp;$Q$2&amp;"'!D"&amp;ROW())),"",INDIRECT("'"&amp;$Q$2&amp;"'!D"&amp;ROW())),""))</f>
        <v/>
      </c>
      <c r="F86" s="15">
        <f>IF(OR(D86="",E86=""),"",D86-E86)</f>
        <v/>
      </c>
      <c r="G86" s="16">
        <f>IFERROR(F86/E86,"")</f>
        <v/>
      </c>
      <c r="H86" s="13" t="n">
        <v>330</v>
      </c>
      <c r="I86" s="13">
        <f>IF($H86="","",IFERROR(IF(ISBLANK(INDIRECT("'"&amp;$Q$2&amp;"'!H"&amp;ROW())),"",INDIRECT("'"&amp;$Q$2&amp;"'!H"&amp;ROW())),""))</f>
        <v/>
      </c>
      <c r="J86" s="15">
        <f>IF(OR(H86="",I86=""),"",H86-I86)</f>
        <v/>
      </c>
      <c r="K86" s="16">
        <f>IFERROR(J86/I86,"")</f>
        <v/>
      </c>
      <c r="L86" s="13">
        <f>IFERROR(D86/C86,"")</f>
        <v/>
      </c>
      <c r="M86" s="13">
        <f>IFERROR(H86/D86*1000,"")</f>
        <v/>
      </c>
      <c r="N86" s="13" t="n">
        <v>1926</v>
      </c>
      <c r="O86" s="15">
        <f>IFERROR(IF(OR(N86="",ISBLANK(INDIRECT("'"&amp;$Q$2&amp;"'!N"&amp;ROW()))),"",N86-INDIRECT("'"&amp;$Q$2&amp;"'!N"&amp;ROW())),"")</f>
        <v/>
      </c>
      <c r="P86" s="2" t="n"/>
      <c r="Q86" s="2" t="n"/>
      <c r="R86" s="2" t="n"/>
      <c r="S86" s="18">
        <f>IFERROR(IF(ISBLANK(INDIRECT("'"&amp;$Q$2&amp;"'!G"&amp;ROW())),"",INDIRECT("'"&amp;$Q$2&amp;"'!G"&amp;ROW())),"")</f>
        <v/>
      </c>
      <c r="T86" s="20">
        <f>IF(OR($G86="",$S86=""),"",$G86-$S86)</f>
        <v/>
      </c>
      <c r="U86" s="18">
        <f>IFERROR(IF(ISBLANK(INDIRECT("'"&amp;$Q$2&amp;"'!K"&amp;ROW())),"",INDIRECT("'"&amp;$Q$2&amp;"'!K"&amp;ROW())),"")</f>
        <v/>
      </c>
      <c r="V86" s="20">
        <f>IF(OR($K86="",$U86=""),"",$K86-$U86)</f>
        <v/>
      </c>
      <c r="W86" s="21">
        <f>IFERROR(IF(ISBLANK(INDIRECT("'"&amp;$Q$2&amp;"'!O"&amp;ROW())),"",INDIRECT("'"&amp;$Q$2&amp;"'!O"&amp;ROW())),"")</f>
        <v/>
      </c>
      <c r="X86" s="21">
        <f>IF(OR($O86="",$W86=""),"",$O86-$W86)</f>
        <v/>
      </c>
      <c r="Y86" s="2" t="n"/>
      <c r="Z86" s="2" t="n"/>
    </row>
    <row r="87" ht="14.25" customHeight="1" s="58">
      <c r="A87" s="12" t="inlineStr">
        <is>
          <t>МАКС</t>
        </is>
      </c>
      <c r="B87" s="12" t="inlineStr">
        <is>
          <t>Тазовский</t>
        </is>
      </c>
      <c r="C87" s="13" t="n">
        <v>66</v>
      </c>
      <c r="D87" s="13" t="n">
        <v>15989</v>
      </c>
      <c r="E87" s="13">
        <f>IF($D87="","",IFERROR(IF(ISBLANK(INDIRECT("'"&amp;$Q$2&amp;"'!D"&amp;ROW())),"",INDIRECT("'"&amp;$Q$2&amp;"'!D"&amp;ROW())),""))</f>
        <v/>
      </c>
      <c r="F87" s="15">
        <f>IF(OR(D87="",E87=""),"",D87-E87)</f>
        <v/>
      </c>
      <c r="G87" s="16">
        <f>IFERROR(F87/E87,"")</f>
        <v/>
      </c>
      <c r="H87" s="13" t="n">
        <v>109</v>
      </c>
      <c r="I87" s="13">
        <f>IF($H87="","",IFERROR(IF(ISBLANK(INDIRECT("'"&amp;$Q$2&amp;"'!H"&amp;ROW())),"",INDIRECT("'"&amp;$Q$2&amp;"'!H"&amp;ROW())),""))</f>
        <v/>
      </c>
      <c r="J87" s="15">
        <f>IF(OR(H87="",I87=""),"",H87-I87)</f>
        <v/>
      </c>
      <c r="K87" s="16">
        <f>IFERROR(J87/I87,"")</f>
        <v/>
      </c>
      <c r="L87" s="13">
        <f>IFERROR(D87/C87,"")</f>
        <v/>
      </c>
      <c r="M87" s="13">
        <f>IFERROR(H87/D87*1000,"")</f>
        <v/>
      </c>
      <c r="N87" s="13" t="n">
        <v>539</v>
      </c>
      <c r="O87" s="15">
        <f>IFERROR(IF(OR(N87="",ISBLANK(INDIRECT("'"&amp;$Q$2&amp;"'!N"&amp;ROW()))),"",N87-INDIRECT("'"&amp;$Q$2&amp;"'!N"&amp;ROW())),"")</f>
        <v/>
      </c>
      <c r="P87" s="2" t="n"/>
      <c r="Q87" s="2" t="n"/>
      <c r="R87" s="2" t="n"/>
      <c r="S87" s="18">
        <f>IFERROR(IF(ISBLANK(INDIRECT("'"&amp;$Q$2&amp;"'!G"&amp;ROW())),"",INDIRECT("'"&amp;$Q$2&amp;"'!G"&amp;ROW())),"")</f>
        <v/>
      </c>
      <c r="T87" s="20">
        <f>IF(OR($G87="",$S87=""),"",$G87-$S87)</f>
        <v/>
      </c>
      <c r="U87" s="18">
        <f>IFERROR(IF(ISBLANK(INDIRECT("'"&amp;$Q$2&amp;"'!K"&amp;ROW())),"",INDIRECT("'"&amp;$Q$2&amp;"'!K"&amp;ROW())),"")</f>
        <v/>
      </c>
      <c r="V87" s="20">
        <f>IF(OR($K87="",$U87=""),"",$K87-$U87)</f>
        <v/>
      </c>
      <c r="W87" s="21">
        <f>IFERROR(IF(ISBLANK(INDIRECT("'"&amp;$Q$2&amp;"'!O"&amp;ROW())),"",INDIRECT("'"&amp;$Q$2&amp;"'!O"&amp;ROW())),"")</f>
        <v/>
      </c>
      <c r="X87" s="21">
        <f>IF(OR($O87="",$W87=""),"",$O87-$W87)</f>
        <v/>
      </c>
      <c r="Y87" s="2" t="n"/>
      <c r="Z87" s="2" t="n"/>
    </row>
    <row r="88" ht="14.25" customHeight="1" s="58">
      <c r="A88" s="12" t="inlineStr">
        <is>
          <t>МАКС</t>
        </is>
      </c>
      <c r="B88" s="12" t="inlineStr">
        <is>
          <t>Красноселькуп</t>
        </is>
      </c>
      <c r="C88" s="13" t="n">
        <v>30</v>
      </c>
      <c r="D88" s="13" t="n">
        <v>7124</v>
      </c>
      <c r="E88" s="13">
        <f>IF($D88="","",IFERROR(IF(ISBLANK(INDIRECT("'"&amp;$Q$2&amp;"'!D"&amp;ROW())),"",INDIRECT("'"&amp;$Q$2&amp;"'!D"&amp;ROW())),""))</f>
        <v/>
      </c>
      <c r="F88" s="15">
        <f>IF(OR(D88="",E88=""),"",D88-E88)</f>
        <v/>
      </c>
      <c r="G88" s="16">
        <f>IFERROR(F88/E88,"")</f>
        <v/>
      </c>
      <c r="H88" s="13" t="n">
        <v>93</v>
      </c>
      <c r="I88" s="13">
        <f>IF($H88="","",IFERROR(IF(ISBLANK(INDIRECT("'"&amp;$Q$2&amp;"'!H"&amp;ROW())),"",INDIRECT("'"&amp;$Q$2&amp;"'!H"&amp;ROW())),""))</f>
        <v/>
      </c>
      <c r="J88" s="15">
        <f>IF(OR(H88="",I88=""),"",H88-I88)</f>
        <v/>
      </c>
      <c r="K88" s="16">
        <f>IFERROR(J88/I88,"")</f>
        <v/>
      </c>
      <c r="L88" s="13">
        <f>IFERROR(D88/C88,"")</f>
        <v/>
      </c>
      <c r="M88" s="13">
        <f>IFERROR(H88/D88*1000,"")</f>
        <v/>
      </c>
      <c r="N88" s="13" t="n">
        <v>455</v>
      </c>
      <c r="O88" s="15">
        <f>IFERROR(IF(OR(N88="",ISBLANK(INDIRECT("'"&amp;$Q$2&amp;"'!N"&amp;ROW()))),"",N88-INDIRECT("'"&amp;$Q$2&amp;"'!N"&amp;ROW())),"")</f>
        <v/>
      </c>
      <c r="P88" s="2" t="n"/>
      <c r="Q88" s="2" t="n"/>
      <c r="R88" s="2" t="n"/>
      <c r="S88" s="18">
        <f>IFERROR(IF(ISBLANK(INDIRECT("'"&amp;$Q$2&amp;"'!G"&amp;ROW())),"",INDIRECT("'"&amp;$Q$2&amp;"'!G"&amp;ROW())),"")</f>
        <v/>
      </c>
      <c r="T88" s="20">
        <f>IF(OR($G88="",$S88=""),"",$G88-$S88)</f>
        <v/>
      </c>
      <c r="U88" s="18">
        <f>IFERROR(IF(ISBLANK(INDIRECT("'"&amp;$Q$2&amp;"'!K"&amp;ROW())),"",INDIRECT("'"&amp;$Q$2&amp;"'!K"&amp;ROW())),"")</f>
        <v/>
      </c>
      <c r="V88" s="20">
        <f>IF(OR($K88="",$U88=""),"",$K88-$U88)</f>
        <v/>
      </c>
      <c r="W88" s="21">
        <f>IFERROR(IF(ISBLANK(INDIRECT("'"&amp;$Q$2&amp;"'!O"&amp;ROW())),"",INDIRECT("'"&amp;$Q$2&amp;"'!O"&amp;ROW())),"")</f>
        <v/>
      </c>
      <c r="X88" s="21">
        <f>IF(OR($O88="",$W88=""),"",$O88-$W88)</f>
        <v/>
      </c>
      <c r="Y88" s="2" t="n"/>
      <c r="Z88" s="2" t="n"/>
    </row>
    <row r="89" ht="14.25" customHeight="1" s="58">
      <c r="A89" s="12" t="inlineStr">
        <is>
          <t>МАКС</t>
        </is>
      </c>
      <c r="B89" s="12" t="inlineStr">
        <is>
          <t>Ямальский</t>
        </is>
      </c>
      <c r="C89" s="13" t="n">
        <v>49</v>
      </c>
      <c r="D89" s="13" t="n">
        <v>8330</v>
      </c>
      <c r="E89" s="13">
        <f>IF($D89="","",IFERROR(IF(ISBLANK(INDIRECT("'"&amp;$Q$2&amp;"'!D"&amp;ROW())),"",INDIRECT("'"&amp;$Q$2&amp;"'!D"&amp;ROW())),""))</f>
        <v/>
      </c>
      <c r="F89" s="15">
        <f>IF(OR(D89="",E89=""),"",D89-E89)</f>
        <v/>
      </c>
      <c r="G89" s="16">
        <f>IFERROR(F89/E89,"")</f>
        <v/>
      </c>
      <c r="H89" s="13" t="n">
        <v>121</v>
      </c>
      <c r="I89" s="13">
        <f>IF($H89="","",IFERROR(IF(ISBLANK(INDIRECT("'"&amp;$Q$2&amp;"'!H"&amp;ROW())),"",INDIRECT("'"&amp;$Q$2&amp;"'!H"&amp;ROW())),""))</f>
        <v/>
      </c>
      <c r="J89" s="15">
        <f>IF(OR(H89="",I89=""),"",H89-I89)</f>
        <v/>
      </c>
      <c r="K89" s="16">
        <f>IFERROR(J89/I89,"")</f>
        <v/>
      </c>
      <c r="L89" s="13">
        <f>IFERROR(D89/C89,"")</f>
        <v/>
      </c>
      <c r="M89" s="13">
        <f>IFERROR(H89/D89*1000,"")</f>
        <v/>
      </c>
      <c r="N89" s="13" t="n">
        <v>454</v>
      </c>
      <c r="O89" s="15">
        <f>IFERROR(IF(OR(N89="",ISBLANK(INDIRECT("'"&amp;$Q$2&amp;"'!N"&amp;ROW()))),"",N89-INDIRECT("'"&amp;$Q$2&amp;"'!N"&amp;ROW())),"")</f>
        <v/>
      </c>
      <c r="P89" s="2" t="n"/>
      <c r="Q89" s="2" t="n"/>
      <c r="R89" s="2" t="n"/>
      <c r="S89" s="18">
        <f>IFERROR(IF(ISBLANK(INDIRECT("'"&amp;$Q$2&amp;"'!G"&amp;ROW())),"",INDIRECT("'"&amp;$Q$2&amp;"'!G"&amp;ROW())),"")</f>
        <v/>
      </c>
      <c r="T89" s="20">
        <f>IF(OR($G89="",$S89=""),"",$G89-$S89)</f>
        <v/>
      </c>
      <c r="U89" s="18">
        <f>IFERROR(IF(ISBLANK(INDIRECT("'"&amp;$Q$2&amp;"'!K"&amp;ROW())),"",INDIRECT("'"&amp;$Q$2&amp;"'!K"&amp;ROW())),"")</f>
        <v/>
      </c>
      <c r="V89" s="20">
        <f>IF(OR($K89="",$U89=""),"",$K89-$U89)</f>
        <v/>
      </c>
      <c r="W89" s="21">
        <f>IFERROR(IF(ISBLANK(INDIRECT("'"&amp;$Q$2&amp;"'!O"&amp;ROW())),"",INDIRECT("'"&amp;$Q$2&amp;"'!O"&amp;ROW())),"")</f>
        <v/>
      </c>
      <c r="X89" s="21">
        <f>IF(OR($O89="",$W89=""),"",$O89-$W89)</f>
        <v/>
      </c>
      <c r="Y89" s="2" t="n"/>
      <c r="Z89" s="2" t="n"/>
    </row>
    <row r="90" ht="14.25" customHeight="1" s="58">
      <c r="A90" s="12" t="inlineStr">
        <is>
          <t>МАКС</t>
        </is>
      </c>
      <c r="B90" s="12" t="inlineStr">
        <is>
          <t>Шурышкарский</t>
        </is>
      </c>
      <c r="C90" s="13" t="n">
        <v>58</v>
      </c>
      <c r="D90" s="13" t="n">
        <v>31776</v>
      </c>
      <c r="E90" s="13">
        <f>IF($D90="","",IFERROR(IF(ISBLANK(INDIRECT("'"&amp;$Q$2&amp;"'!D"&amp;ROW())),"",INDIRECT("'"&amp;$Q$2&amp;"'!D"&amp;ROW())),""))</f>
        <v/>
      </c>
      <c r="F90" s="15">
        <f>IF(OR(D90="",E90=""),"",D90-E90)</f>
        <v/>
      </c>
      <c r="G90" s="16">
        <f>IFERROR(F90/E90,"")</f>
        <v/>
      </c>
      <c r="H90" s="13" t="n">
        <v>637</v>
      </c>
      <c r="I90" s="13">
        <f>IF($H90="","",IFERROR(IF(ISBLANK(INDIRECT("'"&amp;$Q$2&amp;"'!H"&amp;ROW())),"",INDIRECT("'"&amp;$Q$2&amp;"'!H"&amp;ROW())),""))</f>
        <v/>
      </c>
      <c r="J90" s="15">
        <f>IF(OR(H90="",I90=""),"",H90-I90)</f>
        <v/>
      </c>
      <c r="K90" s="16">
        <f>IFERROR(J90/I90,"")</f>
        <v/>
      </c>
      <c r="L90" s="13">
        <f>IFERROR(D90/C90,"")</f>
        <v/>
      </c>
      <c r="M90" s="13">
        <f>IFERROR(H90/D90*1000,"")</f>
        <v/>
      </c>
      <c r="N90" s="13" t="n">
        <v>1496</v>
      </c>
      <c r="O90" s="15">
        <f>IFERROR(IF(OR(N90="",ISBLANK(INDIRECT("'"&amp;$Q$2&amp;"'!N"&amp;ROW()))),"",N90-INDIRECT("'"&amp;$Q$2&amp;"'!N"&amp;ROW())),"")</f>
        <v/>
      </c>
      <c r="P90" s="2" t="n"/>
      <c r="Q90" s="2" t="n"/>
      <c r="R90" s="2" t="n"/>
      <c r="S90" s="18">
        <f>IFERROR(IF(ISBLANK(INDIRECT("'"&amp;$Q$2&amp;"'!G"&amp;ROW())),"",INDIRECT("'"&amp;$Q$2&amp;"'!G"&amp;ROW())),"")</f>
        <v/>
      </c>
      <c r="T90" s="20">
        <f>IF(OR($G90="",$S90=""),"",$G90-$S90)</f>
        <v/>
      </c>
      <c r="U90" s="18">
        <f>IFERROR(IF(ISBLANK(INDIRECT("'"&amp;$Q$2&amp;"'!K"&amp;ROW())),"",INDIRECT("'"&amp;$Q$2&amp;"'!K"&amp;ROW())),"")</f>
        <v/>
      </c>
      <c r="V90" s="20">
        <f>IF(OR($K90="",$U90=""),"",$K90-$U90)</f>
        <v/>
      </c>
      <c r="W90" s="21">
        <f>IFERROR(IF(ISBLANK(INDIRECT("'"&amp;$Q$2&amp;"'!O"&amp;ROW())),"",INDIRECT("'"&amp;$Q$2&amp;"'!O"&amp;ROW())),"")</f>
        <v/>
      </c>
      <c r="X90" s="21">
        <f>IF(OR($O90="",$W90=""),"",$O90-$W90)</f>
        <v/>
      </c>
      <c r="Y90" s="2" t="n"/>
      <c r="Z90" s="2" t="n"/>
    </row>
    <row r="91" ht="14.25" customHeight="1" s="58">
      <c r="A91" s="12" t="inlineStr">
        <is>
          <t>МАКС</t>
        </is>
      </c>
      <c r="B91" s="12" t="inlineStr">
        <is>
          <t>Муравленко</t>
        </is>
      </c>
      <c r="C91" s="13" t="n">
        <v>64</v>
      </c>
      <c r="D91" s="13" t="n">
        <v>81997</v>
      </c>
      <c r="E91" s="13">
        <f>IF($D91="","",IFERROR(IF(ISBLANK(INDIRECT("'"&amp;$Q$2&amp;"'!D"&amp;ROW())),"",INDIRECT("'"&amp;$Q$2&amp;"'!D"&amp;ROW())),""))</f>
        <v/>
      </c>
      <c r="F91" s="15">
        <f>IF(OR(D91="",E91=""),"",D91-E91)</f>
        <v/>
      </c>
      <c r="G91" s="16">
        <f>IFERROR(F91/E91,"")</f>
        <v/>
      </c>
      <c r="H91" s="13" t="n">
        <v>987</v>
      </c>
      <c r="I91" s="13">
        <f>IF($H91="","",IFERROR(IF(ISBLANK(INDIRECT("'"&amp;$Q$2&amp;"'!H"&amp;ROW())),"",INDIRECT("'"&amp;$Q$2&amp;"'!H"&amp;ROW())),""))</f>
        <v/>
      </c>
      <c r="J91" s="15">
        <f>IF(OR(H91="",I91=""),"",H91-I91)</f>
        <v/>
      </c>
      <c r="K91" s="16">
        <f>IFERROR(J91/I91,"")</f>
        <v/>
      </c>
      <c r="L91" s="13">
        <f>IFERROR(D91/C91,"")</f>
        <v/>
      </c>
      <c r="M91" s="13">
        <f>IFERROR(H91/D91*1000,"")</f>
        <v/>
      </c>
      <c r="N91" s="13" t="n">
        <v>2645</v>
      </c>
      <c r="O91" s="15">
        <f>IFERROR(IF(OR(N91="",ISBLANK(INDIRECT("'"&amp;$Q$2&amp;"'!N"&amp;ROW()))),"",N91-INDIRECT("'"&amp;$Q$2&amp;"'!N"&amp;ROW())),"")</f>
        <v/>
      </c>
      <c r="P91" s="2" t="n"/>
      <c r="Q91" s="2" t="n"/>
      <c r="R91" s="2" t="n"/>
      <c r="S91" s="18">
        <f>IFERROR(IF(ISBLANK(INDIRECT("'"&amp;$Q$2&amp;"'!G"&amp;ROW())),"",INDIRECT("'"&amp;$Q$2&amp;"'!G"&amp;ROW())),"")</f>
        <v/>
      </c>
      <c r="T91" s="20">
        <f>IF(OR($G91="",$S91=""),"",$G91-$S91)</f>
        <v/>
      </c>
      <c r="U91" s="18">
        <f>IFERROR(IF(ISBLANK(INDIRECT("'"&amp;$Q$2&amp;"'!K"&amp;ROW())),"",INDIRECT("'"&amp;$Q$2&amp;"'!K"&amp;ROW())),"")</f>
        <v/>
      </c>
      <c r="V91" s="20">
        <f>IF(OR($K91="",$U91=""),"",$K91-$U91)</f>
        <v/>
      </c>
      <c r="W91" s="21">
        <f>IFERROR(IF(ISBLANK(INDIRECT("'"&amp;$Q$2&amp;"'!O"&amp;ROW())),"",INDIRECT("'"&amp;$Q$2&amp;"'!O"&amp;ROW())),"")</f>
        <v/>
      </c>
      <c r="X91" s="21">
        <f>IF(OR($O91="",$W91=""),"",$O91-$W91)</f>
        <v/>
      </c>
      <c r="Y91" s="2" t="n"/>
      <c r="Z91" s="2" t="n"/>
    </row>
    <row r="92" ht="14.25" customHeight="1" s="58">
      <c r="A92" s="12" t="inlineStr">
        <is>
          <t>МАКС</t>
        </is>
      </c>
      <c r="B92" s="12" t="inlineStr">
        <is>
          <t>Губкинский</t>
        </is>
      </c>
      <c r="C92" s="13" t="n">
        <v>83</v>
      </c>
      <c r="D92" s="13" t="n">
        <v>41492</v>
      </c>
      <c r="E92" s="13">
        <f>IF($D92="","",IFERROR(IF(ISBLANK(INDIRECT("'"&amp;$Q$2&amp;"'!D"&amp;ROW())),"",INDIRECT("'"&amp;$Q$2&amp;"'!D"&amp;ROW())),""))</f>
        <v/>
      </c>
      <c r="F92" s="15">
        <f>IF(OR(D92="",E92=""),"",D92-E92)</f>
        <v/>
      </c>
      <c r="G92" s="16">
        <f>IFERROR(F92/E92,"")</f>
        <v/>
      </c>
      <c r="H92" s="13" t="n">
        <v>574</v>
      </c>
      <c r="I92" s="13">
        <f>IF($H92="","",IFERROR(IF(ISBLANK(INDIRECT("'"&amp;$Q$2&amp;"'!H"&amp;ROW())),"",INDIRECT("'"&amp;$Q$2&amp;"'!H"&amp;ROW())),""))</f>
        <v/>
      </c>
      <c r="J92" s="15">
        <f>IF(OR(H92="",I92=""),"",H92-I92)</f>
        <v/>
      </c>
      <c r="K92" s="16">
        <f>IFERROR(J92/I92,"")</f>
        <v/>
      </c>
      <c r="L92" s="13">
        <f>IFERROR(D92/C92,"")</f>
        <v/>
      </c>
      <c r="M92" s="13">
        <f>IFERROR(H92/D92*1000,"")</f>
        <v/>
      </c>
      <c r="N92" s="13" t="n">
        <v>1217</v>
      </c>
      <c r="O92" s="15">
        <f>IFERROR(IF(OR(N92="",ISBLANK(INDIRECT("'"&amp;$Q$2&amp;"'!N"&amp;ROW()))),"",N92-INDIRECT("'"&amp;$Q$2&amp;"'!N"&amp;ROW())),"")</f>
        <v/>
      </c>
      <c r="P92" s="2" t="n"/>
      <c r="Q92" s="2" t="n"/>
      <c r="R92" s="2" t="n"/>
      <c r="S92" s="18">
        <f>IFERROR(IF(ISBLANK(INDIRECT("'"&amp;$Q$2&amp;"'!G"&amp;ROW())),"",INDIRECT("'"&amp;$Q$2&amp;"'!G"&amp;ROW())),"")</f>
        <v/>
      </c>
      <c r="T92" s="20">
        <f>IF(OR($G92="",$S92=""),"",$G92-$S92)</f>
        <v/>
      </c>
      <c r="U92" s="18">
        <f>IFERROR(IF(ISBLANK(INDIRECT("'"&amp;$Q$2&amp;"'!K"&amp;ROW())),"",INDIRECT("'"&amp;$Q$2&amp;"'!K"&amp;ROW())),"")</f>
        <v/>
      </c>
      <c r="V92" s="20">
        <f>IF(OR($K92="",$U92=""),"",$K92-$U92)</f>
        <v/>
      </c>
      <c r="W92" s="21">
        <f>IFERROR(IF(ISBLANK(INDIRECT("'"&amp;$Q$2&amp;"'!O"&amp;ROW())),"",INDIRECT("'"&amp;$Q$2&amp;"'!O"&amp;ROW())),"")</f>
        <v/>
      </c>
      <c r="X92" s="21">
        <f>IF(OR($O92="",$W92=""),"",$O92-$W92)</f>
        <v/>
      </c>
      <c r="Y92" s="2" t="n"/>
      <c r="Z92" s="2" t="n"/>
    </row>
    <row r="93" ht="14.25" customHeight="1" s="58">
      <c r="A93" s="12" t="inlineStr">
        <is>
          <t>МАКС</t>
        </is>
      </c>
      <c r="B93" s="12" t="inlineStr">
        <is>
          <t>Не олени</t>
        </is>
      </c>
      <c r="C93" s="13" t="n">
        <v>21</v>
      </c>
      <c r="D93" s="13" t="n">
        <v>8518</v>
      </c>
      <c r="E93" s="13">
        <f>IF($D93="","",IFERROR(IF(ISBLANK(INDIRECT("'"&amp;$Q$2&amp;"'!D"&amp;ROW())),"",INDIRECT("'"&amp;$Q$2&amp;"'!D"&amp;ROW())),""))</f>
        <v/>
      </c>
      <c r="F93" s="15">
        <f>IF(OR(D93="",E93=""),"",D93-E93)</f>
        <v/>
      </c>
      <c r="G93" s="16">
        <f>IFERROR(F93/E93,"")</f>
        <v/>
      </c>
      <c r="H93" s="13" t="n">
        <v>706</v>
      </c>
      <c r="I93" s="13">
        <f>IF($H93="","",IFERROR(IF(ISBLANK(INDIRECT("'"&amp;$Q$2&amp;"'!H"&amp;ROW())),"",INDIRECT("'"&amp;$Q$2&amp;"'!H"&amp;ROW())),""))</f>
        <v/>
      </c>
      <c r="J93" s="15">
        <f>IF(OR(H93="",I93=""),"",H93-I93)</f>
        <v/>
      </c>
      <c r="K93" s="16">
        <f>IFERROR(J93/I93,"")</f>
        <v/>
      </c>
      <c r="L93" s="13">
        <f>IFERROR(D93/C93,"")</f>
        <v/>
      </c>
      <c r="M93" s="13">
        <f>IFERROR(H93/D93*1000,"")</f>
        <v/>
      </c>
      <c r="N93" s="13" t="n">
        <v>1360</v>
      </c>
      <c r="O93" s="15">
        <f>IFERROR(IF(OR(N93="",ISBLANK(INDIRECT("'"&amp;$Q$2&amp;"'!N"&amp;ROW()))),"",N93-INDIRECT("'"&amp;$Q$2&amp;"'!N"&amp;ROW())),"")</f>
        <v/>
      </c>
      <c r="P93" s="2" t="n"/>
      <c r="Q93" s="2" t="n"/>
      <c r="R93" s="2" t="n"/>
      <c r="S93" s="18">
        <f>IFERROR(IF(ISBLANK(INDIRECT("'"&amp;$Q$2&amp;"'!G"&amp;ROW())),"",INDIRECT("'"&amp;$Q$2&amp;"'!G"&amp;ROW())),"")</f>
        <v/>
      </c>
      <c r="T93" s="20">
        <f>IF(OR($G93="",$S93=""),"",$G93-$S93)</f>
        <v/>
      </c>
      <c r="U93" s="18">
        <f>IFERROR(IF(ISBLANK(INDIRECT("'"&amp;$Q$2&amp;"'!K"&amp;ROW())),"",INDIRECT("'"&amp;$Q$2&amp;"'!K"&amp;ROW())),"")</f>
        <v/>
      </c>
      <c r="V93" s="20">
        <f>IF(OR($K93="",$U93=""),"",$K93-$U93)</f>
        <v/>
      </c>
      <c r="W93" s="21">
        <f>IFERROR(IF(ISBLANK(INDIRECT("'"&amp;$Q$2&amp;"'!O"&amp;ROW())),"",INDIRECT("'"&amp;$Q$2&amp;"'!O"&amp;ROW())),"")</f>
        <v/>
      </c>
      <c r="X93" s="21">
        <f>IF(OR($O93="",$W93=""),"",$O93-$W93)</f>
        <v/>
      </c>
      <c r="Y93" s="2" t="n"/>
      <c r="Z93" s="2" t="n"/>
    </row>
    <row r="94" ht="14.25" customHeight="1" s="58">
      <c r="A94" s="12" t="inlineStr">
        <is>
          <t>МАКС</t>
        </is>
      </c>
      <c r="B94" s="12" t="inlineStr">
        <is>
          <t>Ямальский меридиан</t>
        </is>
      </c>
      <c r="C94" s="13" t="n">
        <v>7</v>
      </c>
      <c r="D94" s="13" t="n">
        <v>781</v>
      </c>
      <c r="E94" s="13">
        <f>IF($D94="","",IFERROR(IF(ISBLANK(INDIRECT("'"&amp;$Q$2&amp;"'!D"&amp;ROW())),"",INDIRECT("'"&amp;$Q$2&amp;"'!D"&amp;ROW())),""))</f>
        <v/>
      </c>
      <c r="F94" s="15">
        <f>IF(OR(D94="",E94=""),"",D94-E94)</f>
        <v/>
      </c>
      <c r="G94" s="16">
        <f>IFERROR(F94/E94,"")</f>
        <v/>
      </c>
      <c r="H94" s="13" t="n">
        <v>48</v>
      </c>
      <c r="I94" s="13">
        <f>IF($H94="","",IFERROR(IF(ISBLANK(INDIRECT("'"&amp;$Q$2&amp;"'!H"&amp;ROW())),"",INDIRECT("'"&amp;$Q$2&amp;"'!H"&amp;ROW())),""))</f>
        <v/>
      </c>
      <c r="J94" s="15">
        <f>IF(OR(H94="",I94=""),"",H94-I94)</f>
        <v/>
      </c>
      <c r="K94" s="16">
        <f>IFERROR(J94/I94,"")</f>
        <v/>
      </c>
      <c r="L94" s="13">
        <f>IFERROR(D94/C94,"")</f>
        <v/>
      </c>
      <c r="M94" s="13">
        <f>IFERROR(H94/D94*1000,"")</f>
        <v/>
      </c>
      <c r="N94" s="13" t="n">
        <v>233</v>
      </c>
      <c r="O94" s="15">
        <f>IFERROR(IF(OR(N94="",ISBLANK(INDIRECT("'"&amp;$Q$2&amp;"'!N"&amp;ROW()))),"",N94-INDIRECT("'"&amp;$Q$2&amp;"'!N"&amp;ROW())),"")</f>
        <v/>
      </c>
      <c r="P94" s="2" t="n"/>
      <c r="Q94" s="2" t="n"/>
      <c r="R94" s="2" t="n"/>
      <c r="S94" s="18">
        <f>IFERROR(IF(ISBLANK(INDIRECT("'"&amp;$Q$2&amp;"'!G"&amp;ROW())),"",INDIRECT("'"&amp;$Q$2&amp;"'!G"&amp;ROW())),"")</f>
        <v/>
      </c>
      <c r="T94" s="20">
        <f>IF(OR($G94="",$S94=""),"",$G94-$S94)</f>
        <v/>
      </c>
      <c r="U94" s="18">
        <f>IFERROR(IF(ISBLANK(INDIRECT("'"&amp;$Q$2&amp;"'!K"&amp;ROW())),"",INDIRECT("'"&amp;$Q$2&amp;"'!K"&amp;ROW())),"")</f>
        <v/>
      </c>
      <c r="V94" s="20">
        <f>IF(OR($K94="",$U94=""),"",$K94-$U94)</f>
        <v/>
      </c>
      <c r="W94" s="21">
        <f>IFERROR(IF(ISBLANK(INDIRECT("'"&amp;$Q$2&amp;"'!O"&amp;ROW())),"",INDIRECT("'"&amp;$Q$2&amp;"'!O"&amp;ROW())),"")</f>
        <v/>
      </c>
      <c r="X94" s="21">
        <f>IF(OR($O94="",$W94=""),"",$O94-$W94)</f>
        <v/>
      </c>
      <c r="Y94" s="2" t="n"/>
      <c r="Z94" s="2" t="n"/>
    </row>
    <row r="95" ht="14.25" customHeight="1" s="58">
      <c r="A95" s="12" t="inlineStr">
        <is>
          <t>МАКС</t>
        </is>
      </c>
      <c r="B95" s="12" t="inlineStr">
        <is>
          <t>Морошка</t>
        </is>
      </c>
      <c r="C95" s="13" t="n">
        <v>9</v>
      </c>
      <c r="D95" s="13" t="n">
        <v>4046</v>
      </c>
      <c r="E95" s="13">
        <f>IF($D95="","",IFERROR(IF(ISBLANK(INDIRECT("'"&amp;$Q$2&amp;"'!D"&amp;ROW())),"",INDIRECT("'"&amp;$Q$2&amp;"'!D"&amp;ROW())),""))</f>
        <v/>
      </c>
      <c r="F95" s="15">
        <f>IF(OR(D95="",E95=""),"",D95-E95)</f>
        <v/>
      </c>
      <c r="G95" s="16">
        <f>IFERROR(F95/E95,"")</f>
        <v/>
      </c>
      <c r="H95" s="13" t="n">
        <v>107</v>
      </c>
      <c r="I95" s="13">
        <f>IF($H95="","",IFERROR(IF(ISBLANK(INDIRECT("'"&amp;$Q$2&amp;"'!H"&amp;ROW())),"",INDIRECT("'"&amp;$Q$2&amp;"'!H"&amp;ROW())),""))</f>
        <v/>
      </c>
      <c r="J95" s="15">
        <f>IF(OR(H95="",I95=""),"",H95-I95)</f>
        <v/>
      </c>
      <c r="K95" s="16">
        <f>IFERROR(J95/I95,"")</f>
        <v/>
      </c>
      <c r="L95" s="13">
        <f>IFERROR(D95/C95,"")</f>
        <v/>
      </c>
      <c r="M95" s="13">
        <f>IFERROR(H95/D95*1000,"")</f>
        <v/>
      </c>
      <c r="N95" s="13" t="n">
        <v>346</v>
      </c>
      <c r="O95" s="15">
        <f>IFERROR(IF(OR(N95="",ISBLANK(INDIRECT("'"&amp;$Q$2&amp;"'!N"&amp;ROW()))),"",N95-INDIRECT("'"&amp;$Q$2&amp;"'!N"&amp;ROW())),"")</f>
        <v/>
      </c>
      <c r="P95" s="2" t="n"/>
      <c r="Q95" s="2" t="n"/>
      <c r="R95" s="2" t="n"/>
      <c r="S95" s="18">
        <f>IFERROR(IF(ISBLANK(INDIRECT("'"&amp;$Q$2&amp;"'!G"&amp;ROW())),"",INDIRECT("'"&amp;$Q$2&amp;"'!G"&amp;ROW())),"")</f>
        <v/>
      </c>
      <c r="T95" s="20">
        <f>IF(OR($G95="",$S95=""),"",$G95-$S95)</f>
        <v/>
      </c>
      <c r="U95" s="18">
        <f>IFERROR(IF(ISBLANK(INDIRECT("'"&amp;$Q$2&amp;"'!K"&amp;ROW())),"",INDIRECT("'"&amp;$Q$2&amp;"'!K"&amp;ROW())),"")</f>
        <v/>
      </c>
      <c r="V95" s="20">
        <f>IF(OR($K95="",$U95=""),"",$K95-$U95)</f>
        <v/>
      </c>
      <c r="W95" s="21">
        <f>IFERROR(IF(ISBLANK(INDIRECT("'"&amp;$Q$2&amp;"'!O"&amp;ROW())),"",INDIRECT("'"&amp;$Q$2&amp;"'!O"&amp;ROW())),"")</f>
        <v/>
      </c>
      <c r="X95" s="21">
        <f>IF(OR($O95="",$W95=""),"",$O95-$W95)</f>
        <v/>
      </c>
      <c r="Y95" s="2" t="n"/>
      <c r="Z95" s="2" t="n"/>
    </row>
    <row r="96" ht="14.25" customHeight="1" s="58">
      <c r="A96" s="25" t="n"/>
      <c r="B96" s="25" t="inlineStr">
        <is>
          <t>Итого МАКС</t>
        </is>
      </c>
      <c r="C96" s="26">
        <f>SUM(C75:C95)</f>
        <v/>
      </c>
      <c r="D96" s="26">
        <f>SUM(D75:D95)</f>
        <v/>
      </c>
      <c r="E96" s="26">
        <f>SUM(E75:E95)</f>
        <v/>
      </c>
      <c r="F96" s="27">
        <f>SUM(F75:F95)</f>
        <v/>
      </c>
      <c r="G96" s="28">
        <f>IF(C96=0,"",IFERROR(F96/E96,""))</f>
        <v/>
      </c>
      <c r="H96" s="26">
        <f>SUM(H75:H95)</f>
        <v/>
      </c>
      <c r="I96" s="26">
        <f>SUM(I75:I95)</f>
        <v/>
      </c>
      <c r="J96" s="27">
        <f>SUM(J75:J95)</f>
        <v/>
      </c>
      <c r="K96" s="28">
        <f>IF(C96=0,"",IFERROR(J96/I96,""))</f>
        <v/>
      </c>
      <c r="L96" s="26">
        <f>IFERROR(D96/C96,"")</f>
        <v/>
      </c>
      <c r="M96" s="26">
        <f>IFERROR(H96/D96*1000,"")</f>
        <v/>
      </c>
      <c r="N96" s="26">
        <f>SUM(N75:N95)</f>
        <v/>
      </c>
      <c r="O96" s="27">
        <f>SUM(O75:O95)</f>
        <v/>
      </c>
      <c r="P96" s="2" t="n"/>
      <c r="Q96" s="2" t="n"/>
      <c r="R96" s="2" t="n"/>
      <c r="S96" s="29">
        <f>IFERROR(IF(ISBLANK(INDIRECT("'"&amp;$Q$2&amp;"'!G"&amp;ROW())),"",INDIRECT("'"&amp;$Q$2&amp;"'!G"&amp;ROW())),"")</f>
        <v/>
      </c>
      <c r="T96" s="30">
        <f>IF(OR($G96="",$S96=""),"",$G96-$S96)</f>
        <v/>
      </c>
      <c r="U96" s="29">
        <f>IFERROR(IF(ISBLANK(INDIRECT("'"&amp;$Q$2&amp;"'!K"&amp;ROW())),"",INDIRECT("'"&amp;$Q$2&amp;"'!K"&amp;ROW())),"")</f>
        <v/>
      </c>
      <c r="V96" s="30">
        <f>IF(OR($K96="",$U96=""),"",$K96-$U96)</f>
        <v/>
      </c>
      <c r="W96" s="31">
        <f>IFERROR(IF(ISBLANK(INDIRECT("'"&amp;$Q$2&amp;"'!O"&amp;ROW())),"",INDIRECT("'"&amp;$Q$2&amp;"'!O"&amp;ROW())),"")</f>
        <v/>
      </c>
      <c r="X96" s="31">
        <f>IF(OR(C96=0,$O96="",$W96=""),"",$O96-$W96)</f>
        <v/>
      </c>
      <c r="Y96" s="2" t="n"/>
      <c r="Z96" s="2" t="n"/>
    </row>
    <row r="97" ht="14.25" customHeight="1" s="58">
      <c r="A97" s="39" t="n"/>
      <c r="B97" s="39" t="inlineStr">
        <is>
          <t>ИТОГО по холдингу</t>
        </is>
      </c>
      <c r="C97" s="40">
        <f>C30+C51+C74+C96</f>
        <v/>
      </c>
      <c r="D97" s="40">
        <f>D30+D51+D74+D96</f>
        <v/>
      </c>
      <c r="E97" s="40">
        <f>E30+E51+E74+E96</f>
        <v/>
      </c>
      <c r="F97" s="41">
        <f>F30+F51+F74+F96</f>
        <v/>
      </c>
      <c r="G97" s="42">
        <f>IF(OR(C30=0,C51=0,C74=0,C96=0),"",IFERROR(F97/E97,""))</f>
        <v/>
      </c>
      <c r="H97" s="40">
        <f>H30+H51+H74+H96</f>
        <v/>
      </c>
      <c r="I97" s="40">
        <f>I30+I51+I74+I96</f>
        <v/>
      </c>
      <c r="J97" s="41">
        <f>J30+J51+J74+J96</f>
        <v/>
      </c>
      <c r="K97" s="42">
        <f>IF(OR(C30=0,C51=0,C74=0,C96=0),"",IFERROR(J97/I97,""))</f>
        <v/>
      </c>
      <c r="L97" s="40">
        <f>IFERROR(D97/C97,"")</f>
        <v/>
      </c>
      <c r="M97" s="40">
        <f>IFERROR(H97/D97*1000,"")</f>
        <v/>
      </c>
      <c r="N97" s="40">
        <f>N30+N51+N74+N96</f>
        <v/>
      </c>
      <c r="O97" s="41">
        <f>O30+O51+O74+O96</f>
        <v/>
      </c>
      <c r="P97" s="2" t="n"/>
      <c r="Q97" s="2" t="n"/>
      <c r="R97" s="2" t="n"/>
      <c r="S97" s="29">
        <f>IFERROR(IF(ISBLANK(INDIRECT("'"&amp;$Q$2&amp;"'!G"&amp;ROW())),"",INDIRECT("'"&amp;$Q$2&amp;"'!G"&amp;ROW())),"")</f>
        <v/>
      </c>
      <c r="T97" s="30">
        <f>IF(OR($G97="",$S97=""),"",$G97-$S97)</f>
        <v/>
      </c>
      <c r="U97" s="29">
        <f>IFERROR(IF(ISBLANK(INDIRECT("'"&amp;$Q$2&amp;"'!K"&amp;ROW())),"",INDIRECT("'"&amp;$Q$2&amp;"'!K"&amp;ROW())),"")</f>
        <v/>
      </c>
      <c r="V97" s="30">
        <f>IF(OR($K97="",$U97=""),"",$K97-$U97)</f>
        <v/>
      </c>
      <c r="W97" s="31">
        <f>IFERROR(IF(ISBLANK(INDIRECT("'"&amp;$Q$2&amp;"'!O"&amp;ROW())),"",INDIRECT("'"&amp;$Q$2&amp;"'!O"&amp;ROW())),"")</f>
        <v/>
      </c>
      <c r="X97" s="31">
        <f>IF(OR(C30=0,C51=0,C74=0,C96=0),"",$O97-$W97)</f>
        <v/>
      </c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conditionalFormatting sqref="G3:G97">
    <cfRule type="expression" priority="1" dxfId="3" stopIfTrue="1">
      <formula>AND(ISNUMBER(G3),G3&gt;=0.2)</formula>
    </cfRule>
    <cfRule type="expression" priority="2" dxfId="2" stopIfTrue="1">
      <formula>AND(ISNUMBER(G3),G3&lt;=-0.2)</formula>
    </cfRule>
    <cfRule type="expression" priority="3" dxfId="1" stopIfTrue="1">
      <formula>AND(ISNUMBER(G3),G3&gt;0)</formula>
    </cfRule>
    <cfRule type="expression" priority="4" dxfId="0" stopIfTrue="1">
      <formula>AND(ISNUMBER(G3),G3&lt;0)</formula>
    </cfRule>
  </conditionalFormatting>
  <conditionalFormatting sqref="K3:K97">
    <cfRule type="expression" priority="5" dxfId="3" stopIfTrue="1">
      <formula>AND(ISNUMBER(K3),K3&gt;=0.2)</formula>
    </cfRule>
    <cfRule type="expression" priority="6" dxfId="2" stopIfTrue="1">
      <formula>AND(ISNUMBER(K3),K3&lt;=-0.2)</formula>
    </cfRule>
    <cfRule type="expression" priority="7" dxfId="1" stopIfTrue="1">
      <formula>AND(ISNUMBER(K3),K3&gt;0)</formula>
    </cfRule>
    <cfRule type="expression" priority="8" dxfId="0" stopIfTrue="1">
      <formula>AND(ISNUMBER(K3),K3&lt;0)</formula>
    </cfRule>
  </conditionalFormatting>
  <conditionalFormatting sqref="T3:T97">
    <cfRule type="expression" priority="9" dxfId="3" stopIfTrue="1">
      <formula>AND(ISNUMBER(T3),T3&gt;=0.2)</formula>
    </cfRule>
    <cfRule type="expression" priority="10" dxfId="2" stopIfTrue="1">
      <formula>AND(ISNUMBER(T3),T3&lt;=-0.2)</formula>
    </cfRule>
    <cfRule type="expression" priority="11" dxfId="1" stopIfTrue="1">
      <formula>AND(ISNUMBER(T3),T3&gt;0)</formula>
    </cfRule>
    <cfRule type="expression" priority="12" dxfId="0" stopIfTrue="1">
      <formula>AND(ISNUMBER(T3),T3&lt;0)</formula>
    </cfRule>
  </conditionalFormatting>
  <conditionalFormatting sqref="V3:V97">
    <cfRule type="expression" priority="13" dxfId="3" stopIfTrue="1">
      <formula>AND(ISNUMBER(V3),V3&gt;=0.2)</formula>
    </cfRule>
    <cfRule type="expression" priority="14" dxfId="2" stopIfTrue="1">
      <formula>AND(ISNUMBER(V3),V3&lt;=-0.2)</formula>
    </cfRule>
    <cfRule type="expression" priority="15" dxfId="1" stopIfTrue="1">
      <formula>AND(ISNUMBER(V3),V3&gt;0)</formula>
    </cfRule>
    <cfRule type="expression" priority="16" dxfId="0" stopIfTrue="1">
      <formula>AND(ISNUMBER(V3),V3&lt;0)</formula>
    </cfRule>
  </conditionalFormatting>
  <conditionalFormatting sqref="F3:F97">
    <cfRule type="expression" priority="17" dxfId="1" stopIfTrue="1">
      <formula>AND(ISNUMBER(F3),F3&gt;0)</formula>
    </cfRule>
    <cfRule type="expression" priority="18" dxfId="0" stopIfTrue="1">
      <formula>AND(ISNUMBER(F3),F3&lt;0)</formula>
    </cfRule>
  </conditionalFormatting>
  <conditionalFormatting sqref="J3:J97">
    <cfRule type="expression" priority="19" dxfId="1" stopIfTrue="1">
      <formula>AND(ISNUMBER(J3),J3&gt;0)</formula>
    </cfRule>
    <cfRule type="expression" priority="20" dxfId="0" stopIfTrue="1">
      <formula>AND(ISNUMBER(J3),J3&lt;0)</formula>
    </cfRule>
  </conditionalFormatting>
  <conditionalFormatting sqref="O3:O97">
    <cfRule type="expression" priority="21" dxfId="1" stopIfTrue="1">
      <formula>AND(ISNUMBER(O3),O3&gt;0)</formula>
    </cfRule>
    <cfRule type="expression" priority="22" dxfId="0" stopIfTrue="1">
      <formula>AND(ISNUMBER(O3),O3&lt;0)</formula>
    </cfRule>
  </conditionalFormatting>
  <conditionalFormatting sqref="X3:X97">
    <cfRule type="expression" priority="23" dxfId="1" stopIfTrue="1">
      <formula>AND(ISNUMBER(X3),X3&gt;0)</formula>
    </cfRule>
    <cfRule type="expression" priority="24" dxfId="0" stopIfTrue="1">
      <formula>AND(ISNUMBER(X3),X3&lt;0)</formula>
    </cfRule>
  </conditionalFormatting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zoomScale="36" workbookViewId="0">
      <selection activeCell="A1" sqref="A1"/>
    </sheetView>
  </sheetViews>
  <sheetFormatPr baseColWidth="8" defaultColWidth="14.3984375" defaultRowHeight="15" customHeight="1"/>
  <cols>
    <col width="15" customWidth="1" style="58" min="1" max="1"/>
    <col width="22" customWidth="1" style="58" min="2" max="2"/>
    <col width="11" customWidth="1" style="58" min="3" max="3"/>
    <col width="12" customWidth="1" style="58" min="4" max="4"/>
    <col width="13" customWidth="1" style="58" min="5" max="6"/>
    <col width="9" customWidth="1" style="58" min="7" max="7"/>
    <col width="10" customWidth="1" style="58" min="8" max="8"/>
    <col width="12" customWidth="1" style="58" min="9" max="9"/>
    <col width="11" customWidth="1" style="58" min="10" max="10"/>
    <col width="9" customWidth="1" style="58" min="11" max="11"/>
    <col width="14" customWidth="1" style="58" min="12" max="13"/>
    <col width="12" customWidth="1" style="58" min="14" max="15"/>
    <col width="8.73046875" customWidth="1" style="58" min="16" max="16"/>
    <col width="46" customWidth="1" style="58" min="17" max="17"/>
    <col width="8.73046875" customWidth="1" style="58" min="18" max="18"/>
    <col width="15" customWidth="1" style="58" min="19" max="24"/>
  </cols>
  <sheetData>
    <row r="1" ht="17.25" customHeight="1" s="58">
      <c r="A1" s="1" t="inlineStr">
        <is>
          <t>Недельный съём · 21–27.09.2026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" t="inlineStr">
        <is>
          <t>Лист прошлой недели (питает колонки E, I, O):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2" customHeight="1" s="58">
      <c r="A2" s="5" t="inlineStr">
        <is>
          <t>Площадка</t>
        </is>
      </c>
      <c r="B2" s="5" t="inlineStr">
        <is>
          <t>Ресурс</t>
        </is>
      </c>
      <c r="C2" s="5" t="inlineStr">
        <is>
          <t>Публикаций</t>
        </is>
      </c>
      <c r="D2" s="5" t="inlineStr">
        <is>
          <t>Просмотры</t>
        </is>
      </c>
      <c r="E2" s="5" t="inlineStr">
        <is>
          <t>Просмотры
пред. неделя</t>
        </is>
      </c>
      <c r="F2" s="5" t="inlineStr">
        <is>
          <t>Δ просмотров</t>
        </is>
      </c>
      <c r="G2" s="5" t="inlineStr">
        <is>
          <t>Δ %</t>
        </is>
      </c>
      <c r="H2" s="5" t="inlineStr">
        <is>
          <t>Лайки</t>
        </is>
      </c>
      <c r="I2" s="5" t="inlineStr">
        <is>
          <t>Лайки
пред. неделя</t>
        </is>
      </c>
      <c r="J2" s="5" t="inlineStr">
        <is>
          <t>Δ лайков</t>
        </is>
      </c>
      <c r="K2" s="5" t="inlineStr">
        <is>
          <t>Δ %</t>
        </is>
      </c>
      <c r="L2" s="5" t="inlineStr">
        <is>
          <t>Ср. просмотров
на пост</t>
        </is>
      </c>
      <c r="M2" s="5" t="inlineStr">
        <is>
          <t>Лайков на 1000
просмотров</t>
        </is>
      </c>
      <c r="N2" s="5" t="inlineStr">
        <is>
          <t>Подписчики</t>
        </is>
      </c>
      <c r="O2" s="5" t="inlineStr">
        <is>
          <t>Прирост
подписчиков</t>
        </is>
      </c>
      <c r="P2" s="2" t="n"/>
      <c r="Q2" s="9" t="inlineStr">
        <is>
          <t>14-20.09</t>
        </is>
      </c>
      <c r="R2" s="2" t="n"/>
      <c r="S2" s="10" t="inlineStr">
        <is>
          <t>Δ % просмотров
пред. неделя</t>
        </is>
      </c>
      <c r="T2" s="10" t="inlineStr">
        <is>
          <t>Ускорение
просмотров, п.п.</t>
        </is>
      </c>
      <c r="U2" s="10" t="inlineStr">
        <is>
          <t>Δ % лайков
пред. неделя</t>
        </is>
      </c>
      <c r="V2" s="10" t="inlineStr">
        <is>
          <t>Ускорение
лайков, п.п.</t>
        </is>
      </c>
      <c r="W2" s="10" t="inlineStr">
        <is>
          <t>Прирост подписч.
пред. неделя</t>
        </is>
      </c>
      <c r="X2" s="10" t="inlineStr">
        <is>
          <t>Ускорение
подписчиков, чел.</t>
        </is>
      </c>
      <c r="Y2" s="2" t="n"/>
      <c r="Z2" s="2" t="n"/>
    </row>
    <row r="3" ht="14.25" customHeight="1" s="58">
      <c r="A3" s="12" t="inlineStr">
        <is>
          <t>ВКонтакте</t>
        </is>
      </c>
      <c r="B3" s="12" t="inlineStr">
        <is>
          <t>Ямал-Медиа</t>
        </is>
      </c>
      <c r="C3" s="13" t="n">
        <v>114</v>
      </c>
      <c r="D3" s="13" t="n">
        <v>1913477</v>
      </c>
      <c r="E3" s="13">
        <f>IF($D3="","",IFERROR(IF(ISBLANK(INDIRECT("'"&amp;$Q$2&amp;"'!D"&amp;ROW())),"",INDIRECT("'"&amp;$Q$2&amp;"'!D"&amp;ROW())),""))</f>
        <v/>
      </c>
      <c r="F3" s="15">
        <f>IF(OR(D3="",E3=""),"",D3-E3)</f>
        <v/>
      </c>
      <c r="G3" s="16">
        <f>IFERROR(F3/E3,"")</f>
        <v/>
      </c>
      <c r="H3" s="13" t="n">
        <v>4474</v>
      </c>
      <c r="I3" s="13">
        <f>IF($H3="","",IFERROR(IF(ISBLANK(INDIRECT("'"&amp;$Q$2&amp;"'!H"&amp;ROW())),"",INDIRECT("'"&amp;$Q$2&amp;"'!H"&amp;ROW())),""))</f>
        <v/>
      </c>
      <c r="J3" s="15">
        <f>IF(OR(H3="",I3=""),"",H3-I3)</f>
        <v/>
      </c>
      <c r="K3" s="16">
        <f>IFERROR(J3/I3,"")</f>
        <v/>
      </c>
      <c r="L3" s="13">
        <f>IFERROR(D3/C3,"")</f>
        <v/>
      </c>
      <c r="M3" s="13">
        <f>IFERROR(H3/D3*1000,"")</f>
        <v/>
      </c>
      <c r="N3" s="13" t="n">
        <v>89358</v>
      </c>
      <c r="O3" s="15">
        <f>IFERROR(IF(OR(N3="",ISBLANK(INDIRECT("'"&amp;$Q$2&amp;"'!N"&amp;ROW()))),"",N3-INDIRECT("'"&amp;$Q$2&amp;"'!N"&amp;ROW())),"")</f>
        <v/>
      </c>
      <c r="P3" s="2" t="n"/>
      <c r="Q3" s="8" t="inlineStr">
        <is>
          <t>Колонки E и I берут прошлую неделю только по строкам, снятым в текущей — сравнение идёт по сопоставимому периметру.</t>
        </is>
      </c>
      <c r="R3" s="2" t="n"/>
      <c r="S3" s="18">
        <f>IFERROR(IF(ISBLANK(INDIRECT("'"&amp;$Q$2&amp;"'!G"&amp;ROW())),"",INDIRECT("'"&amp;$Q$2&amp;"'!G"&amp;ROW())),"")</f>
        <v/>
      </c>
      <c r="T3" s="20">
        <f>IF(OR($G3="",$S3=""),"",$G3-$S3)</f>
        <v/>
      </c>
      <c r="U3" s="18">
        <f>IFERROR(IF(ISBLANK(INDIRECT("'"&amp;$Q$2&amp;"'!K"&amp;ROW())),"",INDIRECT("'"&amp;$Q$2&amp;"'!K"&amp;ROW())),"")</f>
        <v/>
      </c>
      <c r="V3" s="20">
        <f>IF(OR($K3="",$U3=""),"",$K3-$U3)</f>
        <v/>
      </c>
      <c r="W3" s="21">
        <f>IFERROR(IF(ISBLANK(INDIRECT("'"&amp;$Q$2&amp;"'!O"&amp;ROW())),"",INDIRECT("'"&amp;$Q$2&amp;"'!O"&amp;ROW())),"")</f>
        <v/>
      </c>
      <c r="X3" s="21">
        <f>IF(OR($O3="",$W3=""),"",$O3-$W3)</f>
        <v/>
      </c>
      <c r="Y3" s="2" t="n"/>
      <c r="Z3" s="2" t="n"/>
    </row>
    <row r="4" ht="14.25" customHeight="1" s="58">
      <c r="A4" s="12" t="inlineStr">
        <is>
          <t>ВКонтакте</t>
        </is>
      </c>
      <c r="B4" s="12" t="inlineStr">
        <is>
          <t>Север-Пресс</t>
        </is>
      </c>
      <c r="C4" s="13" t="n">
        <v>129</v>
      </c>
      <c r="D4" s="13" t="n">
        <v>126444</v>
      </c>
      <c r="E4" s="13">
        <f>IF($D4="","",IFERROR(IF(ISBLANK(INDIRECT("'"&amp;$Q$2&amp;"'!D"&amp;ROW())),"",INDIRECT("'"&amp;$Q$2&amp;"'!D"&amp;ROW())),""))</f>
        <v/>
      </c>
      <c r="F4" s="15">
        <f>IF(OR(D4="",E4=""),"",D4-E4)</f>
        <v/>
      </c>
      <c r="G4" s="16">
        <f>IFERROR(F4/E4,"")</f>
        <v/>
      </c>
      <c r="H4" s="13" t="n">
        <v>528</v>
      </c>
      <c r="I4" s="13">
        <f>IF($H4="","",IFERROR(IF(ISBLANK(INDIRECT("'"&amp;$Q$2&amp;"'!H"&amp;ROW())),"",INDIRECT("'"&amp;$Q$2&amp;"'!H"&amp;ROW())),""))</f>
        <v/>
      </c>
      <c r="J4" s="15">
        <f>IF(OR(H4="",I4=""),"",H4-I4)</f>
        <v/>
      </c>
      <c r="K4" s="16">
        <f>IFERROR(J4/I4,"")</f>
        <v/>
      </c>
      <c r="L4" s="13">
        <f>IFERROR(D4/C4,"")</f>
        <v/>
      </c>
      <c r="M4" s="13">
        <f>IFERROR(H4/D4*1000,"")</f>
        <v/>
      </c>
      <c r="N4" s="13" t="n">
        <v>26260</v>
      </c>
      <c r="O4" s="15">
        <f>IFERROR(IF(OR(N4="",ISBLANK(INDIRECT("'"&amp;$Q$2&amp;"'!N"&amp;ROW()))),"",N4-INDIRECT("'"&amp;$Q$2&amp;"'!N"&amp;ROW())),"")</f>
        <v/>
      </c>
      <c r="P4" s="2" t="n"/>
      <c r="Q4" s="22" t="inlineStr">
        <is>
          <t>ОК: «просмотры» = VIEWS листа Topics, лайки = сумма LIKES листа Actions (по группе, как в прошлых съёмах).</t>
        </is>
      </c>
      <c r="R4" s="2" t="n"/>
      <c r="S4" s="18">
        <f>IFERROR(IF(ISBLANK(INDIRECT("'"&amp;$Q$2&amp;"'!G"&amp;ROW())),"",INDIRECT("'"&amp;$Q$2&amp;"'!G"&amp;ROW())),"")</f>
        <v/>
      </c>
      <c r="T4" s="20">
        <f>IF(OR($G4="",$S4=""),"",$G4-$S4)</f>
        <v/>
      </c>
      <c r="U4" s="18">
        <f>IFERROR(IF(ISBLANK(INDIRECT("'"&amp;$Q$2&amp;"'!K"&amp;ROW())),"",INDIRECT("'"&amp;$Q$2&amp;"'!K"&amp;ROW())),"")</f>
        <v/>
      </c>
      <c r="V4" s="20">
        <f>IF(OR($K4="",$U4=""),"",$K4-$U4)</f>
        <v/>
      </c>
      <c r="W4" s="21">
        <f>IFERROR(IF(ISBLANK(INDIRECT("'"&amp;$Q$2&amp;"'!O"&amp;ROW())),"",INDIRECT("'"&amp;$Q$2&amp;"'!O"&amp;ROW())),"")</f>
        <v/>
      </c>
      <c r="X4" s="21">
        <f>IF(OR($O4="",$W4=""),"",$O4-$W4)</f>
        <v/>
      </c>
      <c r="Y4" s="2" t="n"/>
      <c r="Z4" s="2" t="n"/>
    </row>
    <row r="5" ht="14.25" customHeight="1" s="58">
      <c r="A5" s="12" t="inlineStr">
        <is>
          <t>ВКонтакте</t>
        </is>
      </c>
      <c r="B5" s="12" t="inlineStr">
        <is>
          <t>Лента СП</t>
        </is>
      </c>
      <c r="C5" s="13" t="n">
        <v>243</v>
      </c>
      <c r="D5" s="13" t="n">
        <v>3977</v>
      </c>
      <c r="E5" s="13">
        <f>IF($D5="","",IFERROR(IF(ISBLANK(INDIRECT("'"&amp;$Q$2&amp;"'!D"&amp;ROW())),"",INDIRECT("'"&amp;$Q$2&amp;"'!D"&amp;ROW())),""))</f>
        <v/>
      </c>
      <c r="F5" s="15">
        <f>IF(OR(D5="",E5=""),"",D5-E5)</f>
        <v/>
      </c>
      <c r="G5" s="16">
        <f>IFERROR(F5/E5,"")</f>
        <v/>
      </c>
      <c r="H5" s="13" t="n">
        <v>12</v>
      </c>
      <c r="I5" s="13">
        <f>IF($H5="","",IFERROR(IF(ISBLANK(INDIRECT("'"&amp;$Q$2&amp;"'!H"&amp;ROW())),"",INDIRECT("'"&amp;$Q$2&amp;"'!H"&amp;ROW())),""))</f>
        <v/>
      </c>
      <c r="J5" s="15">
        <f>IF(OR(H5="",I5=""),"",H5-I5)</f>
        <v/>
      </c>
      <c r="K5" s="16">
        <f>IFERROR(J5/I5,"")</f>
        <v/>
      </c>
      <c r="L5" s="13">
        <f>IFERROR(D5/C5,"")</f>
        <v/>
      </c>
      <c r="M5" s="13">
        <f>IFERROR(H5/D5*1000,"")</f>
        <v/>
      </c>
      <c r="N5" s="13" t="n">
        <v>3500</v>
      </c>
      <c r="O5" s="15">
        <f>IFERROR(IF(OR(N5="",ISBLANK(INDIRECT("'"&amp;$Q$2&amp;"'!N"&amp;ROW()))),"",N5-INDIRECT("'"&amp;$Q$2&amp;"'!N"&amp;ROW())),"")</f>
        <v/>
      </c>
      <c r="P5" s="2" t="n"/>
      <c r="Q5" s="2" t="n"/>
      <c r="R5" s="2" t="n"/>
      <c r="S5" s="18">
        <f>IFERROR(IF(ISBLANK(INDIRECT("'"&amp;$Q$2&amp;"'!G"&amp;ROW())),"",INDIRECT("'"&amp;$Q$2&amp;"'!G"&amp;ROW())),"")</f>
        <v/>
      </c>
      <c r="T5" s="20">
        <f>IF(OR($G5="",$S5=""),"",$G5-$S5)</f>
        <v/>
      </c>
      <c r="U5" s="18">
        <f>IFERROR(IF(ISBLANK(INDIRECT("'"&amp;$Q$2&amp;"'!K"&amp;ROW())),"",INDIRECT("'"&amp;$Q$2&amp;"'!K"&amp;ROW())),"")</f>
        <v/>
      </c>
      <c r="V5" s="20">
        <f>IF(OR($K5="",$U5=""),"",$K5-$U5)</f>
        <v/>
      </c>
      <c r="W5" s="21">
        <f>IFERROR(IF(ISBLANK(INDIRECT("'"&amp;$Q$2&amp;"'!O"&amp;ROW())),"",INDIRECT("'"&amp;$Q$2&amp;"'!O"&amp;ROW())),"")</f>
        <v/>
      </c>
      <c r="X5" s="21">
        <f>IF(OR($O5="",$W5=""),"",$O5-$W5)</f>
        <v/>
      </c>
      <c r="Y5" s="2" t="n"/>
      <c r="Z5" s="2" t="n"/>
    </row>
    <row r="6" ht="14.25" customHeight="1" s="58">
      <c r="A6" s="12" t="inlineStr">
        <is>
          <t>ВКонтакте</t>
        </is>
      </c>
      <c r="B6" s="12" t="inlineStr">
        <is>
          <t>Красный Север</t>
        </is>
      </c>
      <c r="C6" s="13" t="n">
        <v>87</v>
      </c>
      <c r="D6" s="13" t="n">
        <v>63285</v>
      </c>
      <c r="E6" s="13">
        <f>IF($D6="","",IFERROR(IF(ISBLANK(INDIRECT("'"&amp;$Q$2&amp;"'!D"&amp;ROW())),"",INDIRECT("'"&amp;$Q$2&amp;"'!D"&amp;ROW())),""))</f>
        <v/>
      </c>
      <c r="F6" s="15">
        <f>IF(OR(D6="",E6=""),"",D6-E6)</f>
        <v/>
      </c>
      <c r="G6" s="16">
        <f>IFERROR(F6/E6,"")</f>
        <v/>
      </c>
      <c r="H6" s="13" t="n">
        <v>343</v>
      </c>
      <c r="I6" s="13">
        <f>IF($H6="","",IFERROR(IF(ISBLANK(INDIRECT("'"&amp;$Q$2&amp;"'!H"&amp;ROW())),"",INDIRECT("'"&amp;$Q$2&amp;"'!H"&amp;ROW())),""))</f>
        <v/>
      </c>
      <c r="J6" s="15">
        <f>IF(OR(H6="",I6=""),"",H6-I6)</f>
        <v/>
      </c>
      <c r="K6" s="16">
        <f>IFERROR(J6/I6,"")</f>
        <v/>
      </c>
      <c r="L6" s="13">
        <f>IFERROR(D6/C6,"")</f>
        <v/>
      </c>
      <c r="M6" s="13">
        <f>IFERROR(H6/D6*1000,"")</f>
        <v/>
      </c>
      <c r="N6" s="13" t="n">
        <v>22932</v>
      </c>
      <c r="O6" s="15">
        <f>IFERROR(IF(OR(N6="",ISBLANK(INDIRECT("'"&amp;$Q$2&amp;"'!N"&amp;ROW()))),"",N6-INDIRECT("'"&amp;$Q$2&amp;"'!N"&amp;ROW())),"")</f>
        <v/>
      </c>
      <c r="P6" s="2" t="n"/>
      <c r="Q6" s="2" t="n"/>
      <c r="R6" s="2" t="n"/>
      <c r="S6" s="18">
        <f>IFERROR(IF(ISBLANK(INDIRECT("'"&amp;$Q$2&amp;"'!G"&amp;ROW())),"",INDIRECT("'"&amp;$Q$2&amp;"'!G"&amp;ROW())),"")</f>
        <v/>
      </c>
      <c r="T6" s="20">
        <f>IF(OR($G6="",$S6=""),"",$G6-$S6)</f>
        <v/>
      </c>
      <c r="U6" s="18">
        <f>IFERROR(IF(ISBLANK(INDIRECT("'"&amp;$Q$2&amp;"'!K"&amp;ROW())),"",INDIRECT("'"&amp;$Q$2&amp;"'!K"&amp;ROW())),"")</f>
        <v/>
      </c>
      <c r="V6" s="20">
        <f>IF(OR($K6="",$U6=""),"",$K6-$U6)</f>
        <v/>
      </c>
      <c r="W6" s="21">
        <f>IFERROR(IF(ISBLANK(INDIRECT("'"&amp;$Q$2&amp;"'!O"&amp;ROW())),"",INDIRECT("'"&amp;$Q$2&amp;"'!O"&amp;ROW())),"")</f>
        <v/>
      </c>
      <c r="X6" s="21">
        <f>IF(OR($O6="",$W6=""),"",$O6-$W6)</f>
        <v/>
      </c>
      <c r="Y6" s="2" t="n"/>
      <c r="Z6" s="2" t="n"/>
    </row>
    <row r="7" ht="14.25" customHeight="1" s="58">
      <c r="A7" s="12" t="inlineStr">
        <is>
          <t>ВКонтакте</t>
        </is>
      </c>
      <c r="B7" s="12" t="inlineStr">
        <is>
          <t>Новый Уренгой</t>
        </is>
      </c>
      <c r="C7" s="13" t="n">
        <v>98</v>
      </c>
      <c r="D7" s="13" t="n">
        <v>78870</v>
      </c>
      <c r="E7" s="13">
        <f>IF($D7="","",IFERROR(IF(ISBLANK(INDIRECT("'"&amp;$Q$2&amp;"'!D"&amp;ROW())),"",INDIRECT("'"&amp;$Q$2&amp;"'!D"&amp;ROW())),""))</f>
        <v/>
      </c>
      <c r="F7" s="15">
        <f>IF(OR(D7="",E7=""),"",D7-E7)</f>
        <v/>
      </c>
      <c r="G7" s="16">
        <f>IFERROR(F7/E7,"")</f>
        <v/>
      </c>
      <c r="H7" s="13" t="n">
        <v>796</v>
      </c>
      <c r="I7" s="13">
        <f>IF($H7="","",IFERROR(IF(ISBLANK(INDIRECT("'"&amp;$Q$2&amp;"'!H"&amp;ROW())),"",INDIRECT("'"&amp;$Q$2&amp;"'!H"&amp;ROW())),""))</f>
        <v/>
      </c>
      <c r="J7" s="15">
        <f>IF(OR(H7="",I7=""),"",H7-I7)</f>
        <v/>
      </c>
      <c r="K7" s="16">
        <f>IFERROR(J7/I7,"")</f>
        <v/>
      </c>
      <c r="L7" s="13">
        <f>IFERROR(D7/C7,"")</f>
        <v/>
      </c>
      <c r="M7" s="13">
        <f>IFERROR(H7/D7*1000,"")</f>
        <v/>
      </c>
      <c r="N7" s="13" t="n">
        <v>24868</v>
      </c>
      <c r="O7" s="15">
        <f>IFERROR(IF(OR(N7="",ISBLANK(INDIRECT("'"&amp;$Q$2&amp;"'!N"&amp;ROW()))),"",N7-INDIRECT("'"&amp;$Q$2&amp;"'!N"&amp;ROW())),"")</f>
        <v/>
      </c>
      <c r="P7" s="2" t="n"/>
      <c r="Q7" s="2" t="n"/>
      <c r="R7" s="2" t="n"/>
      <c r="S7" s="18">
        <f>IFERROR(IF(ISBLANK(INDIRECT("'"&amp;$Q$2&amp;"'!G"&amp;ROW())),"",INDIRECT("'"&amp;$Q$2&amp;"'!G"&amp;ROW())),"")</f>
        <v/>
      </c>
      <c r="T7" s="20">
        <f>IF(OR($G7="",$S7=""),"",$G7-$S7)</f>
        <v/>
      </c>
      <c r="U7" s="18">
        <f>IFERROR(IF(ISBLANK(INDIRECT("'"&amp;$Q$2&amp;"'!K"&amp;ROW())),"",INDIRECT("'"&amp;$Q$2&amp;"'!K"&amp;ROW())),"")</f>
        <v/>
      </c>
      <c r="V7" s="20">
        <f>IF(OR($K7="",$U7=""),"",$K7-$U7)</f>
        <v/>
      </c>
      <c r="W7" s="21">
        <f>IFERROR(IF(ISBLANK(INDIRECT("'"&amp;$Q$2&amp;"'!O"&amp;ROW())),"",INDIRECT("'"&amp;$Q$2&amp;"'!O"&amp;ROW())),"")</f>
        <v/>
      </c>
      <c r="X7" s="21">
        <f>IF(OR($O7="",$W7=""),"",$O7-$W7)</f>
        <v/>
      </c>
      <c r="Y7" s="2" t="n"/>
      <c r="Z7" s="2" t="n"/>
    </row>
    <row r="8" ht="14.25" customHeight="1" s="58">
      <c r="A8" s="12" t="inlineStr">
        <is>
          <t>ВКонтакте</t>
        </is>
      </c>
      <c r="B8" s="12" t="inlineStr">
        <is>
          <t>Надым</t>
        </is>
      </c>
      <c r="C8" s="13" t="n">
        <v>87</v>
      </c>
      <c r="D8" s="13" t="n">
        <v>296983</v>
      </c>
      <c r="E8" s="13">
        <f>IF($D8="","",IFERROR(IF(ISBLANK(INDIRECT("'"&amp;$Q$2&amp;"'!D"&amp;ROW())),"",INDIRECT("'"&amp;$Q$2&amp;"'!D"&amp;ROW())),""))</f>
        <v/>
      </c>
      <c r="F8" s="15">
        <f>IF(OR(D8="",E8=""),"",D8-E8)</f>
        <v/>
      </c>
      <c r="G8" s="16">
        <f>IFERROR(F8/E8,"")</f>
        <v/>
      </c>
      <c r="H8" s="13" t="n">
        <v>3566</v>
      </c>
      <c r="I8" s="13">
        <f>IF($H8="","",IFERROR(IF(ISBLANK(INDIRECT("'"&amp;$Q$2&amp;"'!H"&amp;ROW())),"",INDIRECT("'"&amp;$Q$2&amp;"'!H"&amp;ROW())),""))</f>
        <v/>
      </c>
      <c r="J8" s="15">
        <f>IF(OR(H8="",I8=""),"",H8-I8)</f>
        <v/>
      </c>
      <c r="K8" s="16">
        <f>IFERROR(J8/I8,"")</f>
        <v/>
      </c>
      <c r="L8" s="13">
        <f>IFERROR(D8/C8,"")</f>
        <v/>
      </c>
      <c r="M8" s="13">
        <f>IFERROR(H8/D8*1000,"")</f>
        <v/>
      </c>
      <c r="N8" s="13" t="n">
        <v>21744</v>
      </c>
      <c r="O8" s="15">
        <f>IFERROR(IF(OR(N8="",ISBLANK(INDIRECT("'"&amp;$Q$2&amp;"'!N"&amp;ROW()))),"",N8-INDIRECT("'"&amp;$Q$2&amp;"'!N"&amp;ROW())),"")</f>
        <v/>
      </c>
      <c r="P8" s="2" t="n"/>
      <c r="Q8" s="2" t="n"/>
      <c r="R8" s="2" t="n"/>
      <c r="S8" s="18">
        <f>IFERROR(IF(ISBLANK(INDIRECT("'"&amp;$Q$2&amp;"'!G"&amp;ROW())),"",INDIRECT("'"&amp;$Q$2&amp;"'!G"&amp;ROW())),"")</f>
        <v/>
      </c>
      <c r="T8" s="20">
        <f>IF(OR($G8="",$S8=""),"",$G8-$S8)</f>
        <v/>
      </c>
      <c r="U8" s="18">
        <f>IFERROR(IF(ISBLANK(INDIRECT("'"&amp;$Q$2&amp;"'!K"&amp;ROW())),"",INDIRECT("'"&amp;$Q$2&amp;"'!K"&amp;ROW())),"")</f>
        <v/>
      </c>
      <c r="V8" s="20">
        <f>IF(OR($K8="",$U8=""),"",$K8-$U8)</f>
        <v/>
      </c>
      <c r="W8" s="21">
        <f>IFERROR(IF(ISBLANK(INDIRECT("'"&amp;$Q$2&amp;"'!O"&amp;ROW())),"",INDIRECT("'"&amp;$Q$2&amp;"'!O"&amp;ROW())),"")</f>
        <v/>
      </c>
      <c r="X8" s="21">
        <f>IF(OR($O8="",$W8=""),"",$O8-$W8)</f>
        <v/>
      </c>
      <c r="Y8" s="2" t="n"/>
      <c r="Z8" s="2" t="n"/>
    </row>
    <row r="9" ht="14.25" customHeight="1" s="58">
      <c r="A9" s="12" t="inlineStr">
        <is>
          <t>ВКонтакте</t>
        </is>
      </c>
      <c r="B9" s="12" t="inlineStr">
        <is>
          <t>Ноябрьск</t>
        </is>
      </c>
      <c r="C9" s="13" t="n">
        <v>96</v>
      </c>
      <c r="D9" s="13" t="n">
        <v>322545</v>
      </c>
      <c r="E9" s="13">
        <f>IF($D9="","",IFERROR(IF(ISBLANK(INDIRECT("'"&amp;$Q$2&amp;"'!D"&amp;ROW())),"",INDIRECT("'"&amp;$Q$2&amp;"'!D"&amp;ROW())),""))</f>
        <v/>
      </c>
      <c r="F9" s="15">
        <f>IF(OR(D9="",E9=""),"",D9-E9)</f>
        <v/>
      </c>
      <c r="G9" s="16">
        <f>IFERROR(F9/E9,"")</f>
        <v/>
      </c>
      <c r="H9" s="13" t="n">
        <v>4156</v>
      </c>
      <c r="I9" s="13">
        <f>IF($H9="","",IFERROR(IF(ISBLANK(INDIRECT("'"&amp;$Q$2&amp;"'!H"&amp;ROW())),"",INDIRECT("'"&amp;$Q$2&amp;"'!H"&amp;ROW())),""))</f>
        <v/>
      </c>
      <c r="J9" s="15">
        <f>IF(OR(H9="",I9=""),"",H9-I9)</f>
        <v/>
      </c>
      <c r="K9" s="16">
        <f>IFERROR(J9/I9,"")</f>
        <v/>
      </c>
      <c r="L9" s="13">
        <f>IFERROR(D9/C9,"")</f>
        <v/>
      </c>
      <c r="M9" s="13">
        <f>IFERROR(H9/D9*1000,"")</f>
        <v/>
      </c>
      <c r="N9" s="13" t="n">
        <v>31330</v>
      </c>
      <c r="O9" s="15">
        <f>IFERROR(IF(OR(N9="",ISBLANK(INDIRECT("'"&amp;$Q$2&amp;"'!N"&amp;ROW()))),"",N9-INDIRECT("'"&amp;$Q$2&amp;"'!N"&amp;ROW())),"")</f>
        <v/>
      </c>
      <c r="P9" s="2" t="n"/>
      <c r="Q9" s="2" t="n"/>
      <c r="R9" s="2" t="n"/>
      <c r="S9" s="18">
        <f>IFERROR(IF(ISBLANK(INDIRECT("'"&amp;$Q$2&amp;"'!G"&amp;ROW())),"",INDIRECT("'"&amp;$Q$2&amp;"'!G"&amp;ROW())),"")</f>
        <v/>
      </c>
      <c r="T9" s="20">
        <f>IF(OR($G9="",$S9=""),"",$G9-$S9)</f>
        <v/>
      </c>
      <c r="U9" s="18">
        <f>IFERROR(IF(ISBLANK(INDIRECT("'"&amp;$Q$2&amp;"'!K"&amp;ROW())),"",INDIRECT("'"&amp;$Q$2&amp;"'!K"&amp;ROW())),"")</f>
        <v/>
      </c>
      <c r="V9" s="20">
        <f>IF(OR($K9="",$U9=""),"",$K9-$U9)</f>
        <v/>
      </c>
      <c r="W9" s="21">
        <f>IFERROR(IF(ISBLANK(INDIRECT("'"&amp;$Q$2&amp;"'!O"&amp;ROW())),"",INDIRECT("'"&amp;$Q$2&amp;"'!O"&amp;ROW())),"")</f>
        <v/>
      </c>
      <c r="X9" s="21">
        <f>IF(OR($O9="",$W9=""),"",$O9-$W9)</f>
        <v/>
      </c>
      <c r="Y9" s="2" t="n"/>
      <c r="Z9" s="2" t="n"/>
    </row>
    <row r="10" ht="14.25" customHeight="1" s="58">
      <c r="A10" s="12" t="inlineStr">
        <is>
          <t>ВКонтакте</t>
        </is>
      </c>
      <c r="B10" s="12" t="inlineStr">
        <is>
          <t>Салехард</t>
        </is>
      </c>
      <c r="C10" s="13" t="n">
        <v>135</v>
      </c>
      <c r="D10" s="13" t="n">
        <v>167913</v>
      </c>
      <c r="E10" s="13">
        <f>IF($D10="","",IFERROR(IF(ISBLANK(INDIRECT("'"&amp;$Q$2&amp;"'!D"&amp;ROW())),"",INDIRECT("'"&amp;$Q$2&amp;"'!D"&amp;ROW())),""))</f>
        <v/>
      </c>
      <c r="F10" s="15">
        <f>IF(OR(D10="",E10=""),"",D10-E10)</f>
        <v/>
      </c>
      <c r="G10" s="16">
        <f>IFERROR(F10/E10,"")</f>
        <v/>
      </c>
      <c r="H10" s="13" t="n">
        <v>1192</v>
      </c>
      <c r="I10" s="13">
        <f>IF($H10="","",IFERROR(IF(ISBLANK(INDIRECT("'"&amp;$Q$2&amp;"'!H"&amp;ROW())),"",INDIRECT("'"&amp;$Q$2&amp;"'!H"&amp;ROW())),""))</f>
        <v/>
      </c>
      <c r="J10" s="15">
        <f>IF(OR(H10="",I10=""),"",H10-I10)</f>
        <v/>
      </c>
      <c r="K10" s="16">
        <f>IFERROR(J10/I10,"")</f>
        <v/>
      </c>
      <c r="L10" s="13">
        <f>IFERROR(D10/C10,"")</f>
        <v/>
      </c>
      <c r="M10" s="13">
        <f>IFERROR(H10/D10*1000,"")</f>
        <v/>
      </c>
      <c r="N10" s="13" t="n">
        <v>21586</v>
      </c>
      <c r="O10" s="15">
        <f>IFERROR(IF(OR(N10="",ISBLANK(INDIRECT("'"&amp;$Q$2&amp;"'!N"&amp;ROW()))),"",N10-INDIRECT("'"&amp;$Q$2&amp;"'!N"&amp;ROW())),"")</f>
        <v/>
      </c>
      <c r="P10" s="2" t="n"/>
      <c r="Q10" s="2" t="n"/>
      <c r="R10" s="2" t="n"/>
      <c r="S10" s="18">
        <f>IFERROR(IF(ISBLANK(INDIRECT("'"&amp;$Q$2&amp;"'!G"&amp;ROW())),"",INDIRECT("'"&amp;$Q$2&amp;"'!G"&amp;ROW())),"")</f>
        <v/>
      </c>
      <c r="T10" s="20">
        <f>IF(OR($G10="",$S10=""),"",$G10-$S10)</f>
        <v/>
      </c>
      <c r="U10" s="18">
        <f>IFERROR(IF(ISBLANK(INDIRECT("'"&amp;$Q$2&amp;"'!K"&amp;ROW())),"",INDIRECT("'"&amp;$Q$2&amp;"'!K"&amp;ROW())),"")</f>
        <v/>
      </c>
      <c r="V10" s="20">
        <f>IF(OR($K10="",$U10=""),"",$K10-$U10)</f>
        <v/>
      </c>
      <c r="W10" s="21">
        <f>IFERROR(IF(ISBLANK(INDIRECT("'"&amp;$Q$2&amp;"'!O"&amp;ROW())),"",INDIRECT("'"&amp;$Q$2&amp;"'!O"&amp;ROW())),"")</f>
        <v/>
      </c>
      <c r="X10" s="21">
        <f>IF(OR($O10="",$W10=""),"",$O10-$W10)</f>
        <v/>
      </c>
      <c r="Y10" s="2" t="n"/>
      <c r="Z10" s="2" t="n"/>
    </row>
    <row r="11" ht="14.25" customHeight="1" s="58">
      <c r="A11" s="12" t="inlineStr">
        <is>
          <t>ВКонтакте</t>
        </is>
      </c>
      <c r="B11" s="12" t="inlineStr">
        <is>
          <t>Приуралье</t>
        </is>
      </c>
      <c r="C11" s="13" t="n">
        <v>106</v>
      </c>
      <c r="D11" s="13" t="n">
        <v>407601</v>
      </c>
      <c r="E11" s="13">
        <f>IF($D11="","",IFERROR(IF(ISBLANK(INDIRECT("'"&amp;$Q$2&amp;"'!D"&amp;ROW())),"",INDIRECT("'"&amp;$Q$2&amp;"'!D"&amp;ROW())),""))</f>
        <v/>
      </c>
      <c r="F11" s="15">
        <f>IF(OR(D11="",E11=""),"",D11-E11)</f>
        <v/>
      </c>
      <c r="G11" s="16">
        <f>IFERROR(F11/E11,"")</f>
        <v/>
      </c>
      <c r="H11" s="13" t="n">
        <v>3694</v>
      </c>
      <c r="I11" s="13">
        <f>IF($H11="","",IFERROR(IF(ISBLANK(INDIRECT("'"&amp;$Q$2&amp;"'!H"&amp;ROW())),"",INDIRECT("'"&amp;$Q$2&amp;"'!H"&amp;ROW())),""))</f>
        <v/>
      </c>
      <c r="J11" s="15">
        <f>IF(OR(H11="",I11=""),"",H11-I11)</f>
        <v/>
      </c>
      <c r="K11" s="16">
        <f>IFERROR(J11/I11,"")</f>
        <v/>
      </c>
      <c r="L11" s="13">
        <f>IFERROR(D11/C11,"")</f>
        <v/>
      </c>
      <c r="M11" s="13">
        <f>IFERROR(H11/D11*1000,"")</f>
        <v/>
      </c>
      <c r="N11" s="13" t="n">
        <v>20797</v>
      </c>
      <c r="O11" s="15">
        <f>IFERROR(IF(OR(N11="",ISBLANK(INDIRECT("'"&amp;$Q$2&amp;"'!N"&amp;ROW()))),"",N11-INDIRECT("'"&amp;$Q$2&amp;"'!N"&amp;ROW())),"")</f>
        <v/>
      </c>
      <c r="P11" s="2" t="n"/>
      <c r="Q11" s="2" t="n"/>
      <c r="R11" s="2" t="n"/>
      <c r="S11" s="18">
        <f>IFERROR(IF(ISBLANK(INDIRECT("'"&amp;$Q$2&amp;"'!G"&amp;ROW())),"",INDIRECT("'"&amp;$Q$2&amp;"'!G"&amp;ROW())),"")</f>
        <v/>
      </c>
      <c r="T11" s="20">
        <f>IF(OR($G11="",$S11=""),"",$G11-$S11)</f>
        <v/>
      </c>
      <c r="U11" s="18">
        <f>IFERROR(IF(ISBLANK(INDIRECT("'"&amp;$Q$2&amp;"'!K"&amp;ROW())),"",INDIRECT("'"&amp;$Q$2&amp;"'!K"&amp;ROW())),"")</f>
        <v/>
      </c>
      <c r="V11" s="20">
        <f>IF(OR($K11="",$U11=""),"",$K11-$U11)</f>
        <v/>
      </c>
      <c r="W11" s="21">
        <f>IFERROR(IF(ISBLANK(INDIRECT("'"&amp;$Q$2&amp;"'!O"&amp;ROW())),"",INDIRECT("'"&amp;$Q$2&amp;"'!O"&amp;ROW())),"")</f>
        <v/>
      </c>
      <c r="X11" s="21">
        <f>IF(OR($O11="",$W11=""),"",$O11-$W11)</f>
        <v/>
      </c>
      <c r="Y11" s="2" t="n"/>
      <c r="Z11" s="2" t="n"/>
    </row>
    <row r="12" ht="14.25" customHeight="1" s="58">
      <c r="A12" s="12" t="inlineStr">
        <is>
          <t>ВКонтакте</t>
        </is>
      </c>
      <c r="B12" s="12" t="inlineStr">
        <is>
          <t>Лабытнанги</t>
        </is>
      </c>
      <c r="C12" s="13" t="n">
        <v>66</v>
      </c>
      <c r="D12" s="13" t="n">
        <v>111561</v>
      </c>
      <c r="E12" s="13">
        <f>IF($D12="","",IFERROR(IF(ISBLANK(INDIRECT("'"&amp;$Q$2&amp;"'!D"&amp;ROW())),"",INDIRECT("'"&amp;$Q$2&amp;"'!D"&amp;ROW())),""))</f>
        <v/>
      </c>
      <c r="F12" s="15">
        <f>IF(OR(D12="",E12=""),"",D12-E12)</f>
        <v/>
      </c>
      <c r="G12" s="16">
        <f>IFERROR(F12/E12,"")</f>
        <v/>
      </c>
      <c r="H12" s="13" t="n">
        <v>1930</v>
      </c>
      <c r="I12" s="13">
        <f>IF($H12="","",IFERROR(IF(ISBLANK(INDIRECT("'"&amp;$Q$2&amp;"'!H"&amp;ROW())),"",INDIRECT("'"&amp;$Q$2&amp;"'!H"&amp;ROW())),""))</f>
        <v/>
      </c>
      <c r="J12" s="15">
        <f>IF(OR(H12="",I12=""),"",H12-I12)</f>
        <v/>
      </c>
      <c r="K12" s="16">
        <f>IFERROR(J12/I12,"")</f>
        <v/>
      </c>
      <c r="L12" s="13">
        <f>IFERROR(D12/C12,"")</f>
        <v/>
      </c>
      <c r="M12" s="13">
        <f>IFERROR(H12/D12*1000,"")</f>
        <v/>
      </c>
      <c r="N12" s="13" t="n">
        <v>15498</v>
      </c>
      <c r="O12" s="15">
        <f>IFERROR(IF(OR(N12="",ISBLANK(INDIRECT("'"&amp;$Q$2&amp;"'!N"&amp;ROW()))),"",N12-INDIRECT("'"&amp;$Q$2&amp;"'!N"&amp;ROW())),"")</f>
        <v/>
      </c>
      <c r="P12" s="2" t="n"/>
      <c r="Q12" s="2" t="n"/>
      <c r="R12" s="2" t="n"/>
      <c r="S12" s="18">
        <f>IFERROR(IF(ISBLANK(INDIRECT("'"&amp;$Q$2&amp;"'!G"&amp;ROW())),"",INDIRECT("'"&amp;$Q$2&amp;"'!G"&amp;ROW())),"")</f>
        <v/>
      </c>
      <c r="T12" s="20">
        <f>IF(OR($G12="",$S12=""),"",$G12-$S12)</f>
        <v/>
      </c>
      <c r="U12" s="18">
        <f>IFERROR(IF(ISBLANK(INDIRECT("'"&amp;$Q$2&amp;"'!K"&amp;ROW())),"",INDIRECT("'"&amp;$Q$2&amp;"'!K"&amp;ROW())),"")</f>
        <v/>
      </c>
      <c r="V12" s="20">
        <f>IF(OR($K12="",$U12=""),"",$K12-$U12)</f>
        <v/>
      </c>
      <c r="W12" s="21">
        <f>IFERROR(IF(ISBLANK(INDIRECT("'"&amp;$Q$2&amp;"'!O"&amp;ROW())),"",INDIRECT("'"&amp;$Q$2&amp;"'!O"&amp;ROW())),"")</f>
        <v/>
      </c>
      <c r="X12" s="21">
        <f>IF(OR($O12="",$W12=""),"",$O12-$W12)</f>
        <v/>
      </c>
      <c r="Y12" s="2" t="n"/>
      <c r="Z12" s="2" t="n"/>
    </row>
    <row r="13" ht="14.25" customHeight="1" s="58">
      <c r="A13" s="12" t="inlineStr">
        <is>
          <t>ВКонтакте</t>
        </is>
      </c>
      <c r="B13" s="12" t="inlineStr">
        <is>
          <t>Пуровский</t>
        </is>
      </c>
      <c r="C13" s="13" t="n">
        <v>49</v>
      </c>
      <c r="D13" s="13" t="n">
        <v>33284</v>
      </c>
      <c r="E13" s="13">
        <f>IF($D13="","",IFERROR(IF(ISBLANK(INDIRECT("'"&amp;$Q$2&amp;"'!D"&amp;ROW())),"",INDIRECT("'"&amp;$Q$2&amp;"'!D"&amp;ROW())),""))</f>
        <v/>
      </c>
      <c r="F13" s="15">
        <f>IF(OR(D13="",E13=""),"",D13-E13)</f>
        <v/>
      </c>
      <c r="G13" s="16">
        <f>IFERROR(F13/E13,"")</f>
        <v/>
      </c>
      <c r="H13" s="13" t="n">
        <v>353</v>
      </c>
      <c r="I13" s="13">
        <f>IF($H13="","",IFERROR(IF(ISBLANK(INDIRECT("'"&amp;$Q$2&amp;"'!H"&amp;ROW())),"",INDIRECT("'"&amp;$Q$2&amp;"'!H"&amp;ROW())),""))</f>
        <v/>
      </c>
      <c r="J13" s="15">
        <f>IF(OR(H13="",I13=""),"",H13-I13)</f>
        <v/>
      </c>
      <c r="K13" s="16">
        <f>IFERROR(J13/I13,"")</f>
        <v/>
      </c>
      <c r="L13" s="13">
        <f>IFERROR(D13/C13,"")</f>
        <v/>
      </c>
      <c r="M13" s="13">
        <f>IFERROR(H13/D13*1000,"")</f>
        <v/>
      </c>
      <c r="N13" s="13" t="n">
        <v>16443</v>
      </c>
      <c r="O13" s="15">
        <f>IFERROR(IF(OR(N13="",ISBLANK(INDIRECT("'"&amp;$Q$2&amp;"'!N"&amp;ROW()))),"",N13-INDIRECT("'"&amp;$Q$2&amp;"'!N"&amp;ROW())),"")</f>
        <v/>
      </c>
      <c r="P13" s="2" t="n"/>
      <c r="Q13" s="2" t="n"/>
      <c r="R13" s="2" t="n"/>
      <c r="S13" s="18">
        <f>IFERROR(IF(ISBLANK(INDIRECT("'"&amp;$Q$2&amp;"'!G"&amp;ROW())),"",INDIRECT("'"&amp;$Q$2&amp;"'!G"&amp;ROW())),"")</f>
        <v/>
      </c>
      <c r="T13" s="20">
        <f>IF(OR($G13="",$S13=""),"",$G13-$S13)</f>
        <v/>
      </c>
      <c r="U13" s="18">
        <f>IFERROR(IF(ISBLANK(INDIRECT("'"&amp;$Q$2&amp;"'!K"&amp;ROW())),"",INDIRECT("'"&amp;$Q$2&amp;"'!K"&amp;ROW())),"")</f>
        <v/>
      </c>
      <c r="V13" s="20">
        <f>IF(OR($K13="",$U13=""),"",$K13-$U13)</f>
        <v/>
      </c>
      <c r="W13" s="21">
        <f>IFERROR(IF(ISBLANK(INDIRECT("'"&amp;$Q$2&amp;"'!O"&amp;ROW())),"",INDIRECT("'"&amp;$Q$2&amp;"'!O"&amp;ROW())),"")</f>
        <v/>
      </c>
      <c r="X13" s="21">
        <f>IF(OR($O13="",$W13=""),"",$O13-$W13)</f>
        <v/>
      </c>
      <c r="Y13" s="2" t="n"/>
      <c r="Z13" s="2" t="n"/>
    </row>
    <row r="14" ht="14.25" customHeight="1" s="58">
      <c r="A14" s="12" t="inlineStr">
        <is>
          <t>ВКонтакте</t>
        </is>
      </c>
      <c r="B14" s="12" t="inlineStr">
        <is>
          <t>Тазовский</t>
        </is>
      </c>
      <c r="C14" s="13" t="n">
        <v>56</v>
      </c>
      <c r="D14" s="13" t="n">
        <v>48840</v>
      </c>
      <c r="E14" s="13">
        <f>IF($D14="","",IFERROR(IF(ISBLANK(INDIRECT("'"&amp;$Q$2&amp;"'!D"&amp;ROW())),"",INDIRECT("'"&amp;$Q$2&amp;"'!D"&amp;ROW())),""))</f>
        <v/>
      </c>
      <c r="F14" s="15">
        <f>IF(OR(D14="",E14=""),"",D14-E14)</f>
        <v/>
      </c>
      <c r="G14" s="16">
        <f>IFERROR(F14/E14,"")</f>
        <v/>
      </c>
      <c r="H14" s="13" t="n">
        <v>534</v>
      </c>
      <c r="I14" s="13">
        <f>IF($H14="","",IFERROR(IF(ISBLANK(INDIRECT("'"&amp;$Q$2&amp;"'!H"&amp;ROW())),"",INDIRECT("'"&amp;$Q$2&amp;"'!H"&amp;ROW())),""))</f>
        <v/>
      </c>
      <c r="J14" s="15">
        <f>IF(OR(H14="",I14=""),"",H14-I14)</f>
        <v/>
      </c>
      <c r="K14" s="16">
        <f>IFERROR(J14/I14,"")</f>
        <v/>
      </c>
      <c r="L14" s="13">
        <f>IFERROR(D14/C14,"")</f>
        <v/>
      </c>
      <c r="M14" s="13">
        <f>IFERROR(H14/D14*1000,"")</f>
        <v/>
      </c>
      <c r="N14" s="13" t="n">
        <v>6439</v>
      </c>
      <c r="O14" s="15">
        <f>IFERROR(IF(OR(N14="",ISBLANK(INDIRECT("'"&amp;$Q$2&amp;"'!N"&amp;ROW()))),"",N14-INDIRECT("'"&amp;$Q$2&amp;"'!N"&amp;ROW())),"")</f>
        <v/>
      </c>
      <c r="P14" s="2" t="n"/>
      <c r="Q14" s="2" t="n"/>
      <c r="R14" s="2" t="n"/>
      <c r="S14" s="18">
        <f>IFERROR(IF(ISBLANK(INDIRECT("'"&amp;$Q$2&amp;"'!G"&amp;ROW())),"",INDIRECT("'"&amp;$Q$2&amp;"'!G"&amp;ROW())),"")</f>
        <v/>
      </c>
      <c r="T14" s="20">
        <f>IF(OR($G14="",$S14=""),"",$G14-$S14)</f>
        <v/>
      </c>
      <c r="U14" s="18">
        <f>IFERROR(IF(ISBLANK(INDIRECT("'"&amp;$Q$2&amp;"'!K"&amp;ROW())),"",INDIRECT("'"&amp;$Q$2&amp;"'!K"&amp;ROW())),"")</f>
        <v/>
      </c>
      <c r="V14" s="20">
        <f>IF(OR($K14="",$U14=""),"",$K14-$U14)</f>
        <v/>
      </c>
      <c r="W14" s="21">
        <f>IFERROR(IF(ISBLANK(INDIRECT("'"&amp;$Q$2&amp;"'!O"&amp;ROW())),"",INDIRECT("'"&amp;$Q$2&amp;"'!O"&amp;ROW())),"")</f>
        <v/>
      </c>
      <c r="X14" s="21">
        <f>IF(OR($O14="",$W14=""),"",$O14-$W14)</f>
        <v/>
      </c>
      <c r="Y14" s="2" t="n"/>
      <c r="Z14" s="2" t="n"/>
    </row>
    <row r="15" ht="14.25" customHeight="1" s="58">
      <c r="A15" s="12" t="inlineStr">
        <is>
          <t>ВКонтакте</t>
        </is>
      </c>
      <c r="B15" s="12" t="inlineStr">
        <is>
          <t>Красноселькуп</t>
        </is>
      </c>
      <c r="C15" s="13" t="n">
        <v>29</v>
      </c>
      <c r="D15" s="13" t="n">
        <v>30735</v>
      </c>
      <c r="E15" s="13">
        <f>IF($D15="","",IFERROR(IF(ISBLANK(INDIRECT("'"&amp;$Q$2&amp;"'!D"&amp;ROW())),"",INDIRECT("'"&amp;$Q$2&amp;"'!D"&amp;ROW())),""))</f>
        <v/>
      </c>
      <c r="F15" s="15">
        <f>IF(OR(D15="",E15=""),"",D15-E15)</f>
        <v/>
      </c>
      <c r="G15" s="16">
        <f>IFERROR(F15/E15,"")</f>
        <v/>
      </c>
      <c r="H15" s="13" t="n">
        <v>302</v>
      </c>
      <c r="I15" s="13">
        <f>IF($H15="","",IFERROR(IF(ISBLANK(INDIRECT("'"&amp;$Q$2&amp;"'!H"&amp;ROW())),"",INDIRECT("'"&amp;$Q$2&amp;"'!H"&amp;ROW())),""))</f>
        <v/>
      </c>
      <c r="J15" s="15">
        <f>IF(OR(H15="",I15=""),"",H15-I15)</f>
        <v/>
      </c>
      <c r="K15" s="16">
        <f>IFERROR(J15/I15,"")</f>
        <v/>
      </c>
      <c r="L15" s="13">
        <f>IFERROR(D15/C15,"")</f>
        <v/>
      </c>
      <c r="M15" s="13">
        <f>IFERROR(H15/D15*1000,"")</f>
        <v/>
      </c>
      <c r="N15" s="13" t="n">
        <v>3687</v>
      </c>
      <c r="O15" s="15">
        <f>IFERROR(IF(OR(N15="",ISBLANK(INDIRECT("'"&amp;$Q$2&amp;"'!N"&amp;ROW()))),"",N15-INDIRECT("'"&amp;$Q$2&amp;"'!N"&amp;ROW())),"")</f>
        <v/>
      </c>
      <c r="P15" s="2" t="n"/>
      <c r="Q15" s="2" t="n"/>
      <c r="R15" s="2" t="n"/>
      <c r="S15" s="18">
        <f>IFERROR(IF(ISBLANK(INDIRECT("'"&amp;$Q$2&amp;"'!G"&amp;ROW())),"",INDIRECT("'"&amp;$Q$2&amp;"'!G"&amp;ROW())),"")</f>
        <v/>
      </c>
      <c r="T15" s="20">
        <f>IF(OR($G15="",$S15=""),"",$G15-$S15)</f>
        <v/>
      </c>
      <c r="U15" s="18">
        <f>IFERROR(IF(ISBLANK(INDIRECT("'"&amp;$Q$2&amp;"'!K"&amp;ROW())),"",INDIRECT("'"&amp;$Q$2&amp;"'!K"&amp;ROW())),"")</f>
        <v/>
      </c>
      <c r="V15" s="20">
        <f>IF(OR($K15="",$U15=""),"",$K15-$U15)</f>
        <v/>
      </c>
      <c r="W15" s="21">
        <f>IFERROR(IF(ISBLANK(INDIRECT("'"&amp;$Q$2&amp;"'!O"&amp;ROW())),"",INDIRECT("'"&amp;$Q$2&amp;"'!O"&amp;ROW())),"")</f>
        <v/>
      </c>
      <c r="X15" s="21">
        <f>IF(OR($O15="",$W15=""),"",$O15-$W15)</f>
        <v/>
      </c>
      <c r="Y15" s="2" t="n"/>
      <c r="Z15" s="2" t="n"/>
    </row>
    <row r="16" ht="14.25" customHeight="1" s="58">
      <c r="A16" s="12" t="inlineStr">
        <is>
          <t>ВКонтакте</t>
        </is>
      </c>
      <c r="B16" s="12" t="inlineStr">
        <is>
          <t>Ямальский</t>
        </is>
      </c>
      <c r="C16" s="13" t="n">
        <v>50</v>
      </c>
      <c r="D16" s="13" t="n">
        <v>99250</v>
      </c>
      <c r="E16" s="13">
        <f>IF($D16="","",IFERROR(IF(ISBLANK(INDIRECT("'"&amp;$Q$2&amp;"'!D"&amp;ROW())),"",INDIRECT("'"&amp;$Q$2&amp;"'!D"&amp;ROW())),""))</f>
        <v/>
      </c>
      <c r="F16" s="15">
        <f>IF(OR(D16="",E16=""),"",D16-E16)</f>
        <v/>
      </c>
      <c r="G16" s="16">
        <f>IFERROR(F16/E16,"")</f>
        <v/>
      </c>
      <c r="H16" s="13" t="n">
        <v>1001</v>
      </c>
      <c r="I16" s="13">
        <f>IF($H16="","",IFERROR(IF(ISBLANK(INDIRECT("'"&amp;$Q$2&amp;"'!H"&amp;ROW())),"",INDIRECT("'"&amp;$Q$2&amp;"'!H"&amp;ROW())),""))</f>
        <v/>
      </c>
      <c r="J16" s="15">
        <f>IF(OR(H16="",I16=""),"",H16-I16)</f>
        <v/>
      </c>
      <c r="K16" s="16">
        <f>IFERROR(J16/I16,"")</f>
        <v/>
      </c>
      <c r="L16" s="13">
        <f>IFERROR(D16/C16,"")</f>
        <v/>
      </c>
      <c r="M16" s="13">
        <f>IFERROR(H16/D16*1000,"")</f>
        <v/>
      </c>
      <c r="N16" s="13" t="n">
        <v>12813</v>
      </c>
      <c r="O16" s="15">
        <f>IFERROR(IF(OR(N16="",ISBLANK(INDIRECT("'"&amp;$Q$2&amp;"'!N"&amp;ROW()))),"",N16-INDIRECT("'"&amp;$Q$2&amp;"'!N"&amp;ROW())),"")</f>
        <v/>
      </c>
      <c r="P16" s="2" t="n"/>
      <c r="Q16" s="2" t="n"/>
      <c r="R16" s="2" t="n"/>
      <c r="S16" s="18">
        <f>IFERROR(IF(ISBLANK(INDIRECT("'"&amp;$Q$2&amp;"'!G"&amp;ROW())),"",INDIRECT("'"&amp;$Q$2&amp;"'!G"&amp;ROW())),"")</f>
        <v/>
      </c>
      <c r="T16" s="20">
        <f>IF(OR($G16="",$S16=""),"",$G16-$S16)</f>
        <v/>
      </c>
      <c r="U16" s="18">
        <f>IFERROR(IF(ISBLANK(INDIRECT("'"&amp;$Q$2&amp;"'!K"&amp;ROW())),"",INDIRECT("'"&amp;$Q$2&amp;"'!K"&amp;ROW())),"")</f>
        <v/>
      </c>
      <c r="V16" s="20">
        <f>IF(OR($K16="",$U16=""),"",$K16-$U16)</f>
        <v/>
      </c>
      <c r="W16" s="21">
        <f>IFERROR(IF(ISBLANK(INDIRECT("'"&amp;$Q$2&amp;"'!O"&amp;ROW())),"",INDIRECT("'"&amp;$Q$2&amp;"'!O"&amp;ROW())),"")</f>
        <v/>
      </c>
      <c r="X16" s="21">
        <f>IF(OR($O16="",$W16=""),"",$O16-$W16)</f>
        <v/>
      </c>
      <c r="Y16" s="2" t="n"/>
      <c r="Z16" s="2" t="n"/>
    </row>
    <row r="17" ht="14.25" customHeight="1" s="58">
      <c r="A17" s="12" t="inlineStr">
        <is>
          <t>ВКонтакте</t>
        </is>
      </c>
      <c r="B17" s="12" t="inlineStr">
        <is>
          <t>Шурышкарский</t>
        </is>
      </c>
      <c r="C17" s="13" t="n">
        <v>58</v>
      </c>
      <c r="D17" s="13" t="n">
        <v>156420</v>
      </c>
      <c r="E17" s="13">
        <f>IF($D17="","",IFERROR(IF(ISBLANK(INDIRECT("'"&amp;$Q$2&amp;"'!D"&amp;ROW())),"",INDIRECT("'"&amp;$Q$2&amp;"'!D"&amp;ROW())),""))</f>
        <v/>
      </c>
      <c r="F17" s="15">
        <f>IF(OR(D17="",E17=""),"",D17-E17)</f>
        <v/>
      </c>
      <c r="G17" s="16">
        <f>IFERROR(F17/E17,"")</f>
        <v/>
      </c>
      <c r="H17" s="13" t="n">
        <v>1581</v>
      </c>
      <c r="I17" s="13">
        <f>IF($H17="","",IFERROR(IF(ISBLANK(INDIRECT("'"&amp;$Q$2&amp;"'!H"&amp;ROW())),"",INDIRECT("'"&amp;$Q$2&amp;"'!H"&amp;ROW())),""))</f>
        <v/>
      </c>
      <c r="J17" s="15">
        <f>IF(OR(H17="",I17=""),"",H17-I17)</f>
        <v/>
      </c>
      <c r="K17" s="16">
        <f>IFERROR(J17/I17,"")</f>
        <v/>
      </c>
      <c r="L17" s="13">
        <f>IFERROR(D17/C17,"")</f>
        <v/>
      </c>
      <c r="M17" s="13">
        <f>IFERROR(H17/D17*1000,"")</f>
        <v/>
      </c>
      <c r="N17" s="13" t="n">
        <v>7822</v>
      </c>
      <c r="O17" s="15">
        <f>IFERROR(IF(OR(N17="",ISBLANK(INDIRECT("'"&amp;$Q$2&amp;"'!N"&amp;ROW()))),"",N17-INDIRECT("'"&amp;$Q$2&amp;"'!N"&amp;ROW())),"")</f>
        <v/>
      </c>
      <c r="P17" s="2" t="n"/>
      <c r="Q17" s="2" t="n"/>
      <c r="R17" s="2" t="n"/>
      <c r="S17" s="18">
        <f>IFERROR(IF(ISBLANK(INDIRECT("'"&amp;$Q$2&amp;"'!G"&amp;ROW())),"",INDIRECT("'"&amp;$Q$2&amp;"'!G"&amp;ROW())),"")</f>
        <v/>
      </c>
      <c r="T17" s="20">
        <f>IF(OR($G17="",$S17=""),"",$G17-$S17)</f>
        <v/>
      </c>
      <c r="U17" s="18">
        <f>IFERROR(IF(ISBLANK(INDIRECT("'"&amp;$Q$2&amp;"'!K"&amp;ROW())),"",INDIRECT("'"&amp;$Q$2&amp;"'!K"&amp;ROW())),"")</f>
        <v/>
      </c>
      <c r="V17" s="20">
        <f>IF(OR($K17="",$U17=""),"",$K17-$U17)</f>
        <v/>
      </c>
      <c r="W17" s="21">
        <f>IFERROR(IF(ISBLANK(INDIRECT("'"&amp;$Q$2&amp;"'!O"&amp;ROW())),"",INDIRECT("'"&amp;$Q$2&amp;"'!O"&amp;ROW())),"")</f>
        <v/>
      </c>
      <c r="X17" s="21">
        <f>IF(OR($O17="",$W17=""),"",$O17-$W17)</f>
        <v/>
      </c>
      <c r="Y17" s="2" t="n"/>
      <c r="Z17" s="2" t="n"/>
    </row>
    <row r="18" ht="14.25" customHeight="1" s="58">
      <c r="A18" s="12" t="inlineStr">
        <is>
          <t>ВКонтакте</t>
        </is>
      </c>
      <c r="B18" s="12" t="inlineStr">
        <is>
          <t>Муравленко</t>
        </is>
      </c>
      <c r="C18" s="13" t="n">
        <v>62</v>
      </c>
      <c r="D18" s="13" t="n">
        <v>146062</v>
      </c>
      <c r="E18" s="13">
        <f>IF($D18="","",IFERROR(IF(ISBLANK(INDIRECT("'"&amp;$Q$2&amp;"'!D"&amp;ROW())),"",INDIRECT("'"&amp;$Q$2&amp;"'!D"&amp;ROW())),""))</f>
        <v/>
      </c>
      <c r="F18" s="15">
        <f>IF(OR(D18="",E18=""),"",D18-E18)</f>
        <v/>
      </c>
      <c r="G18" s="16">
        <f>IFERROR(F18/E18,"")</f>
        <v/>
      </c>
      <c r="H18" s="13" t="n">
        <v>1294</v>
      </c>
      <c r="I18" s="13">
        <f>IF($H18="","",IFERROR(IF(ISBLANK(INDIRECT("'"&amp;$Q$2&amp;"'!H"&amp;ROW())),"",INDIRECT("'"&amp;$Q$2&amp;"'!H"&amp;ROW())),""))</f>
        <v/>
      </c>
      <c r="J18" s="15">
        <f>IF(OR(H18="",I18=""),"",H18-I18)</f>
        <v/>
      </c>
      <c r="K18" s="16">
        <f>IFERROR(J18/I18,"")</f>
        <v/>
      </c>
      <c r="L18" s="13">
        <f>IFERROR(D18/C18,"")</f>
        <v/>
      </c>
      <c r="M18" s="13">
        <f>IFERROR(H18/D18*1000,"")</f>
        <v/>
      </c>
      <c r="N18" s="13" t="n">
        <v>18228</v>
      </c>
      <c r="O18" s="15">
        <f>IFERROR(IF(OR(N18="",ISBLANK(INDIRECT("'"&amp;$Q$2&amp;"'!N"&amp;ROW()))),"",N18-INDIRECT("'"&amp;$Q$2&amp;"'!N"&amp;ROW())),"")</f>
        <v/>
      </c>
      <c r="P18" s="2" t="n"/>
      <c r="Q18" s="2" t="n"/>
      <c r="R18" s="2" t="n"/>
      <c r="S18" s="18">
        <f>IFERROR(IF(ISBLANK(INDIRECT("'"&amp;$Q$2&amp;"'!G"&amp;ROW())),"",INDIRECT("'"&amp;$Q$2&amp;"'!G"&amp;ROW())),"")</f>
        <v/>
      </c>
      <c r="T18" s="20">
        <f>IF(OR($G18="",$S18=""),"",$G18-$S18)</f>
        <v/>
      </c>
      <c r="U18" s="18">
        <f>IFERROR(IF(ISBLANK(INDIRECT("'"&amp;$Q$2&amp;"'!K"&amp;ROW())),"",INDIRECT("'"&amp;$Q$2&amp;"'!K"&amp;ROW())),"")</f>
        <v/>
      </c>
      <c r="V18" s="20">
        <f>IF(OR($K18="",$U18=""),"",$K18-$U18)</f>
        <v/>
      </c>
      <c r="W18" s="21">
        <f>IFERROR(IF(ISBLANK(INDIRECT("'"&amp;$Q$2&amp;"'!O"&amp;ROW())),"",INDIRECT("'"&amp;$Q$2&amp;"'!O"&amp;ROW())),"")</f>
        <v/>
      </c>
      <c r="X18" s="21">
        <f>IF(OR($O18="",$W18=""),"",$O18-$W18)</f>
        <v/>
      </c>
      <c r="Y18" s="2" t="n"/>
      <c r="Z18" s="2" t="n"/>
    </row>
    <row r="19" ht="14.25" customHeight="1" s="58">
      <c r="A19" s="12" t="inlineStr">
        <is>
          <t>ВКонтакте</t>
        </is>
      </c>
      <c r="B19" s="12" t="inlineStr">
        <is>
          <t>Губкинский</t>
        </is>
      </c>
      <c r="C19" s="13" t="n">
        <v>78</v>
      </c>
      <c r="D19" s="13" t="n">
        <v>117530</v>
      </c>
      <c r="E19" s="13">
        <f>IF($D19="","",IFERROR(IF(ISBLANK(INDIRECT("'"&amp;$Q$2&amp;"'!D"&amp;ROW())),"",INDIRECT("'"&amp;$Q$2&amp;"'!D"&amp;ROW())),""))</f>
        <v/>
      </c>
      <c r="F19" s="15">
        <f>IF(OR(D19="",E19=""),"",D19-E19)</f>
        <v/>
      </c>
      <c r="G19" s="16">
        <f>IFERROR(F19/E19,"")</f>
        <v/>
      </c>
      <c r="H19" s="13" t="n">
        <v>1073</v>
      </c>
      <c r="I19" s="13">
        <f>IF($H19="","",IFERROR(IF(ISBLANK(INDIRECT("'"&amp;$Q$2&amp;"'!H"&amp;ROW())),"",INDIRECT("'"&amp;$Q$2&amp;"'!H"&amp;ROW())),""))</f>
        <v/>
      </c>
      <c r="J19" s="15">
        <f>IF(OR(H19="",I19=""),"",H19-I19)</f>
        <v/>
      </c>
      <c r="K19" s="16">
        <f>IFERROR(J19/I19,"")</f>
        <v/>
      </c>
      <c r="L19" s="13">
        <f>IFERROR(D19/C19,"")</f>
        <v/>
      </c>
      <c r="M19" s="13">
        <f>IFERROR(H19/D19*1000,"")</f>
        <v/>
      </c>
      <c r="N19" s="13" t="n">
        <v>19029</v>
      </c>
      <c r="O19" s="15">
        <f>IFERROR(IF(OR(N19="",ISBLANK(INDIRECT("'"&amp;$Q$2&amp;"'!N"&amp;ROW()))),"",N19-INDIRECT("'"&amp;$Q$2&amp;"'!N"&amp;ROW())),"")</f>
        <v/>
      </c>
      <c r="P19" s="2" t="n"/>
      <c r="Q19" s="2" t="n"/>
      <c r="R19" s="2" t="n"/>
      <c r="S19" s="18">
        <f>IFERROR(IF(ISBLANK(INDIRECT("'"&amp;$Q$2&amp;"'!G"&amp;ROW())),"",INDIRECT("'"&amp;$Q$2&amp;"'!G"&amp;ROW())),"")</f>
        <v/>
      </c>
      <c r="T19" s="20">
        <f>IF(OR($G19="",$S19=""),"",$G19-$S19)</f>
        <v/>
      </c>
      <c r="U19" s="18">
        <f>IFERROR(IF(ISBLANK(INDIRECT("'"&amp;$Q$2&amp;"'!K"&amp;ROW())),"",INDIRECT("'"&amp;$Q$2&amp;"'!K"&amp;ROW())),"")</f>
        <v/>
      </c>
      <c r="V19" s="20">
        <f>IF(OR($K19="",$U19=""),"",$K19-$U19)</f>
        <v/>
      </c>
      <c r="W19" s="21">
        <f>IFERROR(IF(ISBLANK(INDIRECT("'"&amp;$Q$2&amp;"'!O"&amp;ROW())),"",INDIRECT("'"&amp;$Q$2&amp;"'!O"&amp;ROW())),"")</f>
        <v/>
      </c>
      <c r="X19" s="21">
        <f>IF(OR($O19="",$W19=""),"",$O19-$W19)</f>
        <v/>
      </c>
      <c r="Y19" s="2" t="n"/>
      <c r="Z19" s="2" t="n"/>
    </row>
    <row r="20" ht="14.25" customHeight="1" s="58">
      <c r="A20" s="12" t="inlineStr">
        <is>
          <t>ВКонтакте</t>
        </is>
      </c>
      <c r="B20" s="12" t="inlineStr">
        <is>
          <t>Не олени</t>
        </is>
      </c>
      <c r="C20" s="13" t="n">
        <v>22</v>
      </c>
      <c r="D20" s="13" t="n">
        <v>54324</v>
      </c>
      <c r="E20" s="13">
        <f>IF($D20="","",IFERROR(IF(ISBLANK(INDIRECT("'"&amp;$Q$2&amp;"'!D"&amp;ROW())),"",INDIRECT("'"&amp;$Q$2&amp;"'!D"&amp;ROW())),""))</f>
        <v/>
      </c>
      <c r="F20" s="15">
        <f>IF(OR(D20="",E20=""),"",D20-E20)</f>
        <v/>
      </c>
      <c r="G20" s="16">
        <f>IFERROR(F20/E20,"")</f>
        <v/>
      </c>
      <c r="H20" s="13" t="n">
        <v>1597</v>
      </c>
      <c r="I20" s="13">
        <f>IF($H20="","",IFERROR(IF(ISBLANK(INDIRECT("'"&amp;$Q$2&amp;"'!H"&amp;ROW())),"",INDIRECT("'"&amp;$Q$2&amp;"'!H"&amp;ROW())),""))</f>
        <v/>
      </c>
      <c r="J20" s="15">
        <f>IF(OR(H20="",I20=""),"",H20-I20)</f>
        <v/>
      </c>
      <c r="K20" s="16">
        <f>IFERROR(J20/I20,"")</f>
        <v/>
      </c>
      <c r="L20" s="13">
        <f>IFERROR(D20/C20,"")</f>
        <v/>
      </c>
      <c r="M20" s="13">
        <f>IFERROR(H20/D20*1000,"")</f>
        <v/>
      </c>
      <c r="N20" s="13" t="n">
        <v>14628</v>
      </c>
      <c r="O20" s="15">
        <f>IFERROR(IF(OR(N20="",ISBLANK(INDIRECT("'"&amp;$Q$2&amp;"'!N"&amp;ROW()))),"",N20-INDIRECT("'"&amp;$Q$2&amp;"'!N"&amp;ROW())),"")</f>
        <v/>
      </c>
      <c r="P20" s="2" t="n"/>
      <c r="Q20" s="2" t="n"/>
      <c r="R20" s="2" t="n"/>
      <c r="S20" s="18">
        <f>IFERROR(IF(ISBLANK(INDIRECT("'"&amp;$Q$2&amp;"'!G"&amp;ROW())),"",INDIRECT("'"&amp;$Q$2&amp;"'!G"&amp;ROW())),"")</f>
        <v/>
      </c>
      <c r="T20" s="20">
        <f>IF(OR($G20="",$S20=""),"",$G20-$S20)</f>
        <v/>
      </c>
      <c r="U20" s="18">
        <f>IFERROR(IF(ISBLANK(INDIRECT("'"&amp;$Q$2&amp;"'!K"&amp;ROW())),"",INDIRECT("'"&amp;$Q$2&amp;"'!K"&amp;ROW())),"")</f>
        <v/>
      </c>
      <c r="V20" s="20">
        <f>IF(OR($K20="",$U20=""),"",$K20-$U20)</f>
        <v/>
      </c>
      <c r="W20" s="21">
        <f>IFERROR(IF(ISBLANK(INDIRECT("'"&amp;$Q$2&amp;"'!O"&amp;ROW())),"",INDIRECT("'"&amp;$Q$2&amp;"'!O"&amp;ROW())),"")</f>
        <v/>
      </c>
      <c r="X20" s="21">
        <f>IF(OR($O20="",$W20=""),"",$O20-$W20)</f>
        <v/>
      </c>
      <c r="Y20" s="2" t="n"/>
      <c r="Z20" s="2" t="n"/>
    </row>
    <row r="21" ht="14.25" customHeight="1" s="58">
      <c r="A21" s="12" t="inlineStr">
        <is>
          <t>ВКонтакте</t>
        </is>
      </c>
      <c r="B21" s="12" t="inlineStr">
        <is>
          <t>Этноарктика</t>
        </is>
      </c>
      <c r="C21" s="13" t="n">
        <v>11</v>
      </c>
      <c r="D21" s="13" t="n">
        <v>10388</v>
      </c>
      <c r="E21" s="13">
        <f>IF($D21="","",IFERROR(IF(ISBLANK(INDIRECT("'"&amp;$Q$2&amp;"'!D"&amp;ROW())),"",INDIRECT("'"&amp;$Q$2&amp;"'!D"&amp;ROW())),""))</f>
        <v/>
      </c>
      <c r="F21" s="15">
        <f>IF(OR(D21="",E21=""),"",D21-E21)</f>
        <v/>
      </c>
      <c r="G21" s="16">
        <f>IFERROR(F21/E21,"")</f>
        <v/>
      </c>
      <c r="H21" s="13" t="n">
        <v>300</v>
      </c>
      <c r="I21" s="13">
        <f>IF($H21="","",IFERROR(IF(ISBLANK(INDIRECT("'"&amp;$Q$2&amp;"'!H"&amp;ROW())),"",INDIRECT("'"&amp;$Q$2&amp;"'!H"&amp;ROW())),""))</f>
        <v/>
      </c>
      <c r="J21" s="15">
        <f>IF(OR(H21="",I21=""),"",H21-I21)</f>
        <v/>
      </c>
      <c r="K21" s="16">
        <f>IFERROR(J21/I21,"")</f>
        <v/>
      </c>
      <c r="L21" s="13">
        <f>IFERROR(D21/C21,"")</f>
        <v/>
      </c>
      <c r="M21" s="13">
        <f>IFERROR(H21/D21*1000,"")</f>
        <v/>
      </c>
      <c r="N21" s="13" t="n">
        <v>10605</v>
      </c>
      <c r="O21" s="15">
        <f>IFERROR(IF(OR(N21="",ISBLANK(INDIRECT("'"&amp;$Q$2&amp;"'!N"&amp;ROW()))),"",N21-INDIRECT("'"&amp;$Q$2&amp;"'!N"&amp;ROW())),"")</f>
        <v/>
      </c>
      <c r="P21" s="2" t="n"/>
      <c r="Q21" s="2" t="n"/>
      <c r="R21" s="2" t="n"/>
      <c r="S21" s="18">
        <f>IFERROR(IF(ISBLANK(INDIRECT("'"&amp;$Q$2&amp;"'!G"&amp;ROW())),"",INDIRECT("'"&amp;$Q$2&amp;"'!G"&amp;ROW())),"")</f>
        <v/>
      </c>
      <c r="T21" s="20">
        <f>IF(OR($G21="",$S21=""),"",$G21-$S21)</f>
        <v/>
      </c>
      <c r="U21" s="18">
        <f>IFERROR(IF(ISBLANK(INDIRECT("'"&amp;$Q$2&amp;"'!K"&amp;ROW())),"",INDIRECT("'"&amp;$Q$2&amp;"'!K"&amp;ROW())),"")</f>
        <v/>
      </c>
      <c r="V21" s="20">
        <f>IF(OR($K21="",$U21=""),"",$K21-$U21)</f>
        <v/>
      </c>
      <c r="W21" s="21">
        <f>IFERROR(IF(ISBLANK(INDIRECT("'"&amp;$Q$2&amp;"'!O"&amp;ROW())),"",INDIRECT("'"&amp;$Q$2&amp;"'!O"&amp;ROW())),"")</f>
        <v/>
      </c>
      <c r="X21" s="21">
        <f>IF(OR($O21="",$W21=""),"",$O21-$W21)</f>
        <v/>
      </c>
      <c r="Y21" s="2" t="n"/>
      <c r="Z21" s="2" t="n"/>
    </row>
    <row r="22" ht="14.25" customHeight="1" s="58">
      <c r="A22" s="12" t="inlineStr">
        <is>
          <t>ВКонтакте</t>
        </is>
      </c>
      <c r="B22" s="12" t="inlineStr">
        <is>
          <t>ЗажгиФакел</t>
        </is>
      </c>
      <c r="C22" s="13" t="n">
        <v>14</v>
      </c>
      <c r="D22" s="13" t="n">
        <v>2665</v>
      </c>
      <c r="E22" s="13">
        <f>IF($D22="","",IFERROR(IF(ISBLANK(INDIRECT("'"&amp;$Q$2&amp;"'!D"&amp;ROW())),"",INDIRECT("'"&amp;$Q$2&amp;"'!D"&amp;ROW())),""))</f>
        <v/>
      </c>
      <c r="F22" s="15">
        <f>IF(OR(D22="",E22=""),"",D22-E22)</f>
        <v/>
      </c>
      <c r="G22" s="16">
        <f>IFERROR(F22/E22,"")</f>
        <v/>
      </c>
      <c r="H22" s="13" t="n">
        <v>108</v>
      </c>
      <c r="I22" s="13">
        <f>IF($H22="","",IFERROR(IF(ISBLANK(INDIRECT("'"&amp;$Q$2&amp;"'!H"&amp;ROW())),"",INDIRECT("'"&amp;$Q$2&amp;"'!H"&amp;ROW())),""))</f>
        <v/>
      </c>
      <c r="J22" s="15">
        <f>IF(OR(H22="",I22=""),"",H22-I22)</f>
        <v/>
      </c>
      <c r="K22" s="16">
        <f>IFERROR(J22/I22,"")</f>
        <v/>
      </c>
      <c r="L22" s="13">
        <f>IFERROR(D22/C22,"")</f>
        <v/>
      </c>
      <c r="M22" s="13">
        <f>IFERROR(H22/D22*1000,"")</f>
        <v/>
      </c>
      <c r="N22" s="13" t="n">
        <v>7375</v>
      </c>
      <c r="O22" s="15">
        <f>IFERROR(IF(OR(N22="",ISBLANK(INDIRECT("'"&amp;$Q$2&amp;"'!N"&amp;ROW()))),"",N22-INDIRECT("'"&amp;$Q$2&amp;"'!N"&amp;ROW())),"")</f>
        <v/>
      </c>
      <c r="P22" s="2" t="n"/>
      <c r="Q22" s="2" t="n"/>
      <c r="R22" s="2" t="n"/>
      <c r="S22" s="18">
        <f>IFERROR(IF(ISBLANK(INDIRECT("'"&amp;$Q$2&amp;"'!G"&amp;ROW())),"",INDIRECT("'"&amp;$Q$2&amp;"'!G"&amp;ROW())),"")</f>
        <v/>
      </c>
      <c r="T22" s="20">
        <f>IF(OR($G22="",$S22=""),"",$G22-$S22)</f>
        <v/>
      </c>
      <c r="U22" s="18">
        <f>IFERROR(IF(ISBLANK(INDIRECT("'"&amp;$Q$2&amp;"'!K"&amp;ROW())),"",INDIRECT("'"&amp;$Q$2&amp;"'!K"&amp;ROW())),"")</f>
        <v/>
      </c>
      <c r="V22" s="20">
        <f>IF(OR($K22="",$U22=""),"",$K22-$U22)</f>
        <v/>
      </c>
      <c r="W22" s="21">
        <f>IFERROR(IF(ISBLANK(INDIRECT("'"&amp;$Q$2&amp;"'!O"&amp;ROW())),"",INDIRECT("'"&amp;$Q$2&amp;"'!O"&amp;ROW())),"")</f>
        <v/>
      </c>
      <c r="X22" s="21">
        <f>IF(OR($O22="",$W22=""),"",$O22-$W22)</f>
        <v/>
      </c>
      <c r="Y22" s="2" t="n"/>
      <c r="Z22" s="2" t="n"/>
    </row>
    <row r="23" ht="14.25" customHeight="1" s="58">
      <c r="A23" s="12" t="inlineStr">
        <is>
          <t>ВКонтакте</t>
        </is>
      </c>
      <c r="B23" s="12" t="inlineStr">
        <is>
          <t>Нярьяна Нгэрм</t>
        </is>
      </c>
      <c r="C23" s="13" t="n">
        <v>9</v>
      </c>
      <c r="D23" s="13" t="n">
        <v>13070</v>
      </c>
      <c r="E23" s="13">
        <f>IF($D23="","",IFERROR(IF(ISBLANK(INDIRECT("'"&amp;$Q$2&amp;"'!D"&amp;ROW())),"",INDIRECT("'"&amp;$Q$2&amp;"'!D"&amp;ROW())),""))</f>
        <v/>
      </c>
      <c r="F23" s="15">
        <f>IF(OR(D23="",E23=""),"",D23-E23)</f>
        <v/>
      </c>
      <c r="G23" s="16">
        <f>IFERROR(F23/E23,"")</f>
        <v/>
      </c>
      <c r="H23" s="13" t="n">
        <v>344</v>
      </c>
      <c r="I23" s="13">
        <f>IF($H23="","",IFERROR(IF(ISBLANK(INDIRECT("'"&amp;$Q$2&amp;"'!H"&amp;ROW())),"",INDIRECT("'"&amp;$Q$2&amp;"'!H"&amp;ROW())),""))</f>
        <v/>
      </c>
      <c r="J23" s="15">
        <f>IF(OR(H23="",I23=""),"",H23-I23)</f>
        <v/>
      </c>
      <c r="K23" s="16">
        <f>IFERROR(J23/I23,"")</f>
        <v/>
      </c>
      <c r="L23" s="13">
        <f>IFERROR(D23/C23,"")</f>
        <v/>
      </c>
      <c r="M23" s="13">
        <f>IFERROR(H23/D23*1000,"")</f>
        <v/>
      </c>
      <c r="N23" s="13" t="n">
        <v>5625</v>
      </c>
      <c r="O23" s="15">
        <f>IFERROR(IF(OR(N23="",ISBLANK(INDIRECT("'"&amp;$Q$2&amp;"'!N"&amp;ROW()))),"",N23-INDIRECT("'"&amp;$Q$2&amp;"'!N"&amp;ROW())),"")</f>
        <v/>
      </c>
      <c r="P23" s="2" t="n"/>
      <c r="Q23" s="2" t="n"/>
      <c r="R23" s="2" t="n"/>
      <c r="S23" s="18">
        <f>IFERROR(IF(ISBLANK(INDIRECT("'"&amp;$Q$2&amp;"'!G"&amp;ROW())),"",INDIRECT("'"&amp;$Q$2&amp;"'!G"&amp;ROW())),"")</f>
        <v/>
      </c>
      <c r="T23" s="20">
        <f>IF(OR($G23="",$S23=""),"",$G23-$S23)</f>
        <v/>
      </c>
      <c r="U23" s="18">
        <f>IFERROR(IF(ISBLANK(INDIRECT("'"&amp;$Q$2&amp;"'!K"&amp;ROW())),"",INDIRECT("'"&amp;$Q$2&amp;"'!K"&amp;ROW())),"")</f>
        <v/>
      </c>
      <c r="V23" s="20">
        <f>IF(OR($K23="",$U23=""),"",$K23-$U23)</f>
        <v/>
      </c>
      <c r="W23" s="21">
        <f>IFERROR(IF(ISBLANK(INDIRECT("'"&amp;$Q$2&amp;"'!O"&amp;ROW())),"",INDIRECT("'"&amp;$Q$2&amp;"'!O"&amp;ROW())),"")</f>
        <v/>
      </c>
      <c r="X23" s="21">
        <f>IF(OR($O23="",$W23=""),"",$O23-$W23)</f>
        <v/>
      </c>
      <c r="Y23" s="2" t="n"/>
      <c r="Z23" s="2" t="n"/>
    </row>
    <row r="24" ht="14.25" customHeight="1" s="58">
      <c r="A24" s="12" t="inlineStr">
        <is>
          <t>ВКонтакте</t>
        </is>
      </c>
      <c r="B24" s="12" t="inlineStr">
        <is>
          <t>Лух Авт</t>
        </is>
      </c>
      <c r="C24" s="13" t="n">
        <v>5</v>
      </c>
      <c r="D24" s="13" t="n">
        <v>5841</v>
      </c>
      <c r="E24" s="13">
        <f>IF($D24="","",IFERROR(IF(ISBLANK(INDIRECT("'"&amp;$Q$2&amp;"'!D"&amp;ROW())),"",INDIRECT("'"&amp;$Q$2&amp;"'!D"&amp;ROW())),""))</f>
        <v/>
      </c>
      <c r="F24" s="15">
        <f>IF(OR(D24="",E24=""),"",D24-E24)</f>
        <v/>
      </c>
      <c r="G24" s="16">
        <f>IFERROR(F24/E24,"")</f>
        <v/>
      </c>
      <c r="H24" s="13" t="n">
        <v>202</v>
      </c>
      <c r="I24" s="13">
        <f>IF($H24="","",IFERROR(IF(ISBLANK(INDIRECT("'"&amp;$Q$2&amp;"'!H"&amp;ROW())),"",INDIRECT("'"&amp;$Q$2&amp;"'!H"&amp;ROW())),""))</f>
        <v/>
      </c>
      <c r="J24" s="15">
        <f>IF(OR(H24="",I24=""),"",H24-I24)</f>
        <v/>
      </c>
      <c r="K24" s="16">
        <f>IFERROR(J24/I24,"")</f>
        <v/>
      </c>
      <c r="L24" s="13">
        <f>IFERROR(D24/C24,"")</f>
        <v/>
      </c>
      <c r="M24" s="13">
        <f>IFERROR(H24/D24*1000,"")</f>
        <v/>
      </c>
      <c r="N24" s="13" t="n">
        <v>2328</v>
      </c>
      <c r="O24" s="15">
        <f>IFERROR(IF(OR(N24="",ISBLANK(INDIRECT("'"&amp;$Q$2&amp;"'!N"&amp;ROW()))),"",N24-INDIRECT("'"&amp;$Q$2&amp;"'!N"&amp;ROW())),"")</f>
        <v/>
      </c>
      <c r="P24" s="2" t="n"/>
      <c r="Q24" s="2" t="n"/>
      <c r="R24" s="2" t="n"/>
      <c r="S24" s="18">
        <f>IFERROR(IF(ISBLANK(INDIRECT("'"&amp;$Q$2&amp;"'!G"&amp;ROW())),"",INDIRECT("'"&amp;$Q$2&amp;"'!G"&amp;ROW())),"")</f>
        <v/>
      </c>
      <c r="T24" s="20">
        <f>IF(OR($G24="",$S24=""),"",$G24-$S24)</f>
        <v/>
      </c>
      <c r="U24" s="18">
        <f>IFERROR(IF(ISBLANK(INDIRECT("'"&amp;$Q$2&amp;"'!K"&amp;ROW())),"",INDIRECT("'"&amp;$Q$2&amp;"'!K"&amp;ROW())),"")</f>
        <v/>
      </c>
      <c r="V24" s="20">
        <f>IF(OR($K24="",$U24=""),"",$K24-$U24)</f>
        <v/>
      </c>
      <c r="W24" s="21">
        <f>IFERROR(IF(ISBLANK(INDIRECT("'"&amp;$Q$2&amp;"'!O"&amp;ROW())),"",INDIRECT("'"&amp;$Q$2&amp;"'!O"&amp;ROW())),"")</f>
        <v/>
      </c>
      <c r="X24" s="21">
        <f>IF(OR($O24="",$W24=""),"",$O24-$W24)</f>
        <v/>
      </c>
      <c r="Y24" s="2" t="n"/>
      <c r="Z24" s="2" t="n"/>
    </row>
    <row r="25" ht="14.25" customHeight="1" s="58">
      <c r="A25" s="12" t="inlineStr">
        <is>
          <t>ВКонтакте</t>
        </is>
      </c>
      <c r="B25" s="12" t="inlineStr">
        <is>
          <t>Ямальский меридиан</t>
        </is>
      </c>
      <c r="C25" s="13" t="n">
        <v>7</v>
      </c>
      <c r="D25" s="13" t="n">
        <v>10255</v>
      </c>
      <c r="E25" s="13">
        <f>IF($D25="","",IFERROR(IF(ISBLANK(INDIRECT("'"&amp;$Q$2&amp;"'!D"&amp;ROW())),"",INDIRECT("'"&amp;$Q$2&amp;"'!D"&amp;ROW())),""))</f>
        <v/>
      </c>
      <c r="F25" s="15">
        <f>IF(OR(D25="",E25=""),"",D25-E25)</f>
        <v/>
      </c>
      <c r="G25" s="16">
        <f>IFERROR(F25/E25,"")</f>
        <v/>
      </c>
      <c r="H25" s="13" t="n">
        <v>95</v>
      </c>
      <c r="I25" s="13">
        <f>IF($H25="","",IFERROR(IF(ISBLANK(INDIRECT("'"&amp;$Q$2&amp;"'!H"&amp;ROW())),"",INDIRECT("'"&amp;$Q$2&amp;"'!H"&amp;ROW())),""))</f>
        <v/>
      </c>
      <c r="J25" s="15">
        <f>IF(OR(H25="",I25=""),"",H25-I25)</f>
        <v/>
      </c>
      <c r="K25" s="16">
        <f>IFERROR(J25/I25,"")</f>
        <v/>
      </c>
      <c r="L25" s="13">
        <f>IFERROR(D25/C25,"")</f>
        <v/>
      </c>
      <c r="M25" s="13">
        <f>IFERROR(H25/D25*1000,"")</f>
        <v/>
      </c>
      <c r="N25" s="13" t="n">
        <v>6187</v>
      </c>
      <c r="O25" s="15">
        <f>IFERROR(IF(OR(N25="",ISBLANK(INDIRECT("'"&amp;$Q$2&amp;"'!N"&amp;ROW()))),"",N25-INDIRECT("'"&amp;$Q$2&amp;"'!N"&amp;ROW())),"")</f>
        <v/>
      </c>
      <c r="P25" s="2" t="n"/>
      <c r="Q25" s="2" t="n"/>
      <c r="R25" s="2" t="n"/>
      <c r="S25" s="18">
        <f>IFERROR(IF(ISBLANK(INDIRECT("'"&amp;$Q$2&amp;"'!G"&amp;ROW())),"",INDIRECT("'"&amp;$Q$2&amp;"'!G"&amp;ROW())),"")</f>
        <v/>
      </c>
      <c r="T25" s="20">
        <f>IF(OR($G25="",$S25=""),"",$G25-$S25)</f>
        <v/>
      </c>
      <c r="U25" s="18">
        <f>IFERROR(IF(ISBLANK(INDIRECT("'"&amp;$Q$2&amp;"'!K"&amp;ROW())),"",INDIRECT("'"&amp;$Q$2&amp;"'!K"&amp;ROW())),"")</f>
        <v/>
      </c>
      <c r="V25" s="20">
        <f>IF(OR($K25="",$U25=""),"",$K25-$U25)</f>
        <v/>
      </c>
      <c r="W25" s="21">
        <f>IFERROR(IF(ISBLANK(INDIRECT("'"&amp;$Q$2&amp;"'!O"&amp;ROW())),"",INDIRECT("'"&amp;$Q$2&amp;"'!O"&amp;ROW())),"")</f>
        <v/>
      </c>
      <c r="X25" s="21">
        <f>IF(OR($O25="",$W25=""),"",$O25-$W25)</f>
        <v/>
      </c>
      <c r="Y25" s="2" t="n"/>
      <c r="Z25" s="2" t="n"/>
    </row>
    <row r="26" ht="14.25" customHeight="1" s="58">
      <c r="A26" s="12" t="inlineStr">
        <is>
          <t>ВКонтакте</t>
        </is>
      </c>
      <c r="B26" s="12" t="inlineStr">
        <is>
          <t>МК-Ямал</t>
        </is>
      </c>
      <c r="C26" s="13" t="n">
        <v>235</v>
      </c>
      <c r="D26" s="13" t="n">
        <v>32051</v>
      </c>
      <c r="E26" s="13">
        <f>IF($D26="","",IFERROR(IF(ISBLANK(INDIRECT("'"&amp;$Q$2&amp;"'!D"&amp;ROW())),"",INDIRECT("'"&amp;$Q$2&amp;"'!D"&amp;ROW())),""))</f>
        <v/>
      </c>
      <c r="F26" s="15">
        <f>IF(OR(D26="",E26=""),"",D26-E26)</f>
        <v/>
      </c>
      <c r="G26" s="16">
        <f>IFERROR(F26/E26,"")</f>
        <v/>
      </c>
      <c r="H26" s="13" t="n">
        <v>122</v>
      </c>
      <c r="I26" s="13">
        <f>IF($H26="","",IFERROR(IF(ISBLANK(INDIRECT("'"&amp;$Q$2&amp;"'!H"&amp;ROW())),"",INDIRECT("'"&amp;$Q$2&amp;"'!H"&amp;ROW())),""))</f>
        <v/>
      </c>
      <c r="J26" s="15">
        <f>IF(OR(H26="",I26=""),"",H26-I26)</f>
        <v/>
      </c>
      <c r="K26" s="16">
        <f>IFERROR(J26/I26,"")</f>
        <v/>
      </c>
      <c r="L26" s="13">
        <f>IFERROR(D26/C26,"")</f>
        <v/>
      </c>
      <c r="M26" s="13">
        <f>IFERROR(H26/D26*1000,"")</f>
        <v/>
      </c>
      <c r="N26" s="13" t="n">
        <v>7940</v>
      </c>
      <c r="O26" s="15">
        <f>IFERROR(IF(OR(N26="",ISBLANK(INDIRECT("'"&amp;$Q$2&amp;"'!N"&amp;ROW()))),"",N26-INDIRECT("'"&amp;$Q$2&amp;"'!N"&amp;ROW())),"")</f>
        <v/>
      </c>
      <c r="P26" s="2" t="n"/>
      <c r="Q26" s="2" t="n"/>
      <c r="R26" s="2" t="n"/>
      <c r="S26" s="18">
        <f>IFERROR(IF(ISBLANK(INDIRECT("'"&amp;$Q$2&amp;"'!G"&amp;ROW())),"",INDIRECT("'"&amp;$Q$2&amp;"'!G"&amp;ROW())),"")</f>
        <v/>
      </c>
      <c r="T26" s="20">
        <f>IF(OR($G26="",$S26=""),"",$G26-$S26)</f>
        <v/>
      </c>
      <c r="U26" s="18">
        <f>IFERROR(IF(ISBLANK(INDIRECT("'"&amp;$Q$2&amp;"'!K"&amp;ROW())),"",INDIRECT("'"&amp;$Q$2&amp;"'!K"&amp;ROW())),"")</f>
        <v/>
      </c>
      <c r="V26" s="20">
        <f>IF(OR($K26="",$U26=""),"",$K26-$U26)</f>
        <v/>
      </c>
      <c r="W26" s="21">
        <f>IFERROR(IF(ISBLANK(INDIRECT("'"&amp;$Q$2&amp;"'!O"&amp;ROW())),"",INDIRECT("'"&amp;$Q$2&amp;"'!O"&amp;ROW())),"")</f>
        <v/>
      </c>
      <c r="X26" s="21">
        <f>IF(OR($O26="",$W26=""),"",$O26-$W26)</f>
        <v/>
      </c>
      <c r="Y26" s="2" t="n"/>
      <c r="Z26" s="2" t="n"/>
    </row>
    <row r="27" ht="14.25" customHeight="1" s="58">
      <c r="A27" s="12" t="inlineStr">
        <is>
          <t>ВКонтакте</t>
        </is>
      </c>
      <c r="B27" s="12" t="inlineStr">
        <is>
          <t>Арктика Вконтакте</t>
        </is>
      </c>
      <c r="C27" s="13" t="n">
        <v>10</v>
      </c>
      <c r="D27" s="13" t="n">
        <v>2184</v>
      </c>
      <c r="E27" s="13">
        <f>IF($D27="","",IFERROR(IF(ISBLANK(INDIRECT("'"&amp;$Q$2&amp;"'!D"&amp;ROW())),"",INDIRECT("'"&amp;$Q$2&amp;"'!D"&amp;ROW())),""))</f>
        <v/>
      </c>
      <c r="F27" s="15">
        <f>IF(OR(D27="",E27=""),"",D27-E27)</f>
        <v/>
      </c>
      <c r="G27" s="16">
        <f>IFERROR(F27/E27,"")</f>
        <v/>
      </c>
      <c r="H27" s="13" t="n">
        <v>27</v>
      </c>
      <c r="I27" s="13">
        <f>IF($H27="","",IFERROR(IF(ISBLANK(INDIRECT("'"&amp;$Q$2&amp;"'!H"&amp;ROW())),"",INDIRECT("'"&amp;$Q$2&amp;"'!H"&amp;ROW())),""))</f>
        <v/>
      </c>
      <c r="J27" s="15">
        <f>IF(OR(H27="",I27=""),"",H27-I27)</f>
        <v/>
      </c>
      <c r="K27" s="16">
        <f>IFERROR(J27/I27,"")</f>
        <v/>
      </c>
      <c r="L27" s="13">
        <f>IFERROR(D27/C27,"")</f>
        <v/>
      </c>
      <c r="M27" s="13">
        <f>IFERROR(H27/D27*1000,"")</f>
        <v/>
      </c>
      <c r="N27" s="13" t="n">
        <v>16711</v>
      </c>
      <c r="O27" s="15">
        <f>IFERROR(IF(OR(N27="",ISBLANK(INDIRECT("'"&amp;$Q$2&amp;"'!N"&amp;ROW()))),"",N27-INDIRECT("'"&amp;$Q$2&amp;"'!N"&amp;ROW())),"")</f>
        <v/>
      </c>
      <c r="P27" s="2" t="n"/>
      <c r="Q27" s="2" t="n"/>
      <c r="R27" s="2" t="n"/>
      <c r="S27" s="18">
        <f>IFERROR(IF(ISBLANK(INDIRECT("'"&amp;$Q$2&amp;"'!G"&amp;ROW())),"",INDIRECT("'"&amp;$Q$2&amp;"'!G"&amp;ROW())),"")</f>
        <v/>
      </c>
      <c r="T27" s="20">
        <f>IF(OR($G27="",$S27=""),"",$G27-$S27)</f>
        <v/>
      </c>
      <c r="U27" s="18">
        <f>IFERROR(IF(ISBLANK(INDIRECT("'"&amp;$Q$2&amp;"'!K"&amp;ROW())),"",INDIRECT("'"&amp;$Q$2&amp;"'!K"&amp;ROW())),"")</f>
        <v/>
      </c>
      <c r="V27" s="20">
        <f>IF(OR($K27="",$U27=""),"",$K27-$U27)</f>
        <v/>
      </c>
      <c r="W27" s="21">
        <f>IFERROR(IF(ISBLANK(INDIRECT("'"&amp;$Q$2&amp;"'!O"&amp;ROW())),"",INDIRECT("'"&amp;$Q$2&amp;"'!O"&amp;ROW())),"")</f>
        <v/>
      </c>
      <c r="X27" s="21">
        <f>IF(OR($O27="",$W27=""),"",$O27-$W27)</f>
        <v/>
      </c>
      <c r="Y27" s="2" t="n"/>
      <c r="Z27" s="2" t="n"/>
    </row>
    <row r="28" ht="14.25" customHeight="1" s="58">
      <c r="A28" s="12" t="inlineStr">
        <is>
          <t>ВКонтакте</t>
        </is>
      </c>
      <c r="B28" s="12" t="inlineStr">
        <is>
          <t>Ямал Live</t>
        </is>
      </c>
      <c r="C28" s="13" t="n">
        <v>20</v>
      </c>
      <c r="D28" s="13" t="n">
        <v>7159</v>
      </c>
      <c r="E28" s="13">
        <f>IF($D28="","",IFERROR(IF(ISBLANK(INDIRECT("'"&amp;$Q$2&amp;"'!D"&amp;ROW())),"",INDIRECT("'"&amp;$Q$2&amp;"'!D"&amp;ROW())),""))</f>
        <v/>
      </c>
      <c r="F28" s="15">
        <f>IF(OR(D28="",E28=""),"",D28-E28)</f>
        <v/>
      </c>
      <c r="G28" s="16">
        <f>IFERROR(F28/E28,"")</f>
        <v/>
      </c>
      <c r="H28" s="13" t="n">
        <v>30</v>
      </c>
      <c r="I28" s="13">
        <f>IF($H28="","",IFERROR(IF(ISBLANK(INDIRECT("'"&amp;$Q$2&amp;"'!H"&amp;ROW())),"",INDIRECT("'"&amp;$Q$2&amp;"'!H"&amp;ROW())),""))</f>
        <v/>
      </c>
      <c r="J28" s="15">
        <f>IF(OR(H28="",I28=""),"",H28-I28)</f>
        <v/>
      </c>
      <c r="K28" s="16">
        <f>IFERROR(J28/I28,"")</f>
        <v/>
      </c>
      <c r="L28" s="13">
        <f>IFERROR(D28/C28,"")</f>
        <v/>
      </c>
      <c r="M28" s="13">
        <f>IFERROR(H28/D28*1000,"")</f>
        <v/>
      </c>
      <c r="N28" s="13" t="n">
        <v>21923</v>
      </c>
      <c r="O28" s="15">
        <f>IFERROR(IF(OR(N28="",ISBLANK(INDIRECT("'"&amp;$Q$2&amp;"'!N"&amp;ROW()))),"",N28-INDIRECT("'"&amp;$Q$2&amp;"'!N"&amp;ROW())),"")</f>
        <v/>
      </c>
      <c r="P28" s="2" t="n"/>
      <c r="Q28" s="2" t="n"/>
      <c r="R28" s="2" t="n"/>
      <c r="S28" s="18">
        <f>IFERROR(IF(ISBLANK(INDIRECT("'"&amp;$Q$2&amp;"'!G"&amp;ROW())),"",INDIRECT("'"&amp;$Q$2&amp;"'!G"&amp;ROW())),"")</f>
        <v/>
      </c>
      <c r="T28" s="20">
        <f>IF(OR($G28="",$S28=""),"",$G28-$S28)</f>
        <v/>
      </c>
      <c r="U28" s="18">
        <f>IFERROR(IF(ISBLANK(INDIRECT("'"&amp;$Q$2&amp;"'!K"&amp;ROW())),"",INDIRECT("'"&amp;$Q$2&amp;"'!K"&amp;ROW())),"")</f>
        <v/>
      </c>
      <c r="V28" s="20">
        <f>IF(OR($K28="",$U28=""),"",$K28-$U28)</f>
        <v/>
      </c>
      <c r="W28" s="21">
        <f>IFERROR(IF(ISBLANK(INDIRECT("'"&amp;$Q$2&amp;"'!O"&amp;ROW())),"",INDIRECT("'"&amp;$Q$2&amp;"'!O"&amp;ROW())),"")</f>
        <v/>
      </c>
      <c r="X28" s="21">
        <f>IF(OR($O28="",$W28=""),"",$O28-$W28)</f>
        <v/>
      </c>
      <c r="Y28" s="2" t="n"/>
      <c r="Z28" s="2" t="n"/>
    </row>
    <row r="29" ht="14.25" customHeight="1" s="58">
      <c r="A29" s="12" t="inlineStr">
        <is>
          <t>ВКонтакте</t>
        </is>
      </c>
      <c r="B29" s="12" t="inlineStr">
        <is>
          <t>Морошка</t>
        </is>
      </c>
      <c r="C29" s="13" t="n">
        <v>7</v>
      </c>
      <c r="D29" s="13" t="n">
        <v>10725</v>
      </c>
      <c r="E29" s="13">
        <f>IF($D29="","",IFERROR(IF(ISBLANK(INDIRECT("'"&amp;$Q$2&amp;"'!D"&amp;ROW())),"",INDIRECT("'"&amp;$Q$2&amp;"'!D"&amp;ROW())),""))</f>
        <v/>
      </c>
      <c r="F29" s="15">
        <f>IF(OR(D29="",E29=""),"",D29-E29)</f>
        <v/>
      </c>
      <c r="G29" s="16">
        <f>IFERROR(F29/E29,"")</f>
        <v/>
      </c>
      <c r="H29" s="13" t="n">
        <v>253</v>
      </c>
      <c r="I29" s="13">
        <f>IF($H29="","",IFERROR(IF(ISBLANK(INDIRECT("'"&amp;$Q$2&amp;"'!H"&amp;ROW())),"",INDIRECT("'"&amp;$Q$2&amp;"'!H"&amp;ROW())),""))</f>
        <v/>
      </c>
      <c r="J29" s="15">
        <f>IF(OR(H29="",I29=""),"",H29-I29)</f>
        <v/>
      </c>
      <c r="K29" s="16">
        <f>IFERROR(J29/I29,"")</f>
        <v/>
      </c>
      <c r="L29" s="13">
        <f>IFERROR(D29/C29,"")</f>
        <v/>
      </c>
      <c r="M29" s="13">
        <f>IFERROR(H29/D29*1000,"")</f>
        <v/>
      </c>
      <c r="N29" s="13" t="n">
        <v>9625</v>
      </c>
      <c r="O29" s="15">
        <f>IFERROR(IF(OR(N29="",ISBLANK(INDIRECT("'"&amp;$Q$2&amp;"'!N"&amp;ROW()))),"",N29-INDIRECT("'"&amp;$Q$2&amp;"'!N"&amp;ROW())),"")</f>
        <v/>
      </c>
      <c r="P29" s="2" t="n"/>
      <c r="Q29" s="2" t="n"/>
      <c r="R29" s="2" t="n"/>
      <c r="S29" s="18">
        <f>IFERROR(IF(ISBLANK(INDIRECT("'"&amp;$Q$2&amp;"'!G"&amp;ROW())),"",INDIRECT("'"&amp;$Q$2&amp;"'!G"&amp;ROW())),"")</f>
        <v/>
      </c>
      <c r="T29" s="20">
        <f>IF(OR($G29="",$S29=""),"",$G29-$S29)</f>
        <v/>
      </c>
      <c r="U29" s="18">
        <f>IFERROR(IF(ISBLANK(INDIRECT("'"&amp;$Q$2&amp;"'!K"&amp;ROW())),"",INDIRECT("'"&amp;$Q$2&amp;"'!K"&amp;ROW())),"")</f>
        <v/>
      </c>
      <c r="V29" s="20">
        <f>IF(OR($K29="",$U29=""),"",$K29-$U29)</f>
        <v/>
      </c>
      <c r="W29" s="21">
        <f>IFERROR(IF(ISBLANK(INDIRECT("'"&amp;$Q$2&amp;"'!O"&amp;ROW())),"",INDIRECT("'"&amp;$Q$2&amp;"'!O"&amp;ROW())),"")</f>
        <v/>
      </c>
      <c r="X29" s="21">
        <f>IF(OR($O29="",$W29=""),"",$O29-$W29)</f>
        <v/>
      </c>
      <c r="Y29" s="2" t="n"/>
      <c r="Z29" s="2" t="n"/>
    </row>
    <row r="30" ht="14.25" customHeight="1" s="58">
      <c r="A30" s="25" t="n"/>
      <c r="B30" s="25" t="inlineStr">
        <is>
          <t>Итого ВКонтакте</t>
        </is>
      </c>
      <c r="C30" s="26">
        <f>SUM(C3:C29)</f>
        <v/>
      </c>
      <c r="D30" s="26">
        <f>SUM(D3:D29)</f>
        <v/>
      </c>
      <c r="E30" s="26">
        <f>SUM(E3:E29)</f>
        <v/>
      </c>
      <c r="F30" s="27">
        <f>SUM(F3:F29)</f>
        <v/>
      </c>
      <c r="G30" s="28">
        <f>IF(C30=0,"",IFERROR(F30/E30,""))</f>
        <v/>
      </c>
      <c r="H30" s="26">
        <f>SUM(H3:H29)</f>
        <v/>
      </c>
      <c r="I30" s="26">
        <f>SUM(I3:I29)</f>
        <v/>
      </c>
      <c r="J30" s="27">
        <f>SUM(J3:J29)</f>
        <v/>
      </c>
      <c r="K30" s="28">
        <f>IF(C30=0,"",IFERROR(J30/I30,""))</f>
        <v/>
      </c>
      <c r="L30" s="26">
        <f>IFERROR(D30/C30,"")</f>
        <v/>
      </c>
      <c r="M30" s="26">
        <f>IFERROR(H30/D30*1000,"")</f>
        <v/>
      </c>
      <c r="N30" s="26">
        <f>SUM(N3:N29)</f>
        <v/>
      </c>
      <c r="O30" s="27">
        <f>SUM(O3:O29)</f>
        <v/>
      </c>
      <c r="P30" s="2" t="n"/>
      <c r="Q30" s="2" t="n"/>
      <c r="R30" s="2" t="n"/>
      <c r="S30" s="29">
        <f>IFERROR(IF(ISBLANK(INDIRECT("'"&amp;$Q$2&amp;"'!G"&amp;ROW())),"",INDIRECT("'"&amp;$Q$2&amp;"'!G"&amp;ROW())),"")</f>
        <v/>
      </c>
      <c r="T30" s="30">
        <f>IF(OR($G30="",$S30=""),"",$G30-$S30)</f>
        <v/>
      </c>
      <c r="U30" s="29">
        <f>IFERROR(IF(ISBLANK(INDIRECT("'"&amp;$Q$2&amp;"'!K"&amp;ROW())),"",INDIRECT("'"&amp;$Q$2&amp;"'!K"&amp;ROW())),"")</f>
        <v/>
      </c>
      <c r="V30" s="30">
        <f>IF(OR($K30="",$U30=""),"",$K30-$U30)</f>
        <v/>
      </c>
      <c r="W30" s="31">
        <f>IFERROR(IF(ISBLANK(INDIRECT("'"&amp;$Q$2&amp;"'!O"&amp;ROW())),"",INDIRECT("'"&amp;$Q$2&amp;"'!O"&amp;ROW())),"")</f>
        <v/>
      </c>
      <c r="X30" s="31">
        <f>IF(OR(C30=0,$O30="",$W30=""),"",$O30-$W30)</f>
        <v/>
      </c>
      <c r="Y30" s="2" t="n"/>
      <c r="Z30" s="2" t="n"/>
    </row>
    <row r="31" ht="14.25" customHeight="1" s="58">
      <c r="A31" s="12" t="inlineStr">
        <is>
          <t>Одноклассники</t>
        </is>
      </c>
      <c r="B31" s="12" t="inlineStr">
        <is>
          <t>Ямал-Медиа</t>
        </is>
      </c>
      <c r="C31" s="13" t="n">
        <v>118</v>
      </c>
      <c r="D31" s="13" t="n">
        <v>25088</v>
      </c>
      <c r="E31" s="13">
        <f>IF($D31="","",IFERROR(IF(ISBLANK(INDIRECT("'"&amp;$Q$2&amp;"'!D"&amp;ROW())),"",INDIRECT("'"&amp;$Q$2&amp;"'!D"&amp;ROW())),""))</f>
        <v/>
      </c>
      <c r="F31" s="15">
        <f>IF(OR(D31="",E31=""),"",D31-E31)</f>
        <v/>
      </c>
      <c r="G31" s="16">
        <f>IFERROR(F31/E31,"")</f>
        <v/>
      </c>
      <c r="H31" s="13" t="n">
        <v>112</v>
      </c>
      <c r="I31" s="13">
        <f>IF($H31="","",IFERROR(IF(ISBLANK(INDIRECT("'"&amp;$Q$2&amp;"'!H"&amp;ROW())),"",INDIRECT("'"&amp;$Q$2&amp;"'!H"&amp;ROW())),""))</f>
        <v/>
      </c>
      <c r="J31" s="15">
        <f>IF(OR(H31="",I31=""),"",H31-I31)</f>
        <v/>
      </c>
      <c r="K31" s="16">
        <f>IFERROR(J31/I31,"")</f>
        <v/>
      </c>
      <c r="L31" s="13">
        <f>IFERROR(D31/C31,"")</f>
        <v/>
      </c>
      <c r="M31" s="13">
        <f>IFERROR(H31/D31*1000,"")</f>
        <v/>
      </c>
      <c r="N31" s="13" t="n">
        <v>32491</v>
      </c>
      <c r="O31" s="15">
        <f>IFERROR(IF(OR(N31="",ISBLANK(INDIRECT("'"&amp;$Q$2&amp;"'!N"&amp;ROW()))),"",N31-INDIRECT("'"&amp;$Q$2&amp;"'!N"&amp;ROW())),"")</f>
        <v/>
      </c>
      <c r="P31" s="2" t="n"/>
      <c r="Q31" s="2" t="n"/>
      <c r="R31" s="2" t="n"/>
      <c r="S31" s="18">
        <f>IFERROR(IF(ISBLANK(INDIRECT("'"&amp;$Q$2&amp;"'!G"&amp;ROW())),"",INDIRECT("'"&amp;$Q$2&amp;"'!G"&amp;ROW())),"")</f>
        <v/>
      </c>
      <c r="T31" s="20">
        <f>IF(OR($G31="",$S31=""),"",$G31-$S31)</f>
        <v/>
      </c>
      <c r="U31" s="18">
        <f>IFERROR(IF(ISBLANK(INDIRECT("'"&amp;$Q$2&amp;"'!K"&amp;ROW())),"",INDIRECT("'"&amp;$Q$2&amp;"'!K"&amp;ROW())),"")</f>
        <v/>
      </c>
      <c r="V31" s="20">
        <f>IF(OR($K31="",$U31=""),"",$K31-$U31)</f>
        <v/>
      </c>
      <c r="W31" s="21">
        <f>IFERROR(IF(ISBLANK(INDIRECT("'"&amp;$Q$2&amp;"'!O"&amp;ROW())),"",INDIRECT("'"&amp;$Q$2&amp;"'!O"&amp;ROW())),"")</f>
        <v/>
      </c>
      <c r="X31" s="21">
        <f>IF(OR($O31="",$W31=""),"",$O31-$W31)</f>
        <v/>
      </c>
      <c r="Y31" s="2" t="n"/>
      <c r="Z31" s="2" t="n"/>
    </row>
    <row r="32" ht="14.25" customHeight="1" s="58">
      <c r="A32" s="12" t="inlineStr">
        <is>
          <t>Одноклассники</t>
        </is>
      </c>
      <c r="B32" s="12" t="inlineStr">
        <is>
          <t>Север-Пресс</t>
        </is>
      </c>
      <c r="C32" s="13" t="n">
        <v>109</v>
      </c>
      <c r="D32" s="13" t="n">
        <v>31127</v>
      </c>
      <c r="E32" s="13">
        <f>IF($D32="","",IFERROR(IF(ISBLANK(INDIRECT("'"&amp;$Q$2&amp;"'!D"&amp;ROW())),"",INDIRECT("'"&amp;$Q$2&amp;"'!D"&amp;ROW())),""))</f>
        <v/>
      </c>
      <c r="F32" s="15">
        <f>IF(OR(D32="",E32=""),"",D32-E32)</f>
        <v/>
      </c>
      <c r="G32" s="16">
        <f>IFERROR(F32/E32,"")</f>
        <v/>
      </c>
      <c r="H32" s="13" t="n">
        <v>35</v>
      </c>
      <c r="I32" s="13">
        <f>IF($H32="","",IFERROR(IF(ISBLANK(INDIRECT("'"&amp;$Q$2&amp;"'!H"&amp;ROW())),"",INDIRECT("'"&amp;$Q$2&amp;"'!H"&amp;ROW())),""))</f>
        <v/>
      </c>
      <c r="J32" s="15">
        <f>IF(OR(H32="",I32=""),"",H32-I32)</f>
        <v/>
      </c>
      <c r="K32" s="16">
        <f>IFERROR(J32/I32,"")</f>
        <v/>
      </c>
      <c r="L32" s="13">
        <f>IFERROR(D32/C32,"")</f>
        <v/>
      </c>
      <c r="M32" s="13">
        <f>IFERROR(H32/D32*1000,"")</f>
        <v/>
      </c>
      <c r="N32" s="13" t="n">
        <v>21738</v>
      </c>
      <c r="O32" s="15">
        <f>IFERROR(IF(OR(N32="",ISBLANK(INDIRECT("'"&amp;$Q$2&amp;"'!N"&amp;ROW()))),"",N32-INDIRECT("'"&amp;$Q$2&amp;"'!N"&amp;ROW())),"")</f>
        <v/>
      </c>
      <c r="P32" s="2" t="n"/>
      <c r="Q32" s="2" t="n"/>
      <c r="R32" s="2" t="n"/>
      <c r="S32" s="18">
        <f>IFERROR(IF(ISBLANK(INDIRECT("'"&amp;$Q$2&amp;"'!G"&amp;ROW())),"",INDIRECT("'"&amp;$Q$2&amp;"'!G"&amp;ROW())),"")</f>
        <v/>
      </c>
      <c r="T32" s="20">
        <f>IF(OR($G32="",$S32=""),"",$G32-$S32)</f>
        <v/>
      </c>
      <c r="U32" s="18">
        <f>IFERROR(IF(ISBLANK(INDIRECT("'"&amp;$Q$2&amp;"'!K"&amp;ROW())),"",INDIRECT("'"&amp;$Q$2&amp;"'!K"&amp;ROW())),"")</f>
        <v/>
      </c>
      <c r="V32" s="20">
        <f>IF(OR($K32="",$U32=""),"",$K32-$U32)</f>
        <v/>
      </c>
      <c r="W32" s="21">
        <f>IFERROR(IF(ISBLANK(INDIRECT("'"&amp;$Q$2&amp;"'!O"&amp;ROW())),"",INDIRECT("'"&amp;$Q$2&amp;"'!O"&amp;ROW())),"")</f>
        <v/>
      </c>
      <c r="X32" s="21">
        <f>IF(OR($O32="",$W32=""),"",$O32-$W32)</f>
        <v/>
      </c>
      <c r="Y32" s="2" t="n"/>
      <c r="Z32" s="2" t="n"/>
    </row>
    <row r="33" ht="14.25" customHeight="1" s="58">
      <c r="A33" s="12" t="inlineStr">
        <is>
          <t>Одноклассники</t>
        </is>
      </c>
      <c r="B33" s="12" t="inlineStr">
        <is>
          <t>Красный Север</t>
        </is>
      </c>
      <c r="C33" s="13" t="n">
        <v>75</v>
      </c>
      <c r="D33" s="13" t="n">
        <v>24654</v>
      </c>
      <c r="E33" s="13">
        <f>IF($D33="","",IFERROR(IF(ISBLANK(INDIRECT("'"&amp;$Q$2&amp;"'!D"&amp;ROW())),"",INDIRECT("'"&amp;$Q$2&amp;"'!D"&amp;ROW())),""))</f>
        <v/>
      </c>
      <c r="F33" s="15">
        <f>IF(OR(D33="",E33=""),"",D33-E33)</f>
        <v/>
      </c>
      <c r="G33" s="16">
        <f>IFERROR(F33/E33,"")</f>
        <v/>
      </c>
      <c r="H33" s="13" t="n">
        <v>18</v>
      </c>
      <c r="I33" s="13">
        <f>IF($H33="","",IFERROR(IF(ISBLANK(INDIRECT("'"&amp;$Q$2&amp;"'!H"&amp;ROW())),"",INDIRECT("'"&amp;$Q$2&amp;"'!H"&amp;ROW())),""))</f>
        <v/>
      </c>
      <c r="J33" s="15">
        <f>IF(OR(H33="",I33=""),"",H33-I33)</f>
        <v/>
      </c>
      <c r="K33" s="16">
        <f>IFERROR(J33/I33,"")</f>
        <v/>
      </c>
      <c r="L33" s="13">
        <f>IFERROR(D33/C33,"")</f>
        <v/>
      </c>
      <c r="M33" s="13">
        <f>IFERROR(H33/D33*1000,"")</f>
        <v/>
      </c>
      <c r="N33" s="13" t="n">
        <v>8958</v>
      </c>
      <c r="O33" s="15">
        <f>IFERROR(IF(OR(N33="",ISBLANK(INDIRECT("'"&amp;$Q$2&amp;"'!N"&amp;ROW()))),"",N33-INDIRECT("'"&amp;$Q$2&amp;"'!N"&amp;ROW())),"")</f>
        <v/>
      </c>
      <c r="P33" s="2" t="n"/>
      <c r="Q33" s="2" t="n"/>
      <c r="R33" s="2" t="n"/>
      <c r="S33" s="18">
        <f>IFERROR(IF(ISBLANK(INDIRECT("'"&amp;$Q$2&amp;"'!G"&amp;ROW())),"",INDIRECT("'"&amp;$Q$2&amp;"'!G"&amp;ROW())),"")</f>
        <v/>
      </c>
      <c r="T33" s="20">
        <f>IF(OR($G33="",$S33=""),"",$G33-$S33)</f>
        <v/>
      </c>
      <c r="U33" s="18">
        <f>IFERROR(IF(ISBLANK(INDIRECT("'"&amp;$Q$2&amp;"'!K"&amp;ROW())),"",INDIRECT("'"&amp;$Q$2&amp;"'!K"&amp;ROW())),"")</f>
        <v/>
      </c>
      <c r="V33" s="20">
        <f>IF(OR($K33="",$U33=""),"",$K33-$U33)</f>
        <v/>
      </c>
      <c r="W33" s="21">
        <f>IFERROR(IF(ISBLANK(INDIRECT("'"&amp;$Q$2&amp;"'!O"&amp;ROW())),"",INDIRECT("'"&amp;$Q$2&amp;"'!O"&amp;ROW())),"")</f>
        <v/>
      </c>
      <c r="X33" s="21">
        <f>IF(OR($O33="",$W33=""),"",$O33-$W33)</f>
        <v/>
      </c>
      <c r="Y33" s="2" t="n"/>
      <c r="Z33" s="2" t="n"/>
    </row>
    <row r="34" ht="14.25" customHeight="1" s="58">
      <c r="A34" s="12" t="inlineStr">
        <is>
          <t>Одноклассники</t>
        </is>
      </c>
      <c r="B34" s="12" t="inlineStr">
        <is>
          <t>Новый Уренгой</t>
        </is>
      </c>
      <c r="C34" s="13" t="n">
        <v>84</v>
      </c>
      <c r="D34" s="13" t="n">
        <v>604</v>
      </c>
      <c r="E34" s="13">
        <f>IF($D34="","",IFERROR(IF(ISBLANK(INDIRECT("'"&amp;$Q$2&amp;"'!D"&amp;ROW())),"",INDIRECT("'"&amp;$Q$2&amp;"'!D"&amp;ROW())),""))</f>
        <v/>
      </c>
      <c r="F34" s="15">
        <f>IF(OR(D34="",E34=""),"",D34-E34)</f>
        <v/>
      </c>
      <c r="G34" s="16">
        <f>IFERROR(F34/E34,"")</f>
        <v/>
      </c>
      <c r="H34" s="13" t="n">
        <v>0</v>
      </c>
      <c r="I34" s="13">
        <f>IF($H34="","",IFERROR(IF(ISBLANK(INDIRECT("'"&amp;$Q$2&amp;"'!H"&amp;ROW())),"",INDIRECT("'"&amp;$Q$2&amp;"'!H"&amp;ROW())),""))</f>
        <v/>
      </c>
      <c r="J34" s="15">
        <f>IF(OR(H34="",I34=""),"",H34-I34)</f>
        <v/>
      </c>
      <c r="K34" s="16">
        <f>IFERROR(J34/I34,"")</f>
        <v/>
      </c>
      <c r="L34" s="13">
        <f>IFERROR(D34/C34,"")</f>
        <v/>
      </c>
      <c r="M34" s="13">
        <f>IFERROR(H34/D34*1000,"")</f>
        <v/>
      </c>
      <c r="N34" s="13" t="n">
        <v>6</v>
      </c>
      <c r="O34" s="15">
        <f>IFERROR(IF(OR(N34="",ISBLANK(INDIRECT("'"&amp;$Q$2&amp;"'!N"&amp;ROW()))),"",N34-INDIRECT("'"&amp;$Q$2&amp;"'!N"&amp;ROW())),"")</f>
        <v/>
      </c>
      <c r="P34" s="2" t="n"/>
      <c r="Q34" s="2" t="n"/>
      <c r="R34" s="2" t="n"/>
      <c r="S34" s="18">
        <f>IFERROR(IF(ISBLANK(INDIRECT("'"&amp;$Q$2&amp;"'!G"&amp;ROW())),"",INDIRECT("'"&amp;$Q$2&amp;"'!G"&amp;ROW())),"")</f>
        <v/>
      </c>
      <c r="T34" s="20">
        <f>IF(OR($G34="",$S34=""),"",$G34-$S34)</f>
        <v/>
      </c>
      <c r="U34" s="18">
        <f>IFERROR(IF(ISBLANK(INDIRECT("'"&amp;$Q$2&amp;"'!K"&amp;ROW())),"",INDIRECT("'"&amp;$Q$2&amp;"'!K"&amp;ROW())),"")</f>
        <v/>
      </c>
      <c r="V34" s="20">
        <f>IF(OR($K34="",$U34=""),"",$K34-$U34)</f>
        <v/>
      </c>
      <c r="W34" s="21">
        <f>IFERROR(IF(ISBLANK(INDIRECT("'"&amp;$Q$2&amp;"'!O"&amp;ROW())),"",INDIRECT("'"&amp;$Q$2&amp;"'!O"&amp;ROW())),"")</f>
        <v/>
      </c>
      <c r="X34" s="21">
        <f>IF(OR($O34="",$W34=""),"",$O34-$W34)</f>
        <v/>
      </c>
      <c r="Y34" s="2" t="n"/>
      <c r="Z34" s="2" t="n"/>
    </row>
    <row r="35" ht="14.25" customHeight="1" s="58">
      <c r="A35" s="12" t="inlineStr">
        <is>
          <t>Одноклассники</t>
        </is>
      </c>
      <c r="B35" s="12" t="inlineStr">
        <is>
          <t>Надым</t>
        </is>
      </c>
      <c r="C35" s="13" t="n">
        <v>83</v>
      </c>
      <c r="D35" s="13" t="n">
        <v>8859</v>
      </c>
      <c r="E35" s="13">
        <f>IF($D35="","",IFERROR(IF(ISBLANK(INDIRECT("'"&amp;$Q$2&amp;"'!D"&amp;ROW())),"",INDIRECT("'"&amp;$Q$2&amp;"'!D"&amp;ROW())),""))</f>
        <v/>
      </c>
      <c r="F35" s="15">
        <f>IF(OR(D35="",E35=""),"",D35-E35)</f>
        <v/>
      </c>
      <c r="G35" s="16">
        <f>IFERROR(F35/E35,"")</f>
        <v/>
      </c>
      <c r="H35" s="13" t="n">
        <v>70</v>
      </c>
      <c r="I35" s="13">
        <f>IF($H35="","",IFERROR(IF(ISBLANK(INDIRECT("'"&amp;$Q$2&amp;"'!H"&amp;ROW())),"",INDIRECT("'"&amp;$Q$2&amp;"'!H"&amp;ROW())),""))</f>
        <v/>
      </c>
      <c r="J35" s="15">
        <f>IF(OR(H35="",I35=""),"",H35-I35)</f>
        <v/>
      </c>
      <c r="K35" s="16">
        <f>IFERROR(J35/I35,"")</f>
        <v/>
      </c>
      <c r="L35" s="13">
        <f>IFERROR(D35/C35,"")</f>
        <v/>
      </c>
      <c r="M35" s="13">
        <f>IFERROR(H35/D35*1000,"")</f>
        <v/>
      </c>
      <c r="N35" s="13" t="n">
        <v>1941</v>
      </c>
      <c r="O35" s="15">
        <f>IFERROR(IF(OR(N35="",ISBLANK(INDIRECT("'"&amp;$Q$2&amp;"'!N"&amp;ROW()))),"",N35-INDIRECT("'"&amp;$Q$2&amp;"'!N"&amp;ROW())),"")</f>
        <v/>
      </c>
      <c r="P35" s="2" t="n"/>
      <c r="Q35" s="2" t="n"/>
      <c r="R35" s="2" t="n"/>
      <c r="S35" s="18">
        <f>IFERROR(IF(ISBLANK(INDIRECT("'"&amp;$Q$2&amp;"'!G"&amp;ROW())),"",INDIRECT("'"&amp;$Q$2&amp;"'!G"&amp;ROW())),"")</f>
        <v/>
      </c>
      <c r="T35" s="20">
        <f>IF(OR($G35="",$S35=""),"",$G35-$S35)</f>
        <v/>
      </c>
      <c r="U35" s="18">
        <f>IFERROR(IF(ISBLANK(INDIRECT("'"&amp;$Q$2&amp;"'!K"&amp;ROW())),"",INDIRECT("'"&amp;$Q$2&amp;"'!K"&amp;ROW())),"")</f>
        <v/>
      </c>
      <c r="V35" s="20">
        <f>IF(OR($K35="",$U35=""),"",$K35-$U35)</f>
        <v/>
      </c>
      <c r="W35" s="21">
        <f>IFERROR(IF(ISBLANK(INDIRECT("'"&amp;$Q$2&amp;"'!O"&amp;ROW())),"",INDIRECT("'"&amp;$Q$2&amp;"'!O"&amp;ROW())),"")</f>
        <v/>
      </c>
      <c r="X35" s="21">
        <f>IF(OR($O35="",$W35=""),"",$O35-$W35)</f>
        <v/>
      </c>
      <c r="Y35" s="2" t="n"/>
      <c r="Z35" s="2" t="n"/>
    </row>
    <row r="36" ht="14.25" customHeight="1" s="58">
      <c r="A36" s="12" t="inlineStr">
        <is>
          <t>Одноклассники</t>
        </is>
      </c>
      <c r="B36" s="12" t="inlineStr">
        <is>
          <t>Ноябрьск</t>
        </is>
      </c>
      <c r="C36" s="13" t="n"/>
      <c r="D36" s="13" t="n"/>
      <c r="E36" s="13">
        <f>IF($D36="","",IFERROR(IF(ISBLANK(INDIRECT("'"&amp;$Q$2&amp;"'!D"&amp;ROW())),"",INDIRECT("'"&amp;$Q$2&amp;"'!D"&amp;ROW())),""))</f>
        <v/>
      </c>
      <c r="F36" s="15">
        <f>IF(OR(D36="",E36=""),"",D36-E36)</f>
        <v/>
      </c>
      <c r="G36" s="16">
        <f>IFERROR(F36/E36,"")</f>
        <v/>
      </c>
      <c r="H36" s="13" t="n"/>
      <c r="I36" s="13">
        <f>IF($H36="","",IFERROR(IF(ISBLANK(INDIRECT("'"&amp;$Q$2&amp;"'!H"&amp;ROW())),"",INDIRECT("'"&amp;$Q$2&amp;"'!H"&amp;ROW())),""))</f>
        <v/>
      </c>
      <c r="J36" s="15">
        <f>IF(OR(H36="",I36=""),"",H36-I36)</f>
        <v/>
      </c>
      <c r="K36" s="16">
        <f>IFERROR(J36/I36,"")</f>
        <v/>
      </c>
      <c r="L36" s="13">
        <f>IFERROR(D36/C36,"")</f>
        <v/>
      </c>
      <c r="M36" s="13">
        <f>IFERROR(H36/D36*1000,"")</f>
        <v/>
      </c>
      <c r="N36" s="13" t="n"/>
      <c r="O36" s="15">
        <f>IFERROR(IF(OR(N36="",ISBLANK(INDIRECT("'"&amp;$Q$2&amp;"'!N"&amp;ROW()))),"",N36-INDIRECT("'"&amp;$Q$2&amp;"'!N"&amp;ROW())),"")</f>
        <v/>
      </c>
      <c r="P36" s="2" t="n"/>
      <c r="Q36" s="2" t="n"/>
      <c r="R36" s="2" t="n"/>
      <c r="S36" s="18">
        <f>IFERROR(IF(ISBLANK(INDIRECT("'"&amp;$Q$2&amp;"'!G"&amp;ROW())),"",INDIRECT("'"&amp;$Q$2&amp;"'!G"&amp;ROW())),"")</f>
        <v/>
      </c>
      <c r="T36" s="20">
        <f>IF(OR($G36="",$S36=""),"",$G36-$S36)</f>
        <v/>
      </c>
      <c r="U36" s="18">
        <f>IFERROR(IF(ISBLANK(INDIRECT("'"&amp;$Q$2&amp;"'!K"&amp;ROW())),"",INDIRECT("'"&amp;$Q$2&amp;"'!K"&amp;ROW())),"")</f>
        <v/>
      </c>
      <c r="V36" s="20">
        <f>IF(OR($K36="",$U36=""),"",$K36-$U36)</f>
        <v/>
      </c>
      <c r="W36" s="21">
        <f>IFERROR(IF(ISBLANK(INDIRECT("'"&amp;$Q$2&amp;"'!O"&amp;ROW())),"",INDIRECT("'"&amp;$Q$2&amp;"'!O"&amp;ROW())),"")</f>
        <v/>
      </c>
      <c r="X36" s="21">
        <f>IF(OR($O36="",$W36=""),"",$O36-$W36)</f>
        <v/>
      </c>
      <c r="Y36" s="2" t="n"/>
      <c r="Z36" s="2" t="n"/>
    </row>
    <row r="37" ht="14.25" customHeight="1" s="58">
      <c r="A37" s="12" t="inlineStr">
        <is>
          <t>Одноклассники</t>
        </is>
      </c>
      <c r="B37" s="12" t="inlineStr">
        <is>
          <t>Салехард</t>
        </is>
      </c>
      <c r="C37" s="13" t="n">
        <v>117</v>
      </c>
      <c r="D37" s="13" t="n">
        <v>5607</v>
      </c>
      <c r="E37" s="13">
        <f>IF($D37="","",IFERROR(IF(ISBLANK(INDIRECT("'"&amp;$Q$2&amp;"'!D"&amp;ROW())),"",INDIRECT("'"&amp;$Q$2&amp;"'!D"&amp;ROW())),""))</f>
        <v/>
      </c>
      <c r="F37" s="15">
        <f>IF(OR(D37="",E37=""),"",D37-E37)</f>
        <v/>
      </c>
      <c r="G37" s="16">
        <f>IFERROR(F37/E37,"")</f>
        <v/>
      </c>
      <c r="H37" s="13" t="n">
        <v>18</v>
      </c>
      <c r="I37" s="13">
        <f>IF($H37="","",IFERROR(IF(ISBLANK(INDIRECT("'"&amp;$Q$2&amp;"'!H"&amp;ROW())),"",INDIRECT("'"&amp;$Q$2&amp;"'!H"&amp;ROW())),""))</f>
        <v/>
      </c>
      <c r="J37" s="15">
        <f>IF(OR(H37="",I37=""),"",H37-I37)</f>
        <v/>
      </c>
      <c r="K37" s="16">
        <f>IFERROR(J37/I37,"")</f>
        <v/>
      </c>
      <c r="L37" s="13">
        <f>IFERROR(D37/C37,"")</f>
        <v/>
      </c>
      <c r="M37" s="13">
        <f>IFERROR(H37/D37*1000,"")</f>
        <v/>
      </c>
      <c r="N37" s="13" t="n">
        <v>3238</v>
      </c>
      <c r="O37" s="15">
        <f>IFERROR(IF(OR(N37="",ISBLANK(INDIRECT("'"&amp;$Q$2&amp;"'!N"&amp;ROW()))),"",N37-INDIRECT("'"&amp;$Q$2&amp;"'!N"&amp;ROW())),"")</f>
        <v/>
      </c>
      <c r="P37" s="2" t="n"/>
      <c r="Q37" s="2" t="n"/>
      <c r="R37" s="2" t="n"/>
      <c r="S37" s="18">
        <f>IFERROR(IF(ISBLANK(INDIRECT("'"&amp;$Q$2&amp;"'!G"&amp;ROW())),"",INDIRECT("'"&amp;$Q$2&amp;"'!G"&amp;ROW())),"")</f>
        <v/>
      </c>
      <c r="T37" s="20">
        <f>IF(OR($G37="",$S37=""),"",$G37-$S37)</f>
        <v/>
      </c>
      <c r="U37" s="18">
        <f>IFERROR(IF(ISBLANK(INDIRECT("'"&amp;$Q$2&amp;"'!K"&amp;ROW())),"",INDIRECT("'"&amp;$Q$2&amp;"'!K"&amp;ROW())),"")</f>
        <v/>
      </c>
      <c r="V37" s="20">
        <f>IF(OR($K37="",$U37=""),"",$K37-$U37)</f>
        <v/>
      </c>
      <c r="W37" s="21">
        <f>IFERROR(IF(ISBLANK(INDIRECT("'"&amp;$Q$2&amp;"'!O"&amp;ROW())),"",INDIRECT("'"&amp;$Q$2&amp;"'!O"&amp;ROW())),"")</f>
        <v/>
      </c>
      <c r="X37" s="21">
        <f>IF(OR($O37="",$W37=""),"",$O37-$W37)</f>
        <v/>
      </c>
      <c r="Y37" s="2" t="n"/>
      <c r="Z37" s="2" t="n"/>
    </row>
    <row r="38" ht="14.25" customHeight="1" s="58">
      <c r="A38" s="12" t="inlineStr">
        <is>
          <t>Одноклассники</t>
        </is>
      </c>
      <c r="B38" s="12" t="inlineStr">
        <is>
          <t>Приуралье</t>
        </is>
      </c>
      <c r="C38" s="13" t="n">
        <v>107</v>
      </c>
      <c r="D38" s="13" t="n">
        <v>9151</v>
      </c>
      <c r="E38" s="13">
        <f>IF($D38="","",IFERROR(IF(ISBLANK(INDIRECT("'"&amp;$Q$2&amp;"'!D"&amp;ROW())),"",INDIRECT("'"&amp;$Q$2&amp;"'!D"&amp;ROW())),""))</f>
        <v/>
      </c>
      <c r="F38" s="15">
        <f>IF(OR(D38="",E38=""),"",D38-E38)</f>
        <v/>
      </c>
      <c r="G38" s="16">
        <f>IFERROR(F38/E38,"")</f>
        <v/>
      </c>
      <c r="H38" s="13" t="n">
        <v>151</v>
      </c>
      <c r="I38" s="13">
        <f>IF($H38="","",IFERROR(IF(ISBLANK(INDIRECT("'"&amp;$Q$2&amp;"'!H"&amp;ROW())),"",INDIRECT("'"&amp;$Q$2&amp;"'!H"&amp;ROW())),""))</f>
        <v/>
      </c>
      <c r="J38" s="15">
        <f>IF(OR(H38="",I38=""),"",H38-I38)</f>
        <v/>
      </c>
      <c r="K38" s="16">
        <f>IFERROR(J38/I38,"")</f>
        <v/>
      </c>
      <c r="L38" s="13">
        <f>IFERROR(D38/C38,"")</f>
        <v/>
      </c>
      <c r="M38" s="13">
        <f>IFERROR(H38/D38*1000,"")</f>
        <v/>
      </c>
      <c r="N38" s="13" t="n">
        <v>1711</v>
      </c>
      <c r="O38" s="15">
        <f>IFERROR(IF(OR(N38="",ISBLANK(INDIRECT("'"&amp;$Q$2&amp;"'!N"&amp;ROW()))),"",N38-INDIRECT("'"&amp;$Q$2&amp;"'!N"&amp;ROW())),"")</f>
        <v/>
      </c>
      <c r="P38" s="2" t="n"/>
      <c r="Q38" s="2" t="n"/>
      <c r="R38" s="2" t="n"/>
      <c r="S38" s="18">
        <f>IFERROR(IF(ISBLANK(INDIRECT("'"&amp;$Q$2&amp;"'!G"&amp;ROW())),"",INDIRECT("'"&amp;$Q$2&amp;"'!G"&amp;ROW())),"")</f>
        <v/>
      </c>
      <c r="T38" s="20">
        <f>IF(OR($G38="",$S38=""),"",$G38-$S38)</f>
        <v/>
      </c>
      <c r="U38" s="18">
        <f>IFERROR(IF(ISBLANK(INDIRECT("'"&amp;$Q$2&amp;"'!K"&amp;ROW())),"",INDIRECT("'"&amp;$Q$2&amp;"'!K"&amp;ROW())),"")</f>
        <v/>
      </c>
      <c r="V38" s="20">
        <f>IF(OR($K38="",$U38=""),"",$K38-$U38)</f>
        <v/>
      </c>
      <c r="W38" s="21">
        <f>IFERROR(IF(ISBLANK(INDIRECT("'"&amp;$Q$2&amp;"'!O"&amp;ROW())),"",INDIRECT("'"&amp;$Q$2&amp;"'!O"&amp;ROW())),"")</f>
        <v/>
      </c>
      <c r="X38" s="21">
        <f>IF(OR($O38="",$W38=""),"",$O38-$W38)</f>
        <v/>
      </c>
      <c r="Y38" s="2" t="n"/>
      <c r="Z38" s="2" t="n"/>
    </row>
    <row r="39" ht="14.25" customHeight="1" s="58">
      <c r="A39" s="12" t="inlineStr">
        <is>
          <t>Одноклассники</t>
        </is>
      </c>
      <c r="B39" s="12" t="inlineStr">
        <is>
          <t>Лабытнанги</t>
        </is>
      </c>
      <c r="C39" s="13" t="n">
        <v>53</v>
      </c>
      <c r="D39" s="13" t="n">
        <v>4189</v>
      </c>
      <c r="E39" s="13">
        <f>IF($D39="","",IFERROR(IF(ISBLANK(INDIRECT("'"&amp;$Q$2&amp;"'!D"&amp;ROW())),"",INDIRECT("'"&amp;$Q$2&amp;"'!D"&amp;ROW())),""))</f>
        <v/>
      </c>
      <c r="F39" s="15">
        <f>IF(OR(D39="",E39=""),"",D39-E39)</f>
        <v/>
      </c>
      <c r="G39" s="16">
        <f>IFERROR(F39/E39,"")</f>
        <v/>
      </c>
      <c r="H39" s="13" t="n">
        <v>3</v>
      </c>
      <c r="I39" s="13">
        <f>IF($H39="","",IFERROR(IF(ISBLANK(INDIRECT("'"&amp;$Q$2&amp;"'!H"&amp;ROW())),"",INDIRECT("'"&amp;$Q$2&amp;"'!H"&amp;ROW())),""))</f>
        <v/>
      </c>
      <c r="J39" s="15">
        <f>IF(OR(H39="",I39=""),"",H39-I39)</f>
        <v/>
      </c>
      <c r="K39" s="16">
        <f>IFERROR(J39/I39,"")</f>
        <v/>
      </c>
      <c r="L39" s="13">
        <f>IFERROR(D39/C39,"")</f>
        <v/>
      </c>
      <c r="M39" s="13">
        <f>IFERROR(H39/D39*1000,"")</f>
        <v/>
      </c>
      <c r="N39" s="13" t="n">
        <v>225</v>
      </c>
      <c r="O39" s="15">
        <f>IFERROR(IF(OR(N39="",ISBLANK(INDIRECT("'"&amp;$Q$2&amp;"'!N"&amp;ROW()))),"",N39-INDIRECT("'"&amp;$Q$2&amp;"'!N"&amp;ROW())),"")</f>
        <v/>
      </c>
      <c r="P39" s="2" t="n"/>
      <c r="Q39" s="2" t="n"/>
      <c r="R39" s="2" t="n"/>
      <c r="S39" s="18">
        <f>IFERROR(IF(ISBLANK(INDIRECT("'"&amp;$Q$2&amp;"'!G"&amp;ROW())),"",INDIRECT("'"&amp;$Q$2&amp;"'!G"&amp;ROW())),"")</f>
        <v/>
      </c>
      <c r="T39" s="20">
        <f>IF(OR($G39="",$S39=""),"",$G39-$S39)</f>
        <v/>
      </c>
      <c r="U39" s="18">
        <f>IFERROR(IF(ISBLANK(INDIRECT("'"&amp;$Q$2&amp;"'!K"&amp;ROW())),"",INDIRECT("'"&amp;$Q$2&amp;"'!K"&amp;ROW())),"")</f>
        <v/>
      </c>
      <c r="V39" s="20">
        <f>IF(OR($K39="",$U39=""),"",$K39-$U39)</f>
        <v/>
      </c>
      <c r="W39" s="21">
        <f>IFERROR(IF(ISBLANK(INDIRECT("'"&amp;$Q$2&amp;"'!O"&amp;ROW())),"",INDIRECT("'"&amp;$Q$2&amp;"'!O"&amp;ROW())),"")</f>
        <v/>
      </c>
      <c r="X39" s="21">
        <f>IF(OR($O39="",$W39=""),"",$O39-$W39)</f>
        <v/>
      </c>
      <c r="Y39" s="2" t="n"/>
      <c r="Z39" s="2" t="n"/>
    </row>
    <row r="40" ht="14.25" customHeight="1" s="58">
      <c r="A40" s="12" t="inlineStr">
        <is>
          <t>Одноклассники</t>
        </is>
      </c>
      <c r="B40" s="12" t="inlineStr">
        <is>
          <t>Пуровский</t>
        </is>
      </c>
      <c r="C40" s="13" t="n"/>
      <c r="D40" s="13" t="n"/>
      <c r="E40" s="13">
        <f>IF($D40="","",IFERROR(IF(ISBLANK(INDIRECT("'"&amp;$Q$2&amp;"'!D"&amp;ROW())),"",INDIRECT("'"&amp;$Q$2&amp;"'!D"&amp;ROW())),""))</f>
        <v/>
      </c>
      <c r="F40" s="15">
        <f>IF(OR(D40="",E40=""),"",D40-E40)</f>
        <v/>
      </c>
      <c r="G40" s="16">
        <f>IFERROR(F40/E40,"")</f>
        <v/>
      </c>
      <c r="H40" s="13" t="n"/>
      <c r="I40" s="13">
        <f>IF($H40="","",IFERROR(IF(ISBLANK(INDIRECT("'"&amp;$Q$2&amp;"'!H"&amp;ROW())),"",INDIRECT("'"&amp;$Q$2&amp;"'!H"&amp;ROW())),""))</f>
        <v/>
      </c>
      <c r="J40" s="15">
        <f>IF(OR(H40="",I40=""),"",H40-I40)</f>
        <v/>
      </c>
      <c r="K40" s="16">
        <f>IFERROR(J40/I40,"")</f>
        <v/>
      </c>
      <c r="L40" s="13">
        <f>IFERROR(D40/C40,"")</f>
        <v/>
      </c>
      <c r="M40" s="13">
        <f>IFERROR(H40/D40*1000,"")</f>
        <v/>
      </c>
      <c r="N40" s="13" t="n"/>
      <c r="O40" s="15">
        <f>IFERROR(IF(OR(N40="",ISBLANK(INDIRECT("'"&amp;$Q$2&amp;"'!N"&amp;ROW()))),"",N40-INDIRECT("'"&amp;$Q$2&amp;"'!N"&amp;ROW())),"")</f>
        <v/>
      </c>
      <c r="P40" s="2" t="n"/>
      <c r="Q40" s="2" t="n"/>
      <c r="R40" s="2" t="n"/>
      <c r="S40" s="18">
        <f>IFERROR(IF(ISBLANK(INDIRECT("'"&amp;$Q$2&amp;"'!G"&amp;ROW())),"",INDIRECT("'"&amp;$Q$2&amp;"'!G"&amp;ROW())),"")</f>
        <v/>
      </c>
      <c r="T40" s="20">
        <f>IF(OR($G40="",$S40=""),"",$G40-$S40)</f>
        <v/>
      </c>
      <c r="U40" s="18">
        <f>IFERROR(IF(ISBLANK(INDIRECT("'"&amp;$Q$2&amp;"'!K"&amp;ROW())),"",INDIRECT("'"&amp;$Q$2&amp;"'!K"&amp;ROW())),"")</f>
        <v/>
      </c>
      <c r="V40" s="20">
        <f>IF(OR($K40="",$U40=""),"",$K40-$U40)</f>
        <v/>
      </c>
      <c r="W40" s="21">
        <f>IFERROR(IF(ISBLANK(INDIRECT("'"&amp;$Q$2&amp;"'!O"&amp;ROW())),"",INDIRECT("'"&amp;$Q$2&amp;"'!O"&amp;ROW())),"")</f>
        <v/>
      </c>
      <c r="X40" s="21">
        <f>IF(OR($O40="",$W40=""),"",$O40-$W40)</f>
        <v/>
      </c>
      <c r="Y40" s="2" t="n"/>
      <c r="Z40" s="2" t="n"/>
    </row>
    <row r="41" ht="14.25" customHeight="1" s="58">
      <c r="A41" s="12" t="inlineStr">
        <is>
          <t>Одноклассники</t>
        </is>
      </c>
      <c r="B41" s="12" t="inlineStr">
        <is>
          <t>Тазовский</t>
        </is>
      </c>
      <c r="C41" s="13" t="n">
        <v>50</v>
      </c>
      <c r="D41" s="13" t="n">
        <v>12390</v>
      </c>
      <c r="E41" s="13">
        <f>IF($D41="","",IFERROR(IF(ISBLANK(INDIRECT("'"&amp;$Q$2&amp;"'!D"&amp;ROW())),"",INDIRECT("'"&amp;$Q$2&amp;"'!D"&amp;ROW())),""))</f>
        <v/>
      </c>
      <c r="F41" s="15">
        <f>IF(OR(D41="",E41=""),"",D41-E41)</f>
        <v/>
      </c>
      <c r="G41" s="16">
        <f>IFERROR(F41/E41,"")</f>
        <v/>
      </c>
      <c r="H41" s="13" t="n">
        <v>121</v>
      </c>
      <c r="I41" s="13">
        <f>IF($H41="","",IFERROR(IF(ISBLANK(INDIRECT("'"&amp;$Q$2&amp;"'!H"&amp;ROW())),"",INDIRECT("'"&amp;$Q$2&amp;"'!H"&amp;ROW())),""))</f>
        <v/>
      </c>
      <c r="J41" s="15">
        <f>IF(OR(H41="",I41=""),"",H41-I41)</f>
        <v/>
      </c>
      <c r="K41" s="16">
        <f>IFERROR(J41/I41,"")</f>
        <v/>
      </c>
      <c r="L41" s="13">
        <f>IFERROR(D41/C41,"")</f>
        <v/>
      </c>
      <c r="M41" s="13">
        <f>IFERROR(H41/D41*1000,"")</f>
        <v/>
      </c>
      <c r="N41" s="13" t="n">
        <v>3531</v>
      </c>
      <c r="O41" s="15">
        <f>IFERROR(IF(OR(N41="",ISBLANK(INDIRECT("'"&amp;$Q$2&amp;"'!N"&amp;ROW()))),"",N41-INDIRECT("'"&amp;$Q$2&amp;"'!N"&amp;ROW())),"")</f>
        <v/>
      </c>
      <c r="P41" s="2" t="n"/>
      <c r="Q41" s="2" t="n"/>
      <c r="R41" s="2" t="n"/>
      <c r="S41" s="18">
        <f>IFERROR(IF(ISBLANK(INDIRECT("'"&amp;$Q$2&amp;"'!G"&amp;ROW())),"",INDIRECT("'"&amp;$Q$2&amp;"'!G"&amp;ROW())),"")</f>
        <v/>
      </c>
      <c r="T41" s="20">
        <f>IF(OR($G41="",$S41=""),"",$G41-$S41)</f>
        <v/>
      </c>
      <c r="U41" s="18">
        <f>IFERROR(IF(ISBLANK(INDIRECT("'"&amp;$Q$2&amp;"'!K"&amp;ROW())),"",INDIRECT("'"&amp;$Q$2&amp;"'!K"&amp;ROW())),"")</f>
        <v/>
      </c>
      <c r="V41" s="20">
        <f>IF(OR($K41="",$U41=""),"",$K41-$U41)</f>
        <v/>
      </c>
      <c r="W41" s="21">
        <f>IFERROR(IF(ISBLANK(INDIRECT("'"&amp;$Q$2&amp;"'!O"&amp;ROW())),"",INDIRECT("'"&amp;$Q$2&amp;"'!O"&amp;ROW())),"")</f>
        <v/>
      </c>
      <c r="X41" s="21">
        <f>IF(OR($O41="",$W41=""),"",$O41-$W41)</f>
        <v/>
      </c>
      <c r="Y41" s="2" t="n"/>
      <c r="Z41" s="2" t="n"/>
    </row>
    <row r="42" ht="14.25" customHeight="1" s="58">
      <c r="A42" s="12" t="inlineStr">
        <is>
          <t>Одноклассники</t>
        </is>
      </c>
      <c r="B42" s="12" t="inlineStr">
        <is>
          <t>Красноселькуп</t>
        </is>
      </c>
      <c r="C42" s="13" t="n">
        <v>25</v>
      </c>
      <c r="D42" s="13" t="n">
        <v>6594</v>
      </c>
      <c r="E42" s="13">
        <f>IF($D42="","",IFERROR(IF(ISBLANK(INDIRECT("'"&amp;$Q$2&amp;"'!D"&amp;ROW())),"",INDIRECT("'"&amp;$Q$2&amp;"'!D"&amp;ROW())),""))</f>
        <v/>
      </c>
      <c r="F42" s="15">
        <f>IF(OR(D42="",E42=""),"",D42-E42)</f>
        <v/>
      </c>
      <c r="G42" s="16">
        <f>IFERROR(F42/E42,"")</f>
        <v/>
      </c>
      <c r="H42" s="13" t="n">
        <v>83</v>
      </c>
      <c r="I42" s="13">
        <f>IF($H42="","",IFERROR(IF(ISBLANK(INDIRECT("'"&amp;$Q$2&amp;"'!H"&amp;ROW())),"",INDIRECT("'"&amp;$Q$2&amp;"'!H"&amp;ROW())),""))</f>
        <v/>
      </c>
      <c r="J42" s="15">
        <f>IF(OR(H42="",I42=""),"",H42-I42)</f>
        <v/>
      </c>
      <c r="K42" s="16">
        <f>IFERROR(J42/I42,"")</f>
        <v/>
      </c>
      <c r="L42" s="13">
        <f>IFERROR(D42/C42,"")</f>
        <v/>
      </c>
      <c r="M42" s="13">
        <f>IFERROR(H42/D42*1000,"")</f>
        <v/>
      </c>
      <c r="N42" s="13" t="n">
        <v>653</v>
      </c>
      <c r="O42" s="15">
        <f>IFERROR(IF(OR(N42="",ISBLANK(INDIRECT("'"&amp;$Q$2&amp;"'!N"&amp;ROW()))),"",N42-INDIRECT("'"&amp;$Q$2&amp;"'!N"&amp;ROW())),"")</f>
        <v/>
      </c>
      <c r="P42" s="2" t="n"/>
      <c r="Q42" s="2" t="n"/>
      <c r="R42" s="2" t="n"/>
      <c r="S42" s="18">
        <f>IFERROR(IF(ISBLANK(INDIRECT("'"&amp;$Q$2&amp;"'!G"&amp;ROW())),"",INDIRECT("'"&amp;$Q$2&amp;"'!G"&amp;ROW())),"")</f>
        <v/>
      </c>
      <c r="T42" s="20">
        <f>IF(OR($G42="",$S42=""),"",$G42-$S42)</f>
        <v/>
      </c>
      <c r="U42" s="18">
        <f>IFERROR(IF(ISBLANK(INDIRECT("'"&amp;$Q$2&amp;"'!K"&amp;ROW())),"",INDIRECT("'"&amp;$Q$2&amp;"'!K"&amp;ROW())),"")</f>
        <v/>
      </c>
      <c r="V42" s="20">
        <f>IF(OR($K42="",$U42=""),"",$K42-$U42)</f>
        <v/>
      </c>
      <c r="W42" s="21">
        <f>IFERROR(IF(ISBLANK(INDIRECT("'"&amp;$Q$2&amp;"'!O"&amp;ROW())),"",INDIRECT("'"&amp;$Q$2&amp;"'!O"&amp;ROW())),"")</f>
        <v/>
      </c>
      <c r="X42" s="21">
        <f>IF(OR($O42="",$W42=""),"",$O42-$W42)</f>
        <v/>
      </c>
      <c r="Y42" s="2" t="n"/>
      <c r="Z42" s="2" t="n"/>
    </row>
    <row r="43" ht="14.25" customHeight="1" s="58">
      <c r="A43" s="12" t="inlineStr">
        <is>
          <t>Одноклассники</t>
        </is>
      </c>
      <c r="B43" s="12" t="inlineStr">
        <is>
          <t>Ямальский</t>
        </is>
      </c>
      <c r="C43" s="13" t="n">
        <v>43</v>
      </c>
      <c r="D43" s="13" t="n">
        <v>2452</v>
      </c>
      <c r="E43" s="13">
        <f>IF($D43="","",IFERROR(IF(ISBLANK(INDIRECT("'"&amp;$Q$2&amp;"'!D"&amp;ROW())),"",INDIRECT("'"&amp;$Q$2&amp;"'!D"&amp;ROW())),""))</f>
        <v/>
      </c>
      <c r="F43" s="15">
        <f>IF(OR(D43="",E43=""),"",D43-E43)</f>
        <v/>
      </c>
      <c r="G43" s="16">
        <f>IFERROR(F43/E43,"")</f>
        <v/>
      </c>
      <c r="H43" s="13" t="n">
        <v>11</v>
      </c>
      <c r="I43" s="13">
        <f>IF($H43="","",IFERROR(IF(ISBLANK(INDIRECT("'"&amp;$Q$2&amp;"'!H"&amp;ROW())),"",INDIRECT("'"&amp;$Q$2&amp;"'!H"&amp;ROW())),""))</f>
        <v/>
      </c>
      <c r="J43" s="15">
        <f>IF(OR(H43="",I43=""),"",H43-I43)</f>
        <v/>
      </c>
      <c r="K43" s="16">
        <f>IFERROR(J43/I43,"")</f>
        <v/>
      </c>
      <c r="L43" s="13">
        <f>IFERROR(D43/C43,"")</f>
        <v/>
      </c>
      <c r="M43" s="13">
        <f>IFERROR(H43/D43*1000,"")</f>
        <v/>
      </c>
      <c r="N43" s="13" t="n">
        <v>1952</v>
      </c>
      <c r="O43" s="15">
        <f>IFERROR(IF(OR(N43="",ISBLANK(INDIRECT("'"&amp;$Q$2&amp;"'!N"&amp;ROW()))),"",N43-INDIRECT("'"&amp;$Q$2&amp;"'!N"&amp;ROW())),"")</f>
        <v/>
      </c>
      <c r="P43" s="2" t="n"/>
      <c r="Q43" s="2" t="n"/>
      <c r="R43" s="2" t="n"/>
      <c r="S43" s="18">
        <f>IFERROR(IF(ISBLANK(INDIRECT("'"&amp;$Q$2&amp;"'!G"&amp;ROW())),"",INDIRECT("'"&amp;$Q$2&amp;"'!G"&amp;ROW())),"")</f>
        <v/>
      </c>
      <c r="T43" s="20">
        <f>IF(OR($G43="",$S43=""),"",$G43-$S43)</f>
        <v/>
      </c>
      <c r="U43" s="18">
        <f>IFERROR(IF(ISBLANK(INDIRECT("'"&amp;$Q$2&amp;"'!K"&amp;ROW())),"",INDIRECT("'"&amp;$Q$2&amp;"'!K"&amp;ROW())),"")</f>
        <v/>
      </c>
      <c r="V43" s="20">
        <f>IF(OR($K43="",$U43=""),"",$K43-$U43)</f>
        <v/>
      </c>
      <c r="W43" s="21">
        <f>IFERROR(IF(ISBLANK(INDIRECT("'"&amp;$Q$2&amp;"'!O"&amp;ROW())),"",INDIRECT("'"&amp;$Q$2&amp;"'!O"&amp;ROW())),"")</f>
        <v/>
      </c>
      <c r="X43" s="21">
        <f>IF(OR($O43="",$W43=""),"",$O43-$W43)</f>
        <v/>
      </c>
      <c r="Y43" s="2" t="n"/>
      <c r="Z43" s="2" t="n"/>
    </row>
    <row r="44" ht="14.25" customHeight="1" s="58">
      <c r="A44" s="12" t="inlineStr">
        <is>
          <t>Одноклассники</t>
        </is>
      </c>
      <c r="B44" s="12" t="inlineStr">
        <is>
          <t>Шурышкарский</t>
        </is>
      </c>
      <c r="C44" s="13" t="n"/>
      <c r="D44" s="13" t="n"/>
      <c r="E44" s="13">
        <f>IF($D44="","",IFERROR(IF(ISBLANK(INDIRECT("'"&amp;$Q$2&amp;"'!D"&amp;ROW())),"",INDIRECT("'"&amp;$Q$2&amp;"'!D"&amp;ROW())),""))</f>
        <v/>
      </c>
      <c r="F44" s="15">
        <f>IF(OR(D44="",E44=""),"",D44-E44)</f>
        <v/>
      </c>
      <c r="G44" s="16">
        <f>IFERROR(F44/E44,"")</f>
        <v/>
      </c>
      <c r="H44" s="13" t="n"/>
      <c r="I44" s="13">
        <f>IF($H44="","",IFERROR(IF(ISBLANK(INDIRECT("'"&amp;$Q$2&amp;"'!H"&amp;ROW())),"",INDIRECT("'"&amp;$Q$2&amp;"'!H"&amp;ROW())),""))</f>
        <v/>
      </c>
      <c r="J44" s="15">
        <f>IF(OR(H44="",I44=""),"",H44-I44)</f>
        <v/>
      </c>
      <c r="K44" s="16">
        <f>IFERROR(J44/I44,"")</f>
        <v/>
      </c>
      <c r="L44" s="13">
        <f>IFERROR(D44/C44,"")</f>
        <v/>
      </c>
      <c r="M44" s="13">
        <f>IFERROR(H44/D44*1000,"")</f>
        <v/>
      </c>
      <c r="N44" s="13" t="n"/>
      <c r="O44" s="15">
        <f>IFERROR(IF(OR(N44="",ISBLANK(INDIRECT("'"&amp;$Q$2&amp;"'!N"&amp;ROW()))),"",N44-INDIRECT("'"&amp;$Q$2&amp;"'!N"&amp;ROW())),"")</f>
        <v/>
      </c>
      <c r="P44" s="2" t="n"/>
      <c r="Q44" s="2" t="n"/>
      <c r="R44" s="2" t="n"/>
      <c r="S44" s="18">
        <f>IFERROR(IF(ISBLANK(INDIRECT("'"&amp;$Q$2&amp;"'!G"&amp;ROW())),"",INDIRECT("'"&amp;$Q$2&amp;"'!G"&amp;ROW())),"")</f>
        <v/>
      </c>
      <c r="T44" s="20">
        <f>IF(OR($G44="",$S44=""),"",$G44-$S44)</f>
        <v/>
      </c>
      <c r="U44" s="18">
        <f>IFERROR(IF(ISBLANK(INDIRECT("'"&amp;$Q$2&amp;"'!K"&amp;ROW())),"",INDIRECT("'"&amp;$Q$2&amp;"'!K"&amp;ROW())),"")</f>
        <v/>
      </c>
      <c r="V44" s="20">
        <f>IF(OR($K44="",$U44=""),"",$K44-$U44)</f>
        <v/>
      </c>
      <c r="W44" s="21">
        <f>IFERROR(IF(ISBLANK(INDIRECT("'"&amp;$Q$2&amp;"'!O"&amp;ROW())),"",INDIRECT("'"&amp;$Q$2&amp;"'!O"&amp;ROW())),"")</f>
        <v/>
      </c>
      <c r="X44" s="21">
        <f>IF(OR($O44="",$W44=""),"",$O44-$W44)</f>
        <v/>
      </c>
      <c r="Y44" s="2" t="n"/>
      <c r="Z44" s="2" t="n"/>
    </row>
    <row r="45" ht="14.25" customHeight="1" s="58">
      <c r="A45" s="12" t="inlineStr">
        <is>
          <t>Одноклассники</t>
        </is>
      </c>
      <c r="B45" s="12" t="inlineStr">
        <is>
          <t>Муравленко</t>
        </is>
      </c>
      <c r="C45" s="13" t="n">
        <v>50</v>
      </c>
      <c r="D45" s="13" t="n">
        <v>14463</v>
      </c>
      <c r="E45" s="13">
        <f>IF($D45="","",IFERROR(IF(ISBLANK(INDIRECT("'"&amp;$Q$2&amp;"'!D"&amp;ROW())),"",INDIRECT("'"&amp;$Q$2&amp;"'!D"&amp;ROW())),""))</f>
        <v/>
      </c>
      <c r="F45" s="15">
        <f>IF(OR(D45="",E45=""),"",D45-E45)</f>
        <v/>
      </c>
      <c r="G45" s="16">
        <f>IFERROR(F45/E45,"")</f>
        <v/>
      </c>
      <c r="H45" s="13" t="n">
        <v>201</v>
      </c>
      <c r="I45" s="13">
        <f>IF($H45="","",IFERROR(IF(ISBLANK(INDIRECT("'"&amp;$Q$2&amp;"'!H"&amp;ROW())),"",INDIRECT("'"&amp;$Q$2&amp;"'!H"&amp;ROW())),""))</f>
        <v/>
      </c>
      <c r="J45" s="15">
        <f>IF(OR(H45="",I45=""),"",H45-I45)</f>
        <v/>
      </c>
      <c r="K45" s="16">
        <f>IFERROR(J45/I45,"")</f>
        <v/>
      </c>
      <c r="L45" s="13">
        <f>IFERROR(D45/C45,"")</f>
        <v/>
      </c>
      <c r="M45" s="13">
        <f>IFERROR(H45/D45*1000,"")</f>
        <v/>
      </c>
      <c r="N45" s="13" t="n">
        <v>3747</v>
      </c>
      <c r="O45" s="15">
        <f>IFERROR(IF(OR(N45="",ISBLANK(INDIRECT("'"&amp;$Q$2&amp;"'!N"&amp;ROW()))),"",N45-INDIRECT("'"&amp;$Q$2&amp;"'!N"&amp;ROW())),"")</f>
        <v/>
      </c>
      <c r="P45" s="2" t="n"/>
      <c r="Q45" s="2" t="n"/>
      <c r="R45" s="2" t="n"/>
      <c r="S45" s="18">
        <f>IFERROR(IF(ISBLANK(INDIRECT("'"&amp;$Q$2&amp;"'!G"&amp;ROW())),"",INDIRECT("'"&amp;$Q$2&amp;"'!G"&amp;ROW())),"")</f>
        <v/>
      </c>
      <c r="T45" s="20">
        <f>IF(OR($G45="",$S45=""),"",$G45-$S45)</f>
        <v/>
      </c>
      <c r="U45" s="18">
        <f>IFERROR(IF(ISBLANK(INDIRECT("'"&amp;$Q$2&amp;"'!K"&amp;ROW())),"",INDIRECT("'"&amp;$Q$2&amp;"'!K"&amp;ROW())),"")</f>
        <v/>
      </c>
      <c r="V45" s="20">
        <f>IF(OR($K45="",$U45=""),"",$K45-$U45)</f>
        <v/>
      </c>
      <c r="W45" s="21">
        <f>IFERROR(IF(ISBLANK(INDIRECT("'"&amp;$Q$2&amp;"'!O"&amp;ROW())),"",INDIRECT("'"&amp;$Q$2&amp;"'!O"&amp;ROW())),"")</f>
        <v/>
      </c>
      <c r="X45" s="21">
        <f>IF(OR($O45="",$W45=""),"",$O45-$W45)</f>
        <v/>
      </c>
      <c r="Y45" s="2" t="n"/>
      <c r="Z45" s="2" t="n"/>
    </row>
    <row r="46" ht="14.25" customHeight="1" s="58">
      <c r="A46" s="12" t="inlineStr">
        <is>
          <t>Одноклассники</t>
        </is>
      </c>
      <c r="B46" s="12" t="inlineStr">
        <is>
          <t>Губкинский</t>
        </is>
      </c>
      <c r="C46" s="13" t="n">
        <v>62</v>
      </c>
      <c r="D46" s="13" t="n">
        <v>22558</v>
      </c>
      <c r="E46" s="13">
        <f>IF($D46="","",IFERROR(IF(ISBLANK(INDIRECT("'"&amp;$Q$2&amp;"'!D"&amp;ROW())),"",INDIRECT("'"&amp;$Q$2&amp;"'!D"&amp;ROW())),""))</f>
        <v/>
      </c>
      <c r="F46" s="15">
        <f>IF(OR(D46="",E46=""),"",D46-E46)</f>
        <v/>
      </c>
      <c r="G46" s="16">
        <f>IFERROR(F46/E46,"")</f>
        <v/>
      </c>
      <c r="H46" s="13" t="n">
        <v>342</v>
      </c>
      <c r="I46" s="13">
        <f>IF($H46="","",IFERROR(IF(ISBLANK(INDIRECT("'"&amp;$Q$2&amp;"'!H"&amp;ROW())),"",INDIRECT("'"&amp;$Q$2&amp;"'!H"&amp;ROW())),""))</f>
        <v/>
      </c>
      <c r="J46" s="15">
        <f>IF(OR(H46="",I46=""),"",H46-I46)</f>
        <v/>
      </c>
      <c r="K46" s="16">
        <f>IFERROR(J46/I46,"")</f>
        <v/>
      </c>
      <c r="L46" s="13">
        <f>IFERROR(D46/C46,"")</f>
        <v/>
      </c>
      <c r="M46" s="13">
        <f>IFERROR(H46/D46*1000,"")</f>
        <v/>
      </c>
      <c r="N46" s="13" t="n">
        <v>4507</v>
      </c>
      <c r="O46" s="15">
        <f>IFERROR(IF(OR(N46="",ISBLANK(INDIRECT("'"&amp;$Q$2&amp;"'!N"&amp;ROW()))),"",N46-INDIRECT("'"&amp;$Q$2&amp;"'!N"&amp;ROW())),"")</f>
        <v/>
      </c>
      <c r="P46" s="2" t="n"/>
      <c r="Q46" s="2" t="n"/>
      <c r="R46" s="2" t="n"/>
      <c r="S46" s="18">
        <f>IFERROR(IF(ISBLANK(INDIRECT("'"&amp;$Q$2&amp;"'!G"&amp;ROW())),"",INDIRECT("'"&amp;$Q$2&amp;"'!G"&amp;ROW())),"")</f>
        <v/>
      </c>
      <c r="T46" s="20">
        <f>IF(OR($G46="",$S46=""),"",$G46-$S46)</f>
        <v/>
      </c>
      <c r="U46" s="18">
        <f>IFERROR(IF(ISBLANK(INDIRECT("'"&amp;$Q$2&amp;"'!K"&amp;ROW())),"",INDIRECT("'"&amp;$Q$2&amp;"'!K"&amp;ROW())),"")</f>
        <v/>
      </c>
      <c r="V46" s="20">
        <f>IF(OR($K46="",$U46=""),"",$K46-$U46)</f>
        <v/>
      </c>
      <c r="W46" s="21">
        <f>IFERROR(IF(ISBLANK(INDIRECT("'"&amp;$Q$2&amp;"'!O"&amp;ROW())),"",INDIRECT("'"&amp;$Q$2&amp;"'!O"&amp;ROW())),"")</f>
        <v/>
      </c>
      <c r="X46" s="21">
        <f>IF(OR($O46="",$W46=""),"",$O46-$W46)</f>
        <v/>
      </c>
      <c r="Y46" s="2" t="n"/>
      <c r="Z46" s="2" t="n"/>
    </row>
    <row r="47" ht="14.25" customHeight="1" s="58">
      <c r="A47" s="12" t="inlineStr">
        <is>
          <t>Одноклассники</t>
        </is>
      </c>
      <c r="B47" s="12" t="inlineStr">
        <is>
          <t>Нярьяна Нгэрм</t>
        </is>
      </c>
      <c r="C47" s="13" t="n"/>
      <c r="D47" s="13" t="n"/>
      <c r="E47" s="13">
        <f>IF($D47="","",IFERROR(IF(ISBLANK(INDIRECT("'"&amp;$Q$2&amp;"'!D"&amp;ROW())),"",INDIRECT("'"&amp;$Q$2&amp;"'!D"&amp;ROW())),""))</f>
        <v/>
      </c>
      <c r="F47" s="15">
        <f>IF(OR(D47="",E47=""),"",D47-E47)</f>
        <v/>
      </c>
      <c r="G47" s="16">
        <f>IFERROR(F47/E47,"")</f>
        <v/>
      </c>
      <c r="H47" s="13" t="n"/>
      <c r="I47" s="13">
        <f>IF($H47="","",IFERROR(IF(ISBLANK(INDIRECT("'"&amp;$Q$2&amp;"'!H"&amp;ROW())),"",INDIRECT("'"&amp;$Q$2&amp;"'!H"&amp;ROW())),""))</f>
        <v/>
      </c>
      <c r="J47" s="15">
        <f>IF(OR(H47="",I47=""),"",H47-I47)</f>
        <v/>
      </c>
      <c r="K47" s="16">
        <f>IFERROR(J47/I47,"")</f>
        <v/>
      </c>
      <c r="L47" s="13">
        <f>IFERROR(D47/C47,"")</f>
        <v/>
      </c>
      <c r="M47" s="13">
        <f>IFERROR(H47/D47*1000,"")</f>
        <v/>
      </c>
      <c r="N47" s="13" t="n"/>
      <c r="O47" s="15">
        <f>IFERROR(IF(OR(N47="",ISBLANK(INDIRECT("'"&amp;$Q$2&amp;"'!N"&amp;ROW()))),"",N47-INDIRECT("'"&amp;$Q$2&amp;"'!N"&amp;ROW())),"")</f>
        <v/>
      </c>
      <c r="P47" s="2" t="n"/>
      <c r="Q47" s="2" t="n"/>
      <c r="R47" s="2" t="n"/>
      <c r="S47" s="18">
        <f>IFERROR(IF(ISBLANK(INDIRECT("'"&amp;$Q$2&amp;"'!G"&amp;ROW())),"",INDIRECT("'"&amp;$Q$2&amp;"'!G"&amp;ROW())),"")</f>
        <v/>
      </c>
      <c r="T47" s="20">
        <f>IF(OR($G47="",$S47=""),"",$G47-$S47)</f>
        <v/>
      </c>
      <c r="U47" s="18">
        <f>IFERROR(IF(ISBLANK(INDIRECT("'"&amp;$Q$2&amp;"'!K"&amp;ROW())),"",INDIRECT("'"&amp;$Q$2&amp;"'!K"&amp;ROW())),"")</f>
        <v/>
      </c>
      <c r="V47" s="20">
        <f>IF(OR($K47="",$U47=""),"",$K47-$U47)</f>
        <v/>
      </c>
      <c r="W47" s="21">
        <f>IFERROR(IF(ISBLANK(INDIRECT("'"&amp;$Q$2&amp;"'!O"&amp;ROW())),"",INDIRECT("'"&amp;$Q$2&amp;"'!O"&amp;ROW())),"")</f>
        <v/>
      </c>
      <c r="X47" s="21">
        <f>IF(OR($O47="",$W47=""),"",$O47-$W47)</f>
        <v/>
      </c>
      <c r="Y47" s="2" t="n"/>
      <c r="Z47" s="2" t="n"/>
    </row>
    <row r="48" ht="14.25" customHeight="1" s="58">
      <c r="A48" s="12" t="inlineStr">
        <is>
          <t>Одноклассники</t>
        </is>
      </c>
      <c r="B48" s="12" t="inlineStr">
        <is>
          <t>Лух Авт</t>
        </is>
      </c>
      <c r="C48" s="13" t="n"/>
      <c r="D48" s="13" t="n"/>
      <c r="E48" s="13">
        <f>IF($D48="","",IFERROR(IF(ISBLANK(INDIRECT("'"&amp;$Q$2&amp;"'!D"&amp;ROW())),"",INDIRECT("'"&amp;$Q$2&amp;"'!D"&amp;ROW())),""))</f>
        <v/>
      </c>
      <c r="F48" s="15">
        <f>IF(OR(D48="",E48=""),"",D48-E48)</f>
        <v/>
      </c>
      <c r="G48" s="16">
        <f>IFERROR(F48/E48,"")</f>
        <v/>
      </c>
      <c r="H48" s="13" t="n"/>
      <c r="I48" s="13">
        <f>IF($H48="","",IFERROR(IF(ISBLANK(INDIRECT("'"&amp;$Q$2&amp;"'!H"&amp;ROW())),"",INDIRECT("'"&amp;$Q$2&amp;"'!H"&amp;ROW())),""))</f>
        <v/>
      </c>
      <c r="J48" s="15">
        <f>IF(OR(H48="",I48=""),"",H48-I48)</f>
        <v/>
      </c>
      <c r="K48" s="16">
        <f>IFERROR(J48/I48,"")</f>
        <v/>
      </c>
      <c r="L48" s="13">
        <f>IFERROR(D48/C48,"")</f>
        <v/>
      </c>
      <c r="M48" s="13">
        <f>IFERROR(H48/D48*1000,"")</f>
        <v/>
      </c>
      <c r="N48" s="13" t="n"/>
      <c r="O48" s="15">
        <f>IFERROR(IF(OR(N48="",ISBLANK(INDIRECT("'"&amp;$Q$2&amp;"'!N"&amp;ROW()))),"",N48-INDIRECT("'"&amp;$Q$2&amp;"'!N"&amp;ROW())),"")</f>
        <v/>
      </c>
      <c r="P48" s="2" t="n"/>
      <c r="Q48" s="2" t="n"/>
      <c r="R48" s="2" t="n"/>
      <c r="S48" s="18">
        <f>IFERROR(IF(ISBLANK(INDIRECT("'"&amp;$Q$2&amp;"'!G"&amp;ROW())),"",INDIRECT("'"&amp;$Q$2&amp;"'!G"&amp;ROW())),"")</f>
        <v/>
      </c>
      <c r="T48" s="20">
        <f>IF(OR($G48="",$S48=""),"",$G48-$S48)</f>
        <v/>
      </c>
      <c r="U48" s="18">
        <f>IFERROR(IF(ISBLANK(INDIRECT("'"&amp;$Q$2&amp;"'!K"&amp;ROW())),"",INDIRECT("'"&amp;$Q$2&amp;"'!K"&amp;ROW())),"")</f>
        <v/>
      </c>
      <c r="V48" s="20">
        <f>IF(OR($K48="",$U48=""),"",$K48-$U48)</f>
        <v/>
      </c>
      <c r="W48" s="21">
        <f>IFERROR(IF(ISBLANK(INDIRECT("'"&amp;$Q$2&amp;"'!O"&amp;ROW())),"",INDIRECT("'"&amp;$Q$2&amp;"'!O"&amp;ROW())),"")</f>
        <v/>
      </c>
      <c r="X48" s="21">
        <f>IF(OR($O48="",$W48=""),"",$O48-$W48)</f>
        <v/>
      </c>
      <c r="Y48" s="2" t="n"/>
      <c r="Z48" s="2" t="n"/>
    </row>
    <row r="49" ht="14.25" customHeight="1" s="58">
      <c r="A49" s="12" t="inlineStr">
        <is>
          <t>Одноклассники</t>
        </is>
      </c>
      <c r="B49" s="12" t="inlineStr">
        <is>
          <t>МК-Ямал</t>
        </is>
      </c>
      <c r="C49" s="13" t="n">
        <v>214</v>
      </c>
      <c r="D49" s="13" t="n">
        <v>10157</v>
      </c>
      <c r="E49" s="13">
        <f>IF($D49="","",IFERROR(IF(ISBLANK(INDIRECT("'"&amp;$Q$2&amp;"'!D"&amp;ROW())),"",INDIRECT("'"&amp;$Q$2&amp;"'!D"&amp;ROW())),""))</f>
        <v/>
      </c>
      <c r="F49" s="15">
        <f>IF(OR(D49="",E49=""),"",D49-E49)</f>
        <v/>
      </c>
      <c r="G49" s="16">
        <f>IFERROR(F49/E49,"")</f>
        <v/>
      </c>
      <c r="H49" s="13" t="n">
        <v>1</v>
      </c>
      <c r="I49" s="13">
        <f>IF($H49="","",IFERROR(IF(ISBLANK(INDIRECT("'"&amp;$Q$2&amp;"'!H"&amp;ROW())),"",INDIRECT("'"&amp;$Q$2&amp;"'!H"&amp;ROW())),""))</f>
        <v/>
      </c>
      <c r="J49" s="15">
        <f>IF(OR(H49="",I49=""),"",H49-I49)</f>
        <v/>
      </c>
      <c r="K49" s="16">
        <f>IFERROR(J49/I49,"")</f>
        <v/>
      </c>
      <c r="L49" s="13">
        <f>IFERROR(D49/C49,"")</f>
        <v/>
      </c>
      <c r="M49" s="13">
        <f>IFERROR(H49/D49*1000,"")</f>
        <v/>
      </c>
      <c r="N49" s="13" t="n">
        <v>4820</v>
      </c>
      <c r="O49" s="15">
        <f>IFERROR(IF(OR(N49="",ISBLANK(INDIRECT("'"&amp;$Q$2&amp;"'!N"&amp;ROW()))),"",N49-INDIRECT("'"&amp;$Q$2&amp;"'!N"&amp;ROW())),"")</f>
        <v/>
      </c>
      <c r="P49" s="2" t="n"/>
      <c r="Q49" s="2" t="n"/>
      <c r="R49" s="2" t="n"/>
      <c r="S49" s="18">
        <f>IFERROR(IF(ISBLANK(INDIRECT("'"&amp;$Q$2&amp;"'!G"&amp;ROW())),"",INDIRECT("'"&amp;$Q$2&amp;"'!G"&amp;ROW())),"")</f>
        <v/>
      </c>
      <c r="T49" s="20">
        <f>IF(OR($G49="",$S49=""),"",$G49-$S49)</f>
        <v/>
      </c>
      <c r="U49" s="18">
        <f>IFERROR(IF(ISBLANK(INDIRECT("'"&amp;$Q$2&amp;"'!K"&amp;ROW())),"",INDIRECT("'"&amp;$Q$2&amp;"'!K"&amp;ROW())),"")</f>
        <v/>
      </c>
      <c r="V49" s="20">
        <f>IF(OR($K49="",$U49=""),"",$K49-$U49)</f>
        <v/>
      </c>
      <c r="W49" s="21">
        <f>IFERROR(IF(ISBLANK(INDIRECT("'"&amp;$Q$2&amp;"'!O"&amp;ROW())),"",INDIRECT("'"&amp;$Q$2&amp;"'!O"&amp;ROW())),"")</f>
        <v/>
      </c>
      <c r="X49" s="21">
        <f>IF(OR($O49="",$W49=""),"",$O49-$W49)</f>
        <v/>
      </c>
      <c r="Y49" s="2" t="n"/>
      <c r="Z49" s="2" t="n"/>
    </row>
    <row r="50" ht="14.25" customHeight="1" s="58">
      <c r="A50" s="12" t="inlineStr">
        <is>
          <t>Одноклассники</t>
        </is>
      </c>
      <c r="B50" s="12" t="inlineStr">
        <is>
          <t>Морошка</t>
        </is>
      </c>
      <c r="C50" s="13" t="n"/>
      <c r="D50" s="13" t="n"/>
      <c r="E50" s="13">
        <f>IF($D50="","",IFERROR(IF(ISBLANK(INDIRECT("'"&amp;$Q$2&amp;"'!D"&amp;ROW())),"",INDIRECT("'"&amp;$Q$2&amp;"'!D"&amp;ROW())),""))</f>
        <v/>
      </c>
      <c r="F50" s="15">
        <f>IF(OR(D50="",E50=""),"",D50-E50)</f>
        <v/>
      </c>
      <c r="G50" s="16">
        <f>IFERROR(F50/E50,"")</f>
        <v/>
      </c>
      <c r="H50" s="13" t="n"/>
      <c r="I50" s="13">
        <f>IF($H50="","",IFERROR(IF(ISBLANK(INDIRECT("'"&amp;$Q$2&amp;"'!H"&amp;ROW())),"",INDIRECT("'"&amp;$Q$2&amp;"'!H"&amp;ROW())),""))</f>
        <v/>
      </c>
      <c r="J50" s="15">
        <f>IF(OR(H50="",I50=""),"",H50-I50)</f>
        <v/>
      </c>
      <c r="K50" s="16">
        <f>IFERROR(J50/I50,"")</f>
        <v/>
      </c>
      <c r="L50" s="13">
        <f>IFERROR(D50/C50,"")</f>
        <v/>
      </c>
      <c r="M50" s="13">
        <f>IFERROR(H50/D50*1000,"")</f>
        <v/>
      </c>
      <c r="N50" s="13" t="n"/>
      <c r="O50" s="15">
        <f>IFERROR(IF(OR(N50="",ISBLANK(INDIRECT("'"&amp;$Q$2&amp;"'!N"&amp;ROW()))),"",N50-INDIRECT("'"&amp;$Q$2&amp;"'!N"&amp;ROW())),"")</f>
        <v/>
      </c>
      <c r="P50" s="2" t="n"/>
      <c r="Q50" s="2" t="n"/>
      <c r="R50" s="2" t="n"/>
      <c r="S50" s="18">
        <f>IFERROR(IF(ISBLANK(INDIRECT("'"&amp;$Q$2&amp;"'!G"&amp;ROW())),"",INDIRECT("'"&amp;$Q$2&amp;"'!G"&amp;ROW())),"")</f>
        <v/>
      </c>
      <c r="T50" s="20">
        <f>IF(OR($G50="",$S50=""),"",$G50-$S50)</f>
        <v/>
      </c>
      <c r="U50" s="18">
        <f>IFERROR(IF(ISBLANK(INDIRECT("'"&amp;$Q$2&amp;"'!K"&amp;ROW())),"",INDIRECT("'"&amp;$Q$2&amp;"'!K"&amp;ROW())),"")</f>
        <v/>
      </c>
      <c r="V50" s="20">
        <f>IF(OR($K50="",$U50=""),"",$K50-$U50)</f>
        <v/>
      </c>
      <c r="W50" s="21">
        <f>IFERROR(IF(ISBLANK(INDIRECT("'"&amp;$Q$2&amp;"'!O"&amp;ROW())),"",INDIRECT("'"&amp;$Q$2&amp;"'!O"&amp;ROW())),"")</f>
        <v/>
      </c>
      <c r="X50" s="21">
        <f>IF(OR($O50="",$W50=""),"",$O50-$W50)</f>
        <v/>
      </c>
      <c r="Y50" s="2" t="n"/>
      <c r="Z50" s="2" t="n"/>
    </row>
    <row r="51" ht="14.25" customHeight="1" s="58">
      <c r="A51" s="25" t="n"/>
      <c r="B51" s="25" t="inlineStr">
        <is>
          <t>Итого Одноклассники</t>
        </is>
      </c>
      <c r="C51" s="26">
        <f>SUM(C31:C50)</f>
        <v/>
      </c>
      <c r="D51" s="26">
        <f>SUM(D31:D50)</f>
        <v/>
      </c>
      <c r="E51" s="26">
        <f>SUM(E31:E50)</f>
        <v/>
      </c>
      <c r="F51" s="27">
        <f>SUM(F31:F50)</f>
        <v/>
      </c>
      <c r="G51" s="28">
        <f>IF(C51=0,"",IFERROR(F51/E51,""))</f>
        <v/>
      </c>
      <c r="H51" s="26">
        <f>SUM(H31:H50)</f>
        <v/>
      </c>
      <c r="I51" s="26">
        <f>SUM(I31:I50)</f>
        <v/>
      </c>
      <c r="J51" s="27">
        <f>SUM(J31:J50)</f>
        <v/>
      </c>
      <c r="K51" s="28">
        <f>IF(C51=0,"",IFERROR(J51/I51,""))</f>
        <v/>
      </c>
      <c r="L51" s="26">
        <f>IFERROR(D51/C51,"")</f>
        <v/>
      </c>
      <c r="M51" s="26">
        <f>IFERROR(H51/D51*1000,"")</f>
        <v/>
      </c>
      <c r="N51" s="26">
        <f>SUM(N31:N50)</f>
        <v/>
      </c>
      <c r="O51" s="27">
        <f>SUM(O31:O50)</f>
        <v/>
      </c>
      <c r="P51" s="2" t="n"/>
      <c r="Q51" s="2" t="n"/>
      <c r="R51" s="2" t="n"/>
      <c r="S51" s="29">
        <f>IFERROR(IF(ISBLANK(INDIRECT("'"&amp;$Q$2&amp;"'!G"&amp;ROW())),"",INDIRECT("'"&amp;$Q$2&amp;"'!G"&amp;ROW())),"")</f>
        <v/>
      </c>
      <c r="T51" s="30">
        <f>IF(OR($G51="",$S51=""),"",$G51-$S51)</f>
        <v/>
      </c>
      <c r="U51" s="29">
        <f>IFERROR(IF(ISBLANK(INDIRECT("'"&amp;$Q$2&amp;"'!K"&amp;ROW())),"",INDIRECT("'"&amp;$Q$2&amp;"'!K"&amp;ROW())),"")</f>
        <v/>
      </c>
      <c r="V51" s="30">
        <f>IF(OR($K51="",$U51=""),"",$K51-$U51)</f>
        <v/>
      </c>
      <c r="W51" s="31">
        <f>IFERROR(IF(ISBLANK(INDIRECT("'"&amp;$Q$2&amp;"'!O"&amp;ROW())),"",INDIRECT("'"&amp;$Q$2&amp;"'!O"&amp;ROW())),"")</f>
        <v/>
      </c>
      <c r="X51" s="31">
        <f>IF(OR(C51=0,$O51="",$W51=""),"",$O51-$W51)</f>
        <v/>
      </c>
      <c r="Y51" s="2" t="n"/>
      <c r="Z51" s="2" t="n"/>
    </row>
    <row r="52" ht="14.25" customHeight="1" s="58">
      <c r="A52" s="12" t="inlineStr">
        <is>
          <t>Telegram</t>
        </is>
      </c>
      <c r="B52" s="12" t="inlineStr">
        <is>
          <t>Ямал-Медиа</t>
        </is>
      </c>
      <c r="C52" s="13" t="n">
        <v>141</v>
      </c>
      <c r="D52" s="13" t="n">
        <v>86846</v>
      </c>
      <c r="E52" s="13">
        <f>IF($D52="","",IFERROR(IF(ISBLANK(INDIRECT("'"&amp;$Q$2&amp;"'!D"&amp;ROW())),"",INDIRECT("'"&amp;$Q$2&amp;"'!D"&amp;ROW())),""))</f>
        <v/>
      </c>
      <c r="F52" s="15">
        <f>IF(OR(D52="",E52=""),"",D52-E52)</f>
        <v/>
      </c>
      <c r="G52" s="16">
        <f>IFERROR(F52/E52,"")</f>
        <v/>
      </c>
      <c r="H52" s="13" t="n">
        <v>262</v>
      </c>
      <c r="I52" s="13">
        <f>IF($H52="","",IFERROR(IF(ISBLANK(INDIRECT("'"&amp;$Q$2&amp;"'!H"&amp;ROW())),"",INDIRECT("'"&amp;$Q$2&amp;"'!H"&amp;ROW())),""))</f>
        <v/>
      </c>
      <c r="J52" s="15">
        <f>IF(OR(H52="",I52=""),"",H52-I52)</f>
        <v/>
      </c>
      <c r="K52" s="16">
        <f>IFERROR(J52/I52,"")</f>
        <v/>
      </c>
      <c r="L52" s="13">
        <f>IFERROR(D52/C52,"")</f>
        <v/>
      </c>
      <c r="M52" s="13">
        <f>IFERROR(H52/D52*1000,"")</f>
        <v/>
      </c>
      <c r="N52" s="13" t="n">
        <v>11764</v>
      </c>
      <c r="O52" s="15">
        <f>IFERROR(IF(OR(N52="",ISBLANK(INDIRECT("'"&amp;$Q$2&amp;"'!N"&amp;ROW()))),"",N52-INDIRECT("'"&amp;$Q$2&amp;"'!N"&amp;ROW())),"")</f>
        <v/>
      </c>
      <c r="P52" s="2" t="n"/>
      <c r="Q52" s="2" t="n"/>
      <c r="R52" s="2" t="n"/>
      <c r="S52" s="18">
        <f>IFERROR(IF(ISBLANK(INDIRECT("'"&amp;$Q$2&amp;"'!G"&amp;ROW())),"",INDIRECT("'"&amp;$Q$2&amp;"'!G"&amp;ROW())),"")</f>
        <v/>
      </c>
      <c r="T52" s="20">
        <f>IF(OR($G52="",$S52=""),"",$G52-$S52)</f>
        <v/>
      </c>
      <c r="U52" s="18">
        <f>IFERROR(IF(ISBLANK(INDIRECT("'"&amp;$Q$2&amp;"'!K"&amp;ROW())),"",INDIRECT("'"&amp;$Q$2&amp;"'!K"&amp;ROW())),"")</f>
        <v/>
      </c>
      <c r="V52" s="20">
        <f>IF(OR($K52="",$U52=""),"",$K52-$U52)</f>
        <v/>
      </c>
      <c r="W52" s="21">
        <f>IFERROR(IF(ISBLANK(INDIRECT("'"&amp;$Q$2&amp;"'!O"&amp;ROW())),"",INDIRECT("'"&amp;$Q$2&amp;"'!O"&amp;ROW())),"")</f>
        <v/>
      </c>
      <c r="X52" s="21">
        <f>IF(OR($O52="",$W52=""),"",$O52-$W52)</f>
        <v/>
      </c>
      <c r="Y52" s="2" t="n"/>
      <c r="Z52" s="2" t="n"/>
    </row>
    <row r="53" ht="14.25" customHeight="1" s="58">
      <c r="A53" s="12" t="inlineStr">
        <is>
          <t>Telegram</t>
        </is>
      </c>
      <c r="B53" s="12" t="inlineStr">
        <is>
          <t>Север-Пресс</t>
        </is>
      </c>
      <c r="C53" s="13" t="n">
        <v>135</v>
      </c>
      <c r="D53" s="13" t="n">
        <v>15751</v>
      </c>
      <c r="E53" s="13">
        <f>IF($D53="","",IFERROR(IF(ISBLANK(INDIRECT("'"&amp;$Q$2&amp;"'!D"&amp;ROW())),"",INDIRECT("'"&amp;$Q$2&amp;"'!D"&amp;ROW())),""))</f>
        <v/>
      </c>
      <c r="F53" s="15">
        <f>IF(OR(D53="",E53=""),"",D53-E53)</f>
        <v/>
      </c>
      <c r="G53" s="16">
        <f>IFERROR(F53/E53,"")</f>
        <v/>
      </c>
      <c r="H53" s="13" t="n">
        <v>58</v>
      </c>
      <c r="I53" s="13">
        <f>IF($H53="","",IFERROR(IF(ISBLANK(INDIRECT("'"&amp;$Q$2&amp;"'!H"&amp;ROW())),"",INDIRECT("'"&amp;$Q$2&amp;"'!H"&amp;ROW())),""))</f>
        <v/>
      </c>
      <c r="J53" s="15">
        <f>IF(OR(H53="",I53=""),"",H53-I53)</f>
        <v/>
      </c>
      <c r="K53" s="16">
        <f>IFERROR(J53/I53,"")</f>
        <v/>
      </c>
      <c r="L53" s="13">
        <f>IFERROR(D53/C53,"")</f>
        <v/>
      </c>
      <c r="M53" s="13">
        <f>IFERROR(H53/D53*1000,"")</f>
        <v/>
      </c>
      <c r="N53" s="13" t="n">
        <v>4811</v>
      </c>
      <c r="O53" s="15">
        <f>IFERROR(IF(OR(N53="",ISBLANK(INDIRECT("'"&amp;$Q$2&amp;"'!N"&amp;ROW()))),"",N53-INDIRECT("'"&amp;$Q$2&amp;"'!N"&amp;ROW())),"")</f>
        <v/>
      </c>
      <c r="P53" s="2" t="n"/>
      <c r="Q53" s="2" t="n"/>
      <c r="R53" s="2" t="n"/>
      <c r="S53" s="18">
        <f>IFERROR(IF(ISBLANK(INDIRECT("'"&amp;$Q$2&amp;"'!G"&amp;ROW())),"",INDIRECT("'"&amp;$Q$2&amp;"'!G"&amp;ROW())),"")</f>
        <v/>
      </c>
      <c r="T53" s="20">
        <f>IF(OR($G53="",$S53=""),"",$G53-$S53)</f>
        <v/>
      </c>
      <c r="U53" s="18">
        <f>IFERROR(IF(ISBLANK(INDIRECT("'"&amp;$Q$2&amp;"'!K"&amp;ROW())),"",INDIRECT("'"&amp;$Q$2&amp;"'!K"&amp;ROW())),"")</f>
        <v/>
      </c>
      <c r="V53" s="20">
        <f>IF(OR($K53="",$U53=""),"",$K53-$U53)</f>
        <v/>
      </c>
      <c r="W53" s="21">
        <f>IFERROR(IF(ISBLANK(INDIRECT("'"&amp;$Q$2&amp;"'!O"&amp;ROW())),"",INDIRECT("'"&amp;$Q$2&amp;"'!O"&amp;ROW())),"")</f>
        <v/>
      </c>
      <c r="X53" s="21">
        <f>IF(OR($O53="",$W53=""),"",$O53-$W53)</f>
        <v/>
      </c>
      <c r="Y53" s="2" t="n"/>
      <c r="Z53" s="2" t="n"/>
    </row>
    <row r="54" ht="14.25" customHeight="1" s="58">
      <c r="A54" s="12" t="inlineStr">
        <is>
          <t>Telegram</t>
        </is>
      </c>
      <c r="B54" s="12" t="inlineStr">
        <is>
          <t>Красный Север</t>
        </is>
      </c>
      <c r="C54" s="13" t="n">
        <v>85</v>
      </c>
      <c r="D54" s="13" t="n">
        <v>2041</v>
      </c>
      <c r="E54" s="13">
        <f>IF($D54="","",IFERROR(IF(ISBLANK(INDIRECT("'"&amp;$Q$2&amp;"'!D"&amp;ROW())),"",INDIRECT("'"&amp;$Q$2&amp;"'!D"&amp;ROW())),""))</f>
        <v/>
      </c>
      <c r="F54" s="15">
        <f>IF(OR(D54="",E54=""),"",D54-E54)</f>
        <v/>
      </c>
      <c r="G54" s="16">
        <f>IFERROR(F54/E54,"")</f>
        <v/>
      </c>
      <c r="H54" s="13" t="n">
        <v>2</v>
      </c>
      <c r="I54" s="13">
        <f>IF($H54="","",IFERROR(IF(ISBLANK(INDIRECT("'"&amp;$Q$2&amp;"'!H"&amp;ROW())),"",INDIRECT("'"&amp;$Q$2&amp;"'!H"&amp;ROW())),""))</f>
        <v/>
      </c>
      <c r="J54" s="15">
        <f>IF(OR(H54="",I54=""),"",H54-I54)</f>
        <v/>
      </c>
      <c r="K54" s="16">
        <f>IFERROR(J54/I54,"")</f>
        <v/>
      </c>
      <c r="L54" s="13">
        <f>IFERROR(D54/C54,"")</f>
        <v/>
      </c>
      <c r="M54" s="13">
        <f>IFERROR(H54/D54*1000,"")</f>
        <v/>
      </c>
      <c r="N54" s="13" t="n">
        <v>870</v>
      </c>
      <c r="O54" s="15">
        <f>IFERROR(IF(OR(N54="",ISBLANK(INDIRECT("'"&amp;$Q$2&amp;"'!N"&amp;ROW()))),"",N54-INDIRECT("'"&amp;$Q$2&amp;"'!N"&amp;ROW())),"")</f>
        <v/>
      </c>
      <c r="P54" s="2" t="n"/>
      <c r="Q54" s="2" t="n"/>
      <c r="R54" s="2" t="n"/>
      <c r="S54" s="18">
        <f>IFERROR(IF(ISBLANK(INDIRECT("'"&amp;$Q$2&amp;"'!G"&amp;ROW())),"",INDIRECT("'"&amp;$Q$2&amp;"'!G"&amp;ROW())),"")</f>
        <v/>
      </c>
      <c r="T54" s="20">
        <f>IF(OR($G54="",$S54=""),"",$G54-$S54)</f>
        <v/>
      </c>
      <c r="U54" s="18">
        <f>IFERROR(IF(ISBLANK(INDIRECT("'"&amp;$Q$2&amp;"'!K"&amp;ROW())),"",INDIRECT("'"&amp;$Q$2&amp;"'!K"&amp;ROW())),"")</f>
        <v/>
      </c>
      <c r="V54" s="20">
        <f>IF(OR($K54="",$U54=""),"",$K54-$U54)</f>
        <v/>
      </c>
      <c r="W54" s="21">
        <f>IFERROR(IF(ISBLANK(INDIRECT("'"&amp;$Q$2&amp;"'!O"&amp;ROW())),"",INDIRECT("'"&amp;$Q$2&amp;"'!O"&amp;ROW())),"")</f>
        <v/>
      </c>
      <c r="X54" s="21">
        <f>IF(OR($O54="",$W54=""),"",$O54-$W54)</f>
        <v/>
      </c>
      <c r="Y54" s="2" t="n"/>
      <c r="Z54" s="2" t="n"/>
    </row>
    <row r="55" ht="14.25" customHeight="1" s="58">
      <c r="A55" s="12" t="inlineStr">
        <is>
          <t>Telegram</t>
        </is>
      </c>
      <c r="B55" s="12" t="inlineStr">
        <is>
          <t>СМП</t>
        </is>
      </c>
      <c r="C55" s="13" t="n">
        <v>8</v>
      </c>
      <c r="D55" s="13" t="n">
        <v>6440</v>
      </c>
      <c r="E55" s="13">
        <f>IF($D55="","",IFERROR(IF(ISBLANK(INDIRECT("'"&amp;$Q$2&amp;"'!D"&amp;ROW())),"",INDIRECT("'"&amp;$Q$2&amp;"'!D"&amp;ROW())),""))</f>
        <v/>
      </c>
      <c r="F55" s="15">
        <f>IF(OR(D55="",E55=""),"",D55-E55)</f>
        <v/>
      </c>
      <c r="G55" s="16">
        <f>IFERROR(F55/E55,"")</f>
        <v/>
      </c>
      <c r="H55" s="13" t="n">
        <v>59</v>
      </c>
      <c r="I55" s="13">
        <f>IF($H55="","",IFERROR(IF(ISBLANK(INDIRECT("'"&amp;$Q$2&amp;"'!H"&amp;ROW())),"",INDIRECT("'"&amp;$Q$2&amp;"'!H"&amp;ROW())),""))</f>
        <v/>
      </c>
      <c r="J55" s="15">
        <f>IF(OR(H55="",I55=""),"",H55-I55)</f>
        <v/>
      </c>
      <c r="K55" s="16">
        <f>IFERROR(J55/I55,"")</f>
        <v/>
      </c>
      <c r="L55" s="13">
        <f>IFERROR(D55/C55,"")</f>
        <v/>
      </c>
      <c r="M55" s="13">
        <f>IFERROR(H55/D55*1000,"")</f>
        <v/>
      </c>
      <c r="N55" s="13" t="n">
        <v>13799</v>
      </c>
      <c r="O55" s="15">
        <f>IFERROR(IF(OR(N55="",ISBLANK(INDIRECT("'"&amp;$Q$2&amp;"'!N"&amp;ROW()))),"",N55-INDIRECT("'"&amp;$Q$2&amp;"'!N"&amp;ROW())),"")</f>
        <v/>
      </c>
      <c r="P55" s="2" t="n"/>
      <c r="Q55" s="2" t="n"/>
      <c r="R55" s="2" t="n"/>
      <c r="S55" s="18">
        <f>IFERROR(IF(ISBLANK(INDIRECT("'"&amp;$Q$2&amp;"'!G"&amp;ROW())),"",INDIRECT("'"&amp;$Q$2&amp;"'!G"&amp;ROW())),"")</f>
        <v/>
      </c>
      <c r="T55" s="20">
        <f>IF(OR($G55="",$S55=""),"",$G55-$S55)</f>
        <v/>
      </c>
      <c r="U55" s="18">
        <f>IFERROR(IF(ISBLANK(INDIRECT("'"&amp;$Q$2&amp;"'!K"&amp;ROW())),"",INDIRECT("'"&amp;$Q$2&amp;"'!K"&amp;ROW())),"")</f>
        <v/>
      </c>
      <c r="V55" s="20">
        <f>IF(OR($K55="",$U55=""),"",$K55-$U55)</f>
        <v/>
      </c>
      <c r="W55" s="21">
        <f>IFERROR(IF(ISBLANK(INDIRECT("'"&amp;$Q$2&amp;"'!O"&amp;ROW())),"",INDIRECT("'"&amp;$Q$2&amp;"'!O"&amp;ROW())),"")</f>
        <v/>
      </c>
      <c r="X55" s="21">
        <f>IF(OR($O55="",$W55=""),"",$O55-$W55)</f>
        <v/>
      </c>
      <c r="Y55" s="2" t="n"/>
      <c r="Z55" s="2" t="n"/>
    </row>
    <row r="56" ht="14.25" customHeight="1" s="58">
      <c r="A56" s="12" t="inlineStr">
        <is>
          <t>Telegram</t>
        </is>
      </c>
      <c r="B56" s="12" t="inlineStr">
        <is>
          <t>СШХ</t>
        </is>
      </c>
      <c r="C56" s="13" t="n">
        <v>8</v>
      </c>
      <c r="D56" s="13" t="n">
        <v>2278</v>
      </c>
      <c r="E56" s="13">
        <f>IF($D56="","",IFERROR(IF(ISBLANK(INDIRECT("'"&amp;$Q$2&amp;"'!D"&amp;ROW())),"",INDIRECT("'"&amp;$Q$2&amp;"'!D"&amp;ROW())),""))</f>
        <v/>
      </c>
      <c r="F56" s="15">
        <f>IF(OR(D56="",E56=""),"",D56-E56)</f>
        <v/>
      </c>
      <c r="G56" s="16">
        <f>IFERROR(F56/E56,"")</f>
        <v/>
      </c>
      <c r="H56" s="13" t="n">
        <v>12</v>
      </c>
      <c r="I56" s="13">
        <f>IF($H56="","",IFERROR(IF(ISBLANK(INDIRECT("'"&amp;$Q$2&amp;"'!H"&amp;ROW())),"",INDIRECT("'"&amp;$Q$2&amp;"'!H"&amp;ROW())),""))</f>
        <v/>
      </c>
      <c r="J56" s="15">
        <f>IF(OR(H56="",I56=""),"",H56-I56)</f>
        <v/>
      </c>
      <c r="K56" s="16">
        <f>IFERROR(J56/I56,"")</f>
        <v/>
      </c>
      <c r="L56" s="13">
        <f>IFERROR(D56/C56,"")</f>
        <v/>
      </c>
      <c r="M56" s="13">
        <f>IFERROR(H56/D56*1000,"")</f>
        <v/>
      </c>
      <c r="N56" s="13" t="n">
        <v>8658</v>
      </c>
      <c r="O56" s="15">
        <f>IFERROR(IF(OR(N56="",ISBLANK(INDIRECT("'"&amp;$Q$2&amp;"'!N"&amp;ROW()))),"",N56-INDIRECT("'"&amp;$Q$2&amp;"'!N"&amp;ROW())),"")</f>
        <v/>
      </c>
      <c r="P56" s="2" t="n"/>
      <c r="Q56" s="2" t="n"/>
      <c r="R56" s="2" t="n"/>
      <c r="S56" s="18">
        <f>IFERROR(IF(ISBLANK(INDIRECT("'"&amp;$Q$2&amp;"'!G"&amp;ROW())),"",INDIRECT("'"&amp;$Q$2&amp;"'!G"&amp;ROW())),"")</f>
        <v/>
      </c>
      <c r="T56" s="20">
        <f>IF(OR($G56="",$S56=""),"",$G56-$S56)</f>
        <v/>
      </c>
      <c r="U56" s="18">
        <f>IFERROR(IF(ISBLANK(INDIRECT("'"&amp;$Q$2&amp;"'!K"&amp;ROW())),"",INDIRECT("'"&amp;$Q$2&amp;"'!K"&amp;ROW())),"")</f>
        <v/>
      </c>
      <c r="V56" s="20">
        <f>IF(OR($K56="",$U56=""),"",$K56-$U56)</f>
        <v/>
      </c>
      <c r="W56" s="21">
        <f>IFERROR(IF(ISBLANK(INDIRECT("'"&amp;$Q$2&amp;"'!O"&amp;ROW())),"",INDIRECT("'"&amp;$Q$2&amp;"'!O"&amp;ROW())),"")</f>
        <v/>
      </c>
      <c r="X56" s="21">
        <f>IF(OR($O56="",$W56=""),"",$O56-$W56)</f>
        <v/>
      </c>
      <c r="Y56" s="2" t="n"/>
      <c r="Z56" s="2" t="n"/>
    </row>
    <row r="57" ht="14.25" customHeight="1" s="58">
      <c r="A57" s="12" t="inlineStr">
        <is>
          <t>Telegram</t>
        </is>
      </c>
      <c r="B57" s="12" t="inlineStr">
        <is>
          <t>Новый Уренгой</t>
        </is>
      </c>
      <c r="C57" s="13" t="n">
        <v>104</v>
      </c>
      <c r="D57" s="13" t="n">
        <v>63521</v>
      </c>
      <c r="E57" s="13">
        <f>IF($D57="","",IFERROR(IF(ISBLANK(INDIRECT("'"&amp;$Q$2&amp;"'!D"&amp;ROW())),"",INDIRECT("'"&amp;$Q$2&amp;"'!D"&amp;ROW())),""))</f>
        <v/>
      </c>
      <c r="F57" s="15">
        <f>IF(OR(D57="",E57=""),"",D57-E57)</f>
        <v/>
      </c>
      <c r="G57" s="16">
        <f>IFERROR(F57/E57,"")</f>
        <v/>
      </c>
      <c r="H57" s="13" t="n">
        <v>249</v>
      </c>
      <c r="I57" s="13">
        <f>IF($H57="","",IFERROR(IF(ISBLANK(INDIRECT("'"&amp;$Q$2&amp;"'!H"&amp;ROW())),"",INDIRECT("'"&amp;$Q$2&amp;"'!H"&amp;ROW())),""))</f>
        <v/>
      </c>
      <c r="J57" s="15">
        <f>IF(OR(H57="",I57=""),"",H57-I57)</f>
        <v/>
      </c>
      <c r="K57" s="16">
        <f>IFERROR(J57/I57,"")</f>
        <v/>
      </c>
      <c r="L57" s="13">
        <f>IFERROR(D57/C57,"")</f>
        <v/>
      </c>
      <c r="M57" s="13">
        <f>IFERROR(H57/D57*1000,"")</f>
        <v/>
      </c>
      <c r="N57" s="13" t="n">
        <v>10881</v>
      </c>
      <c r="O57" s="15">
        <f>IFERROR(IF(OR(N57="",ISBLANK(INDIRECT("'"&amp;$Q$2&amp;"'!N"&amp;ROW()))),"",N57-INDIRECT("'"&amp;$Q$2&amp;"'!N"&amp;ROW())),"")</f>
        <v/>
      </c>
      <c r="P57" s="2" t="n"/>
      <c r="Q57" s="2" t="n"/>
      <c r="R57" s="2" t="n"/>
      <c r="S57" s="18">
        <f>IFERROR(IF(ISBLANK(INDIRECT("'"&amp;$Q$2&amp;"'!G"&amp;ROW())),"",INDIRECT("'"&amp;$Q$2&amp;"'!G"&amp;ROW())),"")</f>
        <v/>
      </c>
      <c r="T57" s="20">
        <f>IF(OR($G57="",$S57=""),"",$G57-$S57)</f>
        <v/>
      </c>
      <c r="U57" s="18">
        <f>IFERROR(IF(ISBLANK(INDIRECT("'"&amp;$Q$2&amp;"'!K"&amp;ROW())),"",INDIRECT("'"&amp;$Q$2&amp;"'!K"&amp;ROW())),"")</f>
        <v/>
      </c>
      <c r="V57" s="20">
        <f>IF(OR($K57="",$U57=""),"",$K57-$U57)</f>
        <v/>
      </c>
      <c r="W57" s="21">
        <f>IFERROR(IF(ISBLANK(INDIRECT("'"&amp;$Q$2&amp;"'!O"&amp;ROW())),"",INDIRECT("'"&amp;$Q$2&amp;"'!O"&amp;ROW())),"")</f>
        <v/>
      </c>
      <c r="X57" s="21">
        <f>IF(OR($O57="",$W57=""),"",$O57-$W57)</f>
        <v/>
      </c>
      <c r="Y57" s="2" t="n"/>
      <c r="Z57" s="2" t="n"/>
    </row>
    <row r="58" ht="14.25" customHeight="1" s="58">
      <c r="A58" s="12" t="inlineStr">
        <is>
          <t>Telegram</t>
        </is>
      </c>
      <c r="B58" s="12" t="inlineStr">
        <is>
          <t>Надым</t>
        </is>
      </c>
      <c r="C58" s="13" t="n">
        <v>93</v>
      </c>
      <c r="D58" s="13" t="n">
        <v>21693</v>
      </c>
      <c r="E58" s="13">
        <f>IF($D58="","",IFERROR(IF(ISBLANK(INDIRECT("'"&amp;$Q$2&amp;"'!D"&amp;ROW())),"",INDIRECT("'"&amp;$Q$2&amp;"'!D"&amp;ROW())),""))</f>
        <v/>
      </c>
      <c r="F58" s="15">
        <f>IF(OR(D58="",E58=""),"",D58-E58)</f>
        <v/>
      </c>
      <c r="G58" s="16">
        <f>IFERROR(F58/E58,"")</f>
        <v/>
      </c>
      <c r="H58" s="13" t="n">
        <v>359</v>
      </c>
      <c r="I58" s="13">
        <f>IF($H58="","",IFERROR(IF(ISBLANK(INDIRECT("'"&amp;$Q$2&amp;"'!H"&amp;ROW())),"",INDIRECT("'"&amp;$Q$2&amp;"'!H"&amp;ROW())),""))</f>
        <v/>
      </c>
      <c r="J58" s="15">
        <f>IF(OR(H58="",I58=""),"",H58-I58)</f>
        <v/>
      </c>
      <c r="K58" s="16">
        <f>IFERROR(J58/I58,"")</f>
        <v/>
      </c>
      <c r="L58" s="13">
        <f>IFERROR(D58/C58,"")</f>
        <v/>
      </c>
      <c r="M58" s="13">
        <f>IFERROR(H58/D58*1000,"")</f>
        <v/>
      </c>
      <c r="N58" s="13" t="n">
        <v>4101</v>
      </c>
      <c r="O58" s="15">
        <f>IFERROR(IF(OR(N58="",ISBLANK(INDIRECT("'"&amp;$Q$2&amp;"'!N"&amp;ROW()))),"",N58-INDIRECT("'"&amp;$Q$2&amp;"'!N"&amp;ROW())),"")</f>
        <v/>
      </c>
      <c r="P58" s="2" t="n"/>
      <c r="Q58" s="2" t="n"/>
      <c r="R58" s="2" t="n"/>
      <c r="S58" s="18">
        <f>IFERROR(IF(ISBLANK(INDIRECT("'"&amp;$Q$2&amp;"'!G"&amp;ROW())),"",INDIRECT("'"&amp;$Q$2&amp;"'!G"&amp;ROW())),"")</f>
        <v/>
      </c>
      <c r="T58" s="20">
        <f>IF(OR($G58="",$S58=""),"",$G58-$S58)</f>
        <v/>
      </c>
      <c r="U58" s="18">
        <f>IFERROR(IF(ISBLANK(INDIRECT("'"&amp;$Q$2&amp;"'!K"&amp;ROW())),"",INDIRECT("'"&amp;$Q$2&amp;"'!K"&amp;ROW())),"")</f>
        <v/>
      </c>
      <c r="V58" s="20">
        <f>IF(OR($K58="",$U58=""),"",$K58-$U58)</f>
        <v/>
      </c>
      <c r="W58" s="21">
        <f>IFERROR(IF(ISBLANK(INDIRECT("'"&amp;$Q$2&amp;"'!O"&amp;ROW())),"",INDIRECT("'"&amp;$Q$2&amp;"'!O"&amp;ROW())),"")</f>
        <v/>
      </c>
      <c r="X58" s="21">
        <f>IF(OR($O58="",$W58=""),"",$O58-$W58)</f>
        <v/>
      </c>
      <c r="Y58" s="2" t="n"/>
      <c r="Z58" s="2" t="n"/>
    </row>
    <row r="59" ht="14.25" customHeight="1" s="58">
      <c r="A59" s="12" t="inlineStr">
        <is>
          <t>Telegram</t>
        </is>
      </c>
      <c r="B59" s="12" t="inlineStr">
        <is>
          <t>Ноябрьск</t>
        </is>
      </c>
      <c r="C59" s="13" t="n">
        <v>101</v>
      </c>
      <c r="D59" s="13" t="n">
        <v>33790</v>
      </c>
      <c r="E59" s="13">
        <f>IF($D59="","",IFERROR(IF(ISBLANK(INDIRECT("'"&amp;$Q$2&amp;"'!D"&amp;ROW())),"",INDIRECT("'"&amp;$Q$2&amp;"'!D"&amp;ROW())),""))</f>
        <v/>
      </c>
      <c r="F59" s="15">
        <f>IF(OR(D59="",E59=""),"",D59-E59)</f>
        <v/>
      </c>
      <c r="G59" s="16">
        <f>IFERROR(F59/E59,"")</f>
        <v/>
      </c>
      <c r="H59" s="13" t="n">
        <v>258</v>
      </c>
      <c r="I59" s="13">
        <f>IF($H59="","",IFERROR(IF(ISBLANK(INDIRECT("'"&amp;$Q$2&amp;"'!H"&amp;ROW())),"",INDIRECT("'"&amp;$Q$2&amp;"'!H"&amp;ROW())),""))</f>
        <v/>
      </c>
      <c r="J59" s="15">
        <f>IF(OR(H59="",I59=""),"",H59-I59)</f>
        <v/>
      </c>
      <c r="K59" s="16">
        <f>IFERROR(J59/I59,"")</f>
        <v/>
      </c>
      <c r="L59" s="13">
        <f>IFERROR(D59/C59,"")</f>
        <v/>
      </c>
      <c r="M59" s="13">
        <f>IFERROR(H59/D59*1000,"")</f>
        <v/>
      </c>
      <c r="N59" s="13" t="n">
        <v>5519</v>
      </c>
      <c r="O59" s="15">
        <f>IFERROR(IF(OR(N59="",ISBLANK(INDIRECT("'"&amp;$Q$2&amp;"'!N"&amp;ROW()))),"",N59-INDIRECT("'"&amp;$Q$2&amp;"'!N"&amp;ROW())),"")</f>
        <v/>
      </c>
      <c r="P59" s="2" t="n"/>
      <c r="Q59" s="2" t="n"/>
      <c r="R59" s="2" t="n"/>
      <c r="S59" s="18">
        <f>IFERROR(IF(ISBLANK(INDIRECT("'"&amp;$Q$2&amp;"'!G"&amp;ROW())),"",INDIRECT("'"&amp;$Q$2&amp;"'!G"&amp;ROW())),"")</f>
        <v/>
      </c>
      <c r="T59" s="20">
        <f>IF(OR($G59="",$S59=""),"",$G59-$S59)</f>
        <v/>
      </c>
      <c r="U59" s="18">
        <f>IFERROR(IF(ISBLANK(INDIRECT("'"&amp;$Q$2&amp;"'!K"&amp;ROW())),"",INDIRECT("'"&amp;$Q$2&amp;"'!K"&amp;ROW())),"")</f>
        <v/>
      </c>
      <c r="V59" s="20">
        <f>IF(OR($K59="",$U59=""),"",$K59-$U59)</f>
        <v/>
      </c>
      <c r="W59" s="21">
        <f>IFERROR(IF(ISBLANK(INDIRECT("'"&amp;$Q$2&amp;"'!O"&amp;ROW())),"",INDIRECT("'"&amp;$Q$2&amp;"'!O"&amp;ROW())),"")</f>
        <v/>
      </c>
      <c r="X59" s="21">
        <f>IF(OR($O59="",$W59=""),"",$O59-$W59)</f>
        <v/>
      </c>
      <c r="Y59" s="2" t="n"/>
      <c r="Z59" s="2" t="n"/>
    </row>
    <row r="60" ht="14.25" customHeight="1" s="58">
      <c r="A60" s="12" t="inlineStr">
        <is>
          <t>Telegram</t>
        </is>
      </c>
      <c r="B60" s="12" t="inlineStr">
        <is>
          <t>Салехард</t>
        </is>
      </c>
      <c r="C60" s="13" t="n">
        <v>138</v>
      </c>
      <c r="D60" s="13" t="n">
        <v>61713</v>
      </c>
      <c r="E60" s="13">
        <f>IF($D60="","",IFERROR(IF(ISBLANK(INDIRECT("'"&amp;$Q$2&amp;"'!D"&amp;ROW())),"",INDIRECT("'"&amp;$Q$2&amp;"'!D"&amp;ROW())),""))</f>
        <v/>
      </c>
      <c r="F60" s="15">
        <f>IF(OR(D60="",E60=""),"",D60-E60)</f>
        <v/>
      </c>
      <c r="G60" s="16">
        <f>IFERROR(F60/E60,"")</f>
        <v/>
      </c>
      <c r="H60" s="13" t="n">
        <v>260</v>
      </c>
      <c r="I60" s="13">
        <f>IF($H60="","",IFERROR(IF(ISBLANK(INDIRECT("'"&amp;$Q$2&amp;"'!H"&amp;ROW())),"",INDIRECT("'"&amp;$Q$2&amp;"'!H"&amp;ROW())),""))</f>
        <v/>
      </c>
      <c r="J60" s="15">
        <f>IF(OR(H60="",I60=""),"",H60-I60)</f>
        <v/>
      </c>
      <c r="K60" s="16">
        <f>IFERROR(J60/I60,"")</f>
        <v/>
      </c>
      <c r="L60" s="13">
        <f>IFERROR(D60/C60,"")</f>
        <v/>
      </c>
      <c r="M60" s="13">
        <f>IFERROR(H60/D60*1000,"")</f>
        <v/>
      </c>
      <c r="N60" s="13" t="n">
        <v>10403</v>
      </c>
      <c r="O60" s="15">
        <f>IFERROR(IF(OR(N60="",ISBLANK(INDIRECT("'"&amp;$Q$2&amp;"'!N"&amp;ROW()))),"",N60-INDIRECT("'"&amp;$Q$2&amp;"'!N"&amp;ROW())),"")</f>
        <v/>
      </c>
      <c r="P60" s="2" t="n"/>
      <c r="Q60" s="2" t="n"/>
      <c r="R60" s="2" t="n"/>
      <c r="S60" s="18">
        <f>IFERROR(IF(ISBLANK(INDIRECT("'"&amp;$Q$2&amp;"'!G"&amp;ROW())),"",INDIRECT("'"&amp;$Q$2&amp;"'!G"&amp;ROW())),"")</f>
        <v/>
      </c>
      <c r="T60" s="20">
        <f>IF(OR($G60="",$S60=""),"",$G60-$S60)</f>
        <v/>
      </c>
      <c r="U60" s="18">
        <f>IFERROR(IF(ISBLANK(INDIRECT("'"&amp;$Q$2&amp;"'!K"&amp;ROW())),"",INDIRECT("'"&amp;$Q$2&amp;"'!K"&amp;ROW())),"")</f>
        <v/>
      </c>
      <c r="V60" s="20">
        <f>IF(OR($K60="",$U60=""),"",$K60-$U60)</f>
        <v/>
      </c>
      <c r="W60" s="21">
        <f>IFERROR(IF(ISBLANK(INDIRECT("'"&amp;$Q$2&amp;"'!O"&amp;ROW())),"",INDIRECT("'"&amp;$Q$2&amp;"'!O"&amp;ROW())),"")</f>
        <v/>
      </c>
      <c r="X60" s="21">
        <f>IF(OR($O60="",$W60=""),"",$O60-$W60)</f>
        <v/>
      </c>
      <c r="Y60" s="2" t="n"/>
      <c r="Z60" s="2" t="n"/>
    </row>
    <row r="61" ht="14.25" customHeight="1" s="58">
      <c r="A61" s="12" t="inlineStr">
        <is>
          <t>Telegram</t>
        </is>
      </c>
      <c r="B61" s="12" t="inlineStr">
        <is>
          <t>Приуралье</t>
        </is>
      </c>
      <c r="C61" s="13" t="n">
        <v>112</v>
      </c>
      <c r="D61" s="13" t="n">
        <v>13926</v>
      </c>
      <c r="E61" s="13">
        <f>IF($D61="","",IFERROR(IF(ISBLANK(INDIRECT("'"&amp;$Q$2&amp;"'!D"&amp;ROW())),"",INDIRECT("'"&amp;$Q$2&amp;"'!D"&amp;ROW())),""))</f>
        <v/>
      </c>
      <c r="F61" s="15">
        <f>IF(OR(D61="",E61=""),"",D61-E61)</f>
        <v/>
      </c>
      <c r="G61" s="16">
        <f>IFERROR(F61/E61,"")</f>
        <v/>
      </c>
      <c r="H61" s="13" t="n">
        <v>164</v>
      </c>
      <c r="I61" s="13">
        <f>IF($H61="","",IFERROR(IF(ISBLANK(INDIRECT("'"&amp;$Q$2&amp;"'!H"&amp;ROW())),"",INDIRECT("'"&amp;$Q$2&amp;"'!H"&amp;ROW())),""))</f>
        <v/>
      </c>
      <c r="J61" s="15">
        <f>IF(OR(H61="",I61=""),"",H61-I61)</f>
        <v/>
      </c>
      <c r="K61" s="16">
        <f>IFERROR(J61/I61,"")</f>
        <v/>
      </c>
      <c r="L61" s="13">
        <f>IFERROR(D61/C61,"")</f>
        <v/>
      </c>
      <c r="M61" s="13">
        <f>IFERROR(H61/D61*1000,"")</f>
        <v/>
      </c>
      <c r="N61" s="13" t="n">
        <v>2312</v>
      </c>
      <c r="O61" s="15">
        <f>IFERROR(IF(OR(N61="",ISBLANK(INDIRECT("'"&amp;$Q$2&amp;"'!N"&amp;ROW()))),"",N61-INDIRECT("'"&amp;$Q$2&amp;"'!N"&amp;ROW())),"")</f>
        <v/>
      </c>
      <c r="P61" s="2" t="n"/>
      <c r="Q61" s="2" t="n"/>
      <c r="R61" s="2" t="n"/>
      <c r="S61" s="18">
        <f>IFERROR(IF(ISBLANK(INDIRECT("'"&amp;$Q$2&amp;"'!G"&amp;ROW())),"",INDIRECT("'"&amp;$Q$2&amp;"'!G"&amp;ROW())),"")</f>
        <v/>
      </c>
      <c r="T61" s="20">
        <f>IF(OR($G61="",$S61=""),"",$G61-$S61)</f>
        <v/>
      </c>
      <c r="U61" s="18">
        <f>IFERROR(IF(ISBLANK(INDIRECT("'"&amp;$Q$2&amp;"'!K"&amp;ROW())),"",INDIRECT("'"&amp;$Q$2&amp;"'!K"&amp;ROW())),"")</f>
        <v/>
      </c>
      <c r="V61" s="20">
        <f>IF(OR($K61="",$U61=""),"",$K61-$U61)</f>
        <v/>
      </c>
      <c r="W61" s="21">
        <f>IFERROR(IF(ISBLANK(INDIRECT("'"&amp;$Q$2&amp;"'!O"&amp;ROW())),"",INDIRECT("'"&amp;$Q$2&amp;"'!O"&amp;ROW())),"")</f>
        <v/>
      </c>
      <c r="X61" s="21">
        <f>IF(OR($O61="",$W61=""),"",$O61-$W61)</f>
        <v/>
      </c>
      <c r="Y61" s="2" t="n"/>
      <c r="Z61" s="2" t="n"/>
    </row>
    <row r="62" ht="14.25" customHeight="1" s="58">
      <c r="A62" s="12" t="inlineStr">
        <is>
          <t>Telegram</t>
        </is>
      </c>
      <c r="B62" s="12" t="inlineStr">
        <is>
          <t>Лабытнанги</t>
        </is>
      </c>
      <c r="C62" s="13" t="n">
        <v>65</v>
      </c>
      <c r="D62" s="13" t="n">
        <v>5247</v>
      </c>
      <c r="E62" s="13">
        <f>IF($D62="","",IFERROR(IF(ISBLANK(INDIRECT("'"&amp;$Q$2&amp;"'!D"&amp;ROW())),"",INDIRECT("'"&amp;$Q$2&amp;"'!D"&amp;ROW())),""))</f>
        <v/>
      </c>
      <c r="F62" s="15">
        <f>IF(OR(D62="",E62=""),"",D62-E62)</f>
        <v/>
      </c>
      <c r="G62" s="16">
        <f>IFERROR(F62/E62,"")</f>
        <v/>
      </c>
      <c r="H62" s="13" t="n">
        <v>18</v>
      </c>
      <c r="I62" s="13">
        <f>IF($H62="","",IFERROR(IF(ISBLANK(INDIRECT("'"&amp;$Q$2&amp;"'!H"&amp;ROW())),"",INDIRECT("'"&amp;$Q$2&amp;"'!H"&amp;ROW())),""))</f>
        <v/>
      </c>
      <c r="J62" s="15">
        <f>IF(OR(H62="",I62=""),"",H62-I62)</f>
        <v/>
      </c>
      <c r="K62" s="16">
        <f>IFERROR(J62/I62,"")</f>
        <v/>
      </c>
      <c r="L62" s="13">
        <f>IFERROR(D62/C62,"")</f>
        <v/>
      </c>
      <c r="M62" s="13">
        <f>IFERROR(H62/D62*1000,"")</f>
        <v/>
      </c>
      <c r="N62" s="13" t="n">
        <v>1372</v>
      </c>
      <c r="O62" s="15">
        <f>IFERROR(IF(OR(N62="",ISBLANK(INDIRECT("'"&amp;$Q$2&amp;"'!N"&amp;ROW()))),"",N62-INDIRECT("'"&amp;$Q$2&amp;"'!N"&amp;ROW())),"")</f>
        <v/>
      </c>
      <c r="P62" s="2" t="n"/>
      <c r="Q62" s="2" t="n"/>
      <c r="R62" s="2" t="n"/>
      <c r="S62" s="18">
        <f>IFERROR(IF(ISBLANK(INDIRECT("'"&amp;$Q$2&amp;"'!G"&amp;ROW())),"",INDIRECT("'"&amp;$Q$2&amp;"'!G"&amp;ROW())),"")</f>
        <v/>
      </c>
      <c r="T62" s="20">
        <f>IF(OR($G62="",$S62=""),"",$G62-$S62)</f>
        <v/>
      </c>
      <c r="U62" s="18">
        <f>IFERROR(IF(ISBLANK(INDIRECT("'"&amp;$Q$2&amp;"'!K"&amp;ROW())),"",INDIRECT("'"&amp;$Q$2&amp;"'!K"&amp;ROW())),"")</f>
        <v/>
      </c>
      <c r="V62" s="20">
        <f>IF(OR($K62="",$U62=""),"",$K62-$U62)</f>
        <v/>
      </c>
      <c r="W62" s="21">
        <f>IFERROR(IF(ISBLANK(INDIRECT("'"&amp;$Q$2&amp;"'!O"&amp;ROW())),"",INDIRECT("'"&amp;$Q$2&amp;"'!O"&amp;ROW())),"")</f>
        <v/>
      </c>
      <c r="X62" s="21">
        <f>IF(OR($O62="",$W62=""),"",$O62-$W62)</f>
        <v/>
      </c>
      <c r="Y62" s="2" t="n"/>
      <c r="Z62" s="2" t="n"/>
    </row>
    <row r="63" ht="14.25" customHeight="1" s="58">
      <c r="A63" s="12" t="inlineStr">
        <is>
          <t>Telegram</t>
        </is>
      </c>
      <c r="B63" s="12" t="inlineStr">
        <is>
          <t>Пуровский</t>
        </is>
      </c>
      <c r="C63" s="13" t="n">
        <v>58</v>
      </c>
      <c r="D63" s="13" t="n">
        <v>19689</v>
      </c>
      <c r="E63" s="13">
        <f>IF($D63="","",IFERROR(IF(ISBLANK(INDIRECT("'"&amp;$Q$2&amp;"'!D"&amp;ROW())),"",INDIRECT("'"&amp;$Q$2&amp;"'!D"&amp;ROW())),""))</f>
        <v/>
      </c>
      <c r="F63" s="15">
        <f>IF(OR(D63="",E63=""),"",D63-E63)</f>
        <v/>
      </c>
      <c r="G63" s="16">
        <f>IFERROR(F63/E63,"")</f>
        <v/>
      </c>
      <c r="H63" s="13" t="n">
        <v>58</v>
      </c>
      <c r="I63" s="13">
        <f>IF($H63="","",IFERROR(IF(ISBLANK(INDIRECT("'"&amp;$Q$2&amp;"'!H"&amp;ROW())),"",INDIRECT("'"&amp;$Q$2&amp;"'!H"&amp;ROW())),""))</f>
        <v/>
      </c>
      <c r="J63" s="15">
        <f>IF(OR(H63="",I63=""),"",H63-I63)</f>
        <v/>
      </c>
      <c r="K63" s="16">
        <f>IFERROR(J63/I63,"")</f>
        <v/>
      </c>
      <c r="L63" s="13">
        <f>IFERROR(D63/C63,"")</f>
        <v/>
      </c>
      <c r="M63" s="13">
        <f>IFERROR(H63/D63*1000,"")</f>
        <v/>
      </c>
      <c r="N63" s="13" t="n">
        <v>5634</v>
      </c>
      <c r="O63" s="15">
        <f>IFERROR(IF(OR(N63="",ISBLANK(INDIRECT("'"&amp;$Q$2&amp;"'!N"&amp;ROW()))),"",N63-INDIRECT("'"&amp;$Q$2&amp;"'!N"&amp;ROW())),"")</f>
        <v/>
      </c>
      <c r="P63" s="2" t="n"/>
      <c r="Q63" s="2" t="n"/>
      <c r="R63" s="2" t="n"/>
      <c r="S63" s="18">
        <f>IFERROR(IF(ISBLANK(INDIRECT("'"&amp;$Q$2&amp;"'!G"&amp;ROW())),"",INDIRECT("'"&amp;$Q$2&amp;"'!G"&amp;ROW())),"")</f>
        <v/>
      </c>
      <c r="T63" s="20">
        <f>IF(OR($G63="",$S63=""),"",$G63-$S63)</f>
        <v/>
      </c>
      <c r="U63" s="18">
        <f>IFERROR(IF(ISBLANK(INDIRECT("'"&amp;$Q$2&amp;"'!K"&amp;ROW())),"",INDIRECT("'"&amp;$Q$2&amp;"'!K"&amp;ROW())),"")</f>
        <v/>
      </c>
      <c r="V63" s="20">
        <f>IF(OR($K63="",$U63=""),"",$K63-$U63)</f>
        <v/>
      </c>
      <c r="W63" s="21">
        <f>IFERROR(IF(ISBLANK(INDIRECT("'"&amp;$Q$2&amp;"'!O"&amp;ROW())),"",INDIRECT("'"&amp;$Q$2&amp;"'!O"&amp;ROW())),"")</f>
        <v/>
      </c>
      <c r="X63" s="21">
        <f>IF(OR($O63="",$W63=""),"",$O63-$W63)</f>
        <v/>
      </c>
      <c r="Y63" s="2" t="n"/>
      <c r="Z63" s="2" t="n"/>
    </row>
    <row r="64" ht="14.25" customHeight="1" s="58">
      <c r="A64" s="12" t="inlineStr">
        <is>
          <t>Telegram</t>
        </is>
      </c>
      <c r="B64" s="12" t="inlineStr">
        <is>
          <t>Тазовский</t>
        </is>
      </c>
      <c r="C64" s="13" t="n">
        <v>56</v>
      </c>
      <c r="D64" s="13" t="n">
        <v>6279</v>
      </c>
      <c r="E64" s="13">
        <f>IF($D64="","",IFERROR(IF(ISBLANK(INDIRECT("'"&amp;$Q$2&amp;"'!D"&amp;ROW())),"",INDIRECT("'"&amp;$Q$2&amp;"'!D"&amp;ROW())),""))</f>
        <v/>
      </c>
      <c r="F64" s="15">
        <f>IF(OR(D64="",E64=""),"",D64-E64)</f>
        <v/>
      </c>
      <c r="G64" s="16">
        <f>IFERROR(F64/E64,"")</f>
        <v/>
      </c>
      <c r="H64" s="13" t="n">
        <v>8</v>
      </c>
      <c r="I64" s="13">
        <f>IF($H64="","",IFERROR(IF(ISBLANK(INDIRECT("'"&amp;$Q$2&amp;"'!H"&amp;ROW())),"",INDIRECT("'"&amp;$Q$2&amp;"'!H"&amp;ROW())),""))</f>
        <v/>
      </c>
      <c r="J64" s="15">
        <f>IF(OR(H64="",I64=""),"",H64-I64)</f>
        <v/>
      </c>
      <c r="K64" s="16">
        <f>IFERROR(J64/I64,"")</f>
        <v/>
      </c>
      <c r="L64" s="13">
        <f>IFERROR(D64/C64,"")</f>
        <v/>
      </c>
      <c r="M64" s="13">
        <f>IFERROR(H64/D64*1000,"")</f>
        <v/>
      </c>
      <c r="N64" s="13" t="n">
        <v>1818</v>
      </c>
      <c r="O64" s="15">
        <f>IFERROR(IF(OR(N64="",ISBLANK(INDIRECT("'"&amp;$Q$2&amp;"'!N"&amp;ROW()))),"",N64-INDIRECT("'"&amp;$Q$2&amp;"'!N"&amp;ROW())),"")</f>
        <v/>
      </c>
      <c r="P64" s="2" t="n"/>
      <c r="Q64" s="2" t="n"/>
      <c r="R64" s="2" t="n"/>
      <c r="S64" s="18">
        <f>IFERROR(IF(ISBLANK(INDIRECT("'"&amp;$Q$2&amp;"'!G"&amp;ROW())),"",INDIRECT("'"&amp;$Q$2&amp;"'!G"&amp;ROW())),"")</f>
        <v/>
      </c>
      <c r="T64" s="20">
        <f>IF(OR($G64="",$S64=""),"",$G64-$S64)</f>
        <v/>
      </c>
      <c r="U64" s="18">
        <f>IFERROR(IF(ISBLANK(INDIRECT("'"&amp;$Q$2&amp;"'!K"&amp;ROW())),"",INDIRECT("'"&amp;$Q$2&amp;"'!K"&amp;ROW())),"")</f>
        <v/>
      </c>
      <c r="V64" s="20">
        <f>IF(OR($K64="",$U64=""),"",$K64-$U64)</f>
        <v/>
      </c>
      <c r="W64" s="21">
        <f>IFERROR(IF(ISBLANK(INDIRECT("'"&amp;$Q$2&amp;"'!O"&amp;ROW())),"",INDIRECT("'"&amp;$Q$2&amp;"'!O"&amp;ROW())),"")</f>
        <v/>
      </c>
      <c r="X64" s="21">
        <f>IF(OR($O64="",$W64=""),"",$O64-$W64)</f>
        <v/>
      </c>
      <c r="Y64" s="2" t="n"/>
      <c r="Z64" s="2" t="n"/>
    </row>
    <row r="65" ht="14.25" customHeight="1" s="58">
      <c r="A65" s="12" t="inlineStr">
        <is>
          <t>Telegram</t>
        </is>
      </c>
      <c r="B65" s="12" t="inlineStr">
        <is>
          <t>Красноселькуп</t>
        </is>
      </c>
      <c r="C65" s="13" t="n">
        <v>34</v>
      </c>
      <c r="D65" s="13" t="n">
        <v>2837</v>
      </c>
      <c r="E65" s="13">
        <f>IF($D65="","",IFERROR(IF(ISBLANK(INDIRECT("'"&amp;$Q$2&amp;"'!D"&amp;ROW())),"",INDIRECT("'"&amp;$Q$2&amp;"'!D"&amp;ROW())),""))</f>
        <v/>
      </c>
      <c r="F65" s="15">
        <f>IF(OR(D65="",E65=""),"",D65-E65)</f>
        <v/>
      </c>
      <c r="G65" s="16">
        <f>IFERROR(F65/E65,"")</f>
        <v/>
      </c>
      <c r="H65" s="13" t="n">
        <v>4</v>
      </c>
      <c r="I65" s="13">
        <f>IF($H65="","",IFERROR(IF(ISBLANK(INDIRECT("'"&amp;$Q$2&amp;"'!H"&amp;ROW())),"",INDIRECT("'"&amp;$Q$2&amp;"'!H"&amp;ROW())),""))</f>
        <v/>
      </c>
      <c r="J65" s="15">
        <f>IF(OR(H65="",I65=""),"",H65-I65)</f>
        <v/>
      </c>
      <c r="K65" s="16">
        <f>IFERROR(J65/I65,"")</f>
        <v/>
      </c>
      <c r="L65" s="13">
        <f>IFERROR(D65/C65,"")</f>
        <v/>
      </c>
      <c r="M65" s="13">
        <f>IFERROR(H65/D65*1000,"")</f>
        <v/>
      </c>
      <c r="N65" s="13" t="n">
        <v>868</v>
      </c>
      <c r="O65" s="15">
        <f>IFERROR(IF(OR(N65="",ISBLANK(INDIRECT("'"&amp;$Q$2&amp;"'!N"&amp;ROW()))),"",N65-INDIRECT("'"&amp;$Q$2&amp;"'!N"&amp;ROW())),"")</f>
        <v/>
      </c>
      <c r="P65" s="2" t="n"/>
      <c r="Q65" s="2" t="n"/>
      <c r="R65" s="2" t="n"/>
      <c r="S65" s="18">
        <f>IFERROR(IF(ISBLANK(INDIRECT("'"&amp;$Q$2&amp;"'!G"&amp;ROW())),"",INDIRECT("'"&amp;$Q$2&amp;"'!G"&amp;ROW())),"")</f>
        <v/>
      </c>
      <c r="T65" s="20">
        <f>IF(OR($G65="",$S65=""),"",$G65-$S65)</f>
        <v/>
      </c>
      <c r="U65" s="18">
        <f>IFERROR(IF(ISBLANK(INDIRECT("'"&amp;$Q$2&amp;"'!K"&amp;ROW())),"",INDIRECT("'"&amp;$Q$2&amp;"'!K"&amp;ROW())),"")</f>
        <v/>
      </c>
      <c r="V65" s="20">
        <f>IF(OR($K65="",$U65=""),"",$K65-$U65)</f>
        <v/>
      </c>
      <c r="W65" s="21">
        <f>IFERROR(IF(ISBLANK(INDIRECT("'"&amp;$Q$2&amp;"'!O"&amp;ROW())),"",INDIRECT("'"&amp;$Q$2&amp;"'!O"&amp;ROW())),"")</f>
        <v/>
      </c>
      <c r="X65" s="21">
        <f>IF(OR($O65="",$W65=""),"",$O65-$W65)</f>
        <v/>
      </c>
      <c r="Y65" s="2" t="n"/>
      <c r="Z65" s="2" t="n"/>
    </row>
    <row r="66" ht="14.25" customHeight="1" s="58">
      <c r="A66" s="12" t="inlineStr">
        <is>
          <t>Telegram</t>
        </is>
      </c>
      <c r="B66" s="12" t="inlineStr">
        <is>
          <t>Ямальский</t>
        </is>
      </c>
      <c r="C66" s="13" t="n">
        <v>51</v>
      </c>
      <c r="D66" s="13" t="n">
        <v>3969</v>
      </c>
      <c r="E66" s="13">
        <f>IF($D66="","",IFERROR(IF(ISBLANK(INDIRECT("'"&amp;$Q$2&amp;"'!D"&amp;ROW())),"",INDIRECT("'"&amp;$Q$2&amp;"'!D"&amp;ROW())),""))</f>
        <v/>
      </c>
      <c r="F66" s="15">
        <f>IF(OR(D66="",E66=""),"",D66-E66)</f>
        <v/>
      </c>
      <c r="G66" s="16">
        <f>IFERROR(F66/E66,"")</f>
        <v/>
      </c>
      <c r="H66" s="13" t="n">
        <v>11</v>
      </c>
      <c r="I66" s="13">
        <f>IF($H66="","",IFERROR(IF(ISBLANK(INDIRECT("'"&amp;$Q$2&amp;"'!H"&amp;ROW())),"",INDIRECT("'"&amp;$Q$2&amp;"'!H"&amp;ROW())),""))</f>
        <v/>
      </c>
      <c r="J66" s="15">
        <f>IF(OR(H66="",I66=""),"",H66-I66)</f>
        <v/>
      </c>
      <c r="K66" s="16">
        <f>IFERROR(J66/I66,"")</f>
        <v/>
      </c>
      <c r="L66" s="13">
        <f>IFERROR(D66/C66,"")</f>
        <v/>
      </c>
      <c r="M66" s="13">
        <f>IFERROR(H66/D66*1000,"")</f>
        <v/>
      </c>
      <c r="N66" s="13" t="n">
        <v>847</v>
      </c>
      <c r="O66" s="15">
        <f>IFERROR(IF(OR(N66="",ISBLANK(INDIRECT("'"&amp;$Q$2&amp;"'!N"&amp;ROW()))),"",N66-INDIRECT("'"&amp;$Q$2&amp;"'!N"&amp;ROW())),"")</f>
        <v/>
      </c>
      <c r="P66" s="2" t="n"/>
      <c r="Q66" s="2" t="n"/>
      <c r="R66" s="2" t="n"/>
      <c r="S66" s="18">
        <f>IFERROR(IF(ISBLANK(INDIRECT("'"&amp;$Q$2&amp;"'!G"&amp;ROW())),"",INDIRECT("'"&amp;$Q$2&amp;"'!G"&amp;ROW())),"")</f>
        <v/>
      </c>
      <c r="T66" s="20">
        <f>IF(OR($G66="",$S66=""),"",$G66-$S66)</f>
        <v/>
      </c>
      <c r="U66" s="18">
        <f>IFERROR(IF(ISBLANK(INDIRECT("'"&amp;$Q$2&amp;"'!K"&amp;ROW())),"",INDIRECT("'"&amp;$Q$2&amp;"'!K"&amp;ROW())),"")</f>
        <v/>
      </c>
      <c r="V66" s="20">
        <f>IF(OR($K66="",$U66=""),"",$K66-$U66)</f>
        <v/>
      </c>
      <c r="W66" s="21">
        <f>IFERROR(IF(ISBLANK(INDIRECT("'"&amp;$Q$2&amp;"'!O"&amp;ROW())),"",INDIRECT("'"&amp;$Q$2&amp;"'!O"&amp;ROW())),"")</f>
        <v/>
      </c>
      <c r="X66" s="21">
        <f>IF(OR($O66="",$W66=""),"",$O66-$W66)</f>
        <v/>
      </c>
      <c r="Y66" s="2" t="n"/>
      <c r="Z66" s="2" t="n"/>
    </row>
    <row r="67" ht="14.25" customHeight="1" s="58">
      <c r="A67" s="12" t="inlineStr">
        <is>
          <t>Telegram</t>
        </is>
      </c>
      <c r="B67" s="12" t="inlineStr">
        <is>
          <t>Шурышкарский</t>
        </is>
      </c>
      <c r="C67" s="13" t="n">
        <v>58</v>
      </c>
      <c r="D67" s="13" t="n">
        <v>6617</v>
      </c>
      <c r="E67" s="13">
        <f>IF($D67="","",IFERROR(IF(ISBLANK(INDIRECT("'"&amp;$Q$2&amp;"'!D"&amp;ROW())),"",INDIRECT("'"&amp;$Q$2&amp;"'!D"&amp;ROW())),""))</f>
        <v/>
      </c>
      <c r="F67" s="15">
        <f>IF(OR(D67="",E67=""),"",D67-E67)</f>
        <v/>
      </c>
      <c r="G67" s="16">
        <f>IFERROR(F67/E67,"")</f>
        <v/>
      </c>
      <c r="H67" s="13" t="n">
        <v>70</v>
      </c>
      <c r="I67" s="13">
        <f>IF($H67="","",IFERROR(IF(ISBLANK(INDIRECT("'"&amp;$Q$2&amp;"'!H"&amp;ROW())),"",INDIRECT("'"&amp;$Q$2&amp;"'!H"&amp;ROW())),""))</f>
        <v/>
      </c>
      <c r="J67" s="15">
        <f>IF(OR(H67="",I67=""),"",H67-I67)</f>
        <v/>
      </c>
      <c r="K67" s="16">
        <f>IFERROR(J67/I67,"")</f>
        <v/>
      </c>
      <c r="L67" s="13">
        <f>IFERROR(D67/C67,"")</f>
        <v/>
      </c>
      <c r="M67" s="13">
        <f>IFERROR(H67/D67*1000,"")</f>
        <v/>
      </c>
      <c r="N67" s="13" t="n">
        <v>1164</v>
      </c>
      <c r="O67" s="15">
        <f>IFERROR(IF(OR(N67="",ISBLANK(INDIRECT("'"&amp;$Q$2&amp;"'!N"&amp;ROW()))),"",N67-INDIRECT("'"&amp;$Q$2&amp;"'!N"&amp;ROW())),"")</f>
        <v/>
      </c>
      <c r="P67" s="2" t="n"/>
      <c r="Q67" s="2" t="n"/>
      <c r="R67" s="2" t="n"/>
      <c r="S67" s="18">
        <f>IFERROR(IF(ISBLANK(INDIRECT("'"&amp;$Q$2&amp;"'!G"&amp;ROW())),"",INDIRECT("'"&amp;$Q$2&amp;"'!G"&amp;ROW())),"")</f>
        <v/>
      </c>
      <c r="T67" s="20">
        <f>IF(OR($G67="",$S67=""),"",$G67-$S67)</f>
        <v/>
      </c>
      <c r="U67" s="18">
        <f>IFERROR(IF(ISBLANK(INDIRECT("'"&amp;$Q$2&amp;"'!K"&amp;ROW())),"",INDIRECT("'"&amp;$Q$2&amp;"'!K"&amp;ROW())),"")</f>
        <v/>
      </c>
      <c r="V67" s="20">
        <f>IF(OR($K67="",$U67=""),"",$K67-$U67)</f>
        <v/>
      </c>
      <c r="W67" s="21">
        <f>IFERROR(IF(ISBLANK(INDIRECT("'"&amp;$Q$2&amp;"'!O"&amp;ROW())),"",INDIRECT("'"&amp;$Q$2&amp;"'!O"&amp;ROW())),"")</f>
        <v/>
      </c>
      <c r="X67" s="21">
        <f>IF(OR($O67="",$W67=""),"",$O67-$W67)</f>
        <v/>
      </c>
      <c r="Y67" s="2" t="n"/>
      <c r="Z67" s="2" t="n"/>
    </row>
    <row r="68" ht="14.25" customHeight="1" s="58">
      <c r="A68" s="12" t="inlineStr">
        <is>
          <t>Telegram</t>
        </is>
      </c>
      <c r="B68" s="12" t="inlineStr">
        <is>
          <t>Муравленко</t>
        </is>
      </c>
      <c r="C68" s="13" t="n">
        <v>61</v>
      </c>
      <c r="D68" s="13" t="n">
        <v>19788</v>
      </c>
      <c r="E68" s="13">
        <f>IF($D68="","",IFERROR(IF(ISBLANK(INDIRECT("'"&amp;$Q$2&amp;"'!D"&amp;ROW())),"",INDIRECT("'"&amp;$Q$2&amp;"'!D"&amp;ROW())),""))</f>
        <v/>
      </c>
      <c r="F68" s="15">
        <f>IF(OR(D68="",E68=""),"",D68-E68)</f>
        <v/>
      </c>
      <c r="G68" s="16">
        <f>IFERROR(F68/E68,"")</f>
        <v/>
      </c>
      <c r="H68" s="13" t="n">
        <v>84</v>
      </c>
      <c r="I68" s="13">
        <f>IF($H68="","",IFERROR(IF(ISBLANK(INDIRECT("'"&amp;$Q$2&amp;"'!H"&amp;ROW())),"",INDIRECT("'"&amp;$Q$2&amp;"'!H"&amp;ROW())),""))</f>
        <v/>
      </c>
      <c r="J68" s="15">
        <f>IF(OR(H68="",I68=""),"",H68-I68)</f>
        <v/>
      </c>
      <c r="K68" s="16">
        <f>IFERROR(J68/I68,"")</f>
        <v/>
      </c>
      <c r="L68" s="13">
        <f>IFERROR(D68/C68,"")</f>
        <v/>
      </c>
      <c r="M68" s="13">
        <f>IFERROR(H68/D68*1000,"")</f>
        <v/>
      </c>
      <c r="N68" s="13" t="n">
        <v>4401</v>
      </c>
      <c r="O68" s="15">
        <f>IFERROR(IF(OR(N68="",ISBLANK(INDIRECT("'"&amp;$Q$2&amp;"'!N"&amp;ROW()))),"",N68-INDIRECT("'"&amp;$Q$2&amp;"'!N"&amp;ROW())),"")</f>
        <v/>
      </c>
      <c r="P68" s="2" t="n"/>
      <c r="Q68" s="2" t="n"/>
      <c r="R68" s="2" t="n"/>
      <c r="S68" s="18">
        <f>IFERROR(IF(ISBLANK(INDIRECT("'"&amp;$Q$2&amp;"'!G"&amp;ROW())),"",INDIRECT("'"&amp;$Q$2&amp;"'!G"&amp;ROW())),"")</f>
        <v/>
      </c>
      <c r="T68" s="20">
        <f>IF(OR($G68="",$S68=""),"",$G68-$S68)</f>
        <v/>
      </c>
      <c r="U68" s="18">
        <f>IFERROR(IF(ISBLANK(INDIRECT("'"&amp;$Q$2&amp;"'!K"&amp;ROW())),"",INDIRECT("'"&amp;$Q$2&amp;"'!K"&amp;ROW())),"")</f>
        <v/>
      </c>
      <c r="V68" s="20">
        <f>IF(OR($K68="",$U68=""),"",$K68-$U68)</f>
        <v/>
      </c>
      <c r="W68" s="21">
        <f>IFERROR(IF(ISBLANK(INDIRECT("'"&amp;$Q$2&amp;"'!O"&amp;ROW())),"",INDIRECT("'"&amp;$Q$2&amp;"'!O"&amp;ROW())),"")</f>
        <v/>
      </c>
      <c r="X68" s="21">
        <f>IF(OR($O68="",$W68=""),"",$O68-$W68)</f>
        <v/>
      </c>
      <c r="Y68" s="2" t="n"/>
      <c r="Z68" s="2" t="n"/>
    </row>
    <row r="69" ht="14.25" customHeight="1" s="58">
      <c r="A69" s="12" t="inlineStr">
        <is>
          <t>Telegram</t>
        </is>
      </c>
      <c r="B69" s="12" t="inlineStr">
        <is>
          <t>Губкинский</t>
        </is>
      </c>
      <c r="C69" s="13" t="n">
        <v>92</v>
      </c>
      <c r="D69" s="13" t="n">
        <v>37154</v>
      </c>
      <c r="E69" s="13">
        <f>IF($D69="","",IFERROR(IF(ISBLANK(INDIRECT("'"&amp;$Q$2&amp;"'!D"&amp;ROW())),"",INDIRECT("'"&amp;$Q$2&amp;"'!D"&amp;ROW())),""))</f>
        <v/>
      </c>
      <c r="F69" s="15">
        <f>IF(OR(D69="",E69=""),"",D69-E69)</f>
        <v/>
      </c>
      <c r="G69" s="16">
        <f>IFERROR(F69/E69,"")</f>
        <v/>
      </c>
      <c r="H69" s="13" t="n">
        <v>218</v>
      </c>
      <c r="I69" s="13">
        <f>IF($H69="","",IFERROR(IF(ISBLANK(INDIRECT("'"&amp;$Q$2&amp;"'!H"&amp;ROW())),"",INDIRECT("'"&amp;$Q$2&amp;"'!H"&amp;ROW())),""))</f>
        <v/>
      </c>
      <c r="J69" s="15">
        <f>IF(OR(H69="",I69=""),"",H69-I69)</f>
        <v/>
      </c>
      <c r="K69" s="16">
        <f>IFERROR(J69/I69,"")</f>
        <v/>
      </c>
      <c r="L69" s="13">
        <f>IFERROR(D69/C69,"")</f>
        <v/>
      </c>
      <c r="M69" s="13">
        <f>IFERROR(H69/D69*1000,"")</f>
        <v/>
      </c>
      <c r="N69" s="13" t="n">
        <v>5487</v>
      </c>
      <c r="O69" s="15">
        <f>IFERROR(IF(OR(N69="",ISBLANK(INDIRECT("'"&amp;$Q$2&amp;"'!N"&amp;ROW()))),"",N69-INDIRECT("'"&amp;$Q$2&amp;"'!N"&amp;ROW())),"")</f>
        <v/>
      </c>
      <c r="P69" s="2" t="n"/>
      <c r="Q69" s="2" t="n"/>
      <c r="R69" s="2" t="n"/>
      <c r="S69" s="18">
        <f>IFERROR(IF(ISBLANK(INDIRECT("'"&amp;$Q$2&amp;"'!G"&amp;ROW())),"",INDIRECT("'"&amp;$Q$2&amp;"'!G"&amp;ROW())),"")</f>
        <v/>
      </c>
      <c r="T69" s="20">
        <f>IF(OR($G69="",$S69=""),"",$G69-$S69)</f>
        <v/>
      </c>
      <c r="U69" s="18">
        <f>IFERROR(IF(ISBLANK(INDIRECT("'"&amp;$Q$2&amp;"'!K"&amp;ROW())),"",INDIRECT("'"&amp;$Q$2&amp;"'!K"&amp;ROW())),"")</f>
        <v/>
      </c>
      <c r="V69" s="20">
        <f>IF(OR($K69="",$U69=""),"",$K69-$U69)</f>
        <v/>
      </c>
      <c r="W69" s="21">
        <f>IFERROR(IF(ISBLANK(INDIRECT("'"&amp;$Q$2&amp;"'!O"&amp;ROW())),"",INDIRECT("'"&amp;$Q$2&amp;"'!O"&amp;ROW())),"")</f>
        <v/>
      </c>
      <c r="X69" s="21">
        <f>IF(OR($O69="",$W69=""),"",$O69-$W69)</f>
        <v/>
      </c>
      <c r="Y69" s="2" t="n"/>
      <c r="Z69" s="2" t="n"/>
    </row>
    <row r="70" ht="14.25" customHeight="1" s="58">
      <c r="A70" s="12" t="inlineStr">
        <is>
          <t>Telegram</t>
        </is>
      </c>
      <c r="B70" s="12" t="inlineStr">
        <is>
          <t>МК-Ямал</t>
        </is>
      </c>
      <c r="C70" s="13" t="n">
        <v>229</v>
      </c>
      <c r="D70" s="13" t="n">
        <v>4025</v>
      </c>
      <c r="E70" s="13">
        <f>IF($D70="","",IFERROR(IF(ISBLANK(INDIRECT("'"&amp;$Q$2&amp;"'!D"&amp;ROW())),"",INDIRECT("'"&amp;$Q$2&amp;"'!D"&amp;ROW())),""))</f>
        <v/>
      </c>
      <c r="F70" s="15">
        <f>IF(OR(D70="",E70=""),"",D70-E70)</f>
        <v/>
      </c>
      <c r="G70" s="16">
        <f>IFERROR(F70/E70,"")</f>
        <v/>
      </c>
      <c r="H70" s="13" t="n">
        <v>2</v>
      </c>
      <c r="I70" s="13">
        <f>IF($H70="","",IFERROR(IF(ISBLANK(INDIRECT("'"&amp;$Q$2&amp;"'!H"&amp;ROW())),"",INDIRECT("'"&amp;$Q$2&amp;"'!H"&amp;ROW())),""))</f>
        <v/>
      </c>
      <c r="J70" s="15">
        <f>IF(OR(H70="",I70=""),"",H70-I70)</f>
        <v/>
      </c>
      <c r="K70" s="16">
        <f>IFERROR(J70/I70,"")</f>
        <v/>
      </c>
      <c r="L70" s="13">
        <f>IFERROR(D70/C70,"")</f>
        <v/>
      </c>
      <c r="M70" s="13">
        <f>IFERROR(H70/D70*1000,"")</f>
        <v/>
      </c>
      <c r="N70" s="13" t="n">
        <v>689</v>
      </c>
      <c r="O70" s="15">
        <f>IFERROR(IF(OR(N70="",ISBLANK(INDIRECT("'"&amp;$Q$2&amp;"'!N"&amp;ROW()))),"",N70-INDIRECT("'"&amp;$Q$2&amp;"'!N"&amp;ROW())),"")</f>
        <v/>
      </c>
      <c r="P70" s="2" t="n"/>
      <c r="Q70" s="2" t="n"/>
      <c r="R70" s="2" t="n"/>
      <c r="S70" s="18">
        <f>IFERROR(IF(ISBLANK(INDIRECT("'"&amp;$Q$2&amp;"'!G"&amp;ROW())),"",INDIRECT("'"&amp;$Q$2&amp;"'!G"&amp;ROW())),"")</f>
        <v/>
      </c>
      <c r="T70" s="20">
        <f>IF(OR($G70="",$S70=""),"",$G70-$S70)</f>
        <v/>
      </c>
      <c r="U70" s="18">
        <f>IFERROR(IF(ISBLANK(INDIRECT("'"&amp;$Q$2&amp;"'!K"&amp;ROW())),"",INDIRECT("'"&amp;$Q$2&amp;"'!K"&amp;ROW())),"")</f>
        <v/>
      </c>
      <c r="V70" s="20">
        <f>IF(OR($K70="",$U70=""),"",$K70-$U70)</f>
        <v/>
      </c>
      <c r="W70" s="21">
        <f>IFERROR(IF(ISBLANK(INDIRECT("'"&amp;$Q$2&amp;"'!O"&amp;ROW())),"",INDIRECT("'"&amp;$Q$2&amp;"'!O"&amp;ROW())),"")</f>
        <v/>
      </c>
      <c r="X70" s="21">
        <f>IF(OR($O70="",$W70=""),"",$O70-$W70)</f>
        <v/>
      </c>
      <c r="Y70" s="2" t="n"/>
      <c r="Z70" s="2" t="n"/>
    </row>
    <row r="71" ht="14.25" customHeight="1" s="58">
      <c r="A71" s="12" t="inlineStr">
        <is>
          <t>Telegram</t>
        </is>
      </c>
      <c r="B71" s="12" t="inlineStr">
        <is>
          <t>Не олени</t>
        </is>
      </c>
      <c r="C71" s="13" t="n">
        <v>22</v>
      </c>
      <c r="D71" s="13" t="n">
        <v>4176</v>
      </c>
      <c r="E71" s="13">
        <f>IF($D71="","",IFERROR(IF(ISBLANK(INDIRECT("'"&amp;$Q$2&amp;"'!D"&amp;ROW())),"",INDIRECT("'"&amp;$Q$2&amp;"'!D"&amp;ROW())),""))</f>
        <v/>
      </c>
      <c r="F71" s="15">
        <f>IF(OR(D71="",E71=""),"",D71-E71)</f>
        <v/>
      </c>
      <c r="G71" s="16">
        <f>IFERROR(F71/E71,"")</f>
        <v/>
      </c>
      <c r="H71" s="13" t="n">
        <v>449</v>
      </c>
      <c r="I71" s="13">
        <f>IF($H71="","",IFERROR(IF(ISBLANK(INDIRECT("'"&amp;$Q$2&amp;"'!H"&amp;ROW())),"",INDIRECT("'"&amp;$Q$2&amp;"'!H"&amp;ROW())),""))</f>
        <v/>
      </c>
      <c r="J71" s="15">
        <f>IF(OR(H71="",I71=""),"",H71-I71)</f>
        <v/>
      </c>
      <c r="K71" s="16">
        <f>IFERROR(J71/I71,"")</f>
        <v/>
      </c>
      <c r="L71" s="13">
        <f>IFERROR(D71/C71,"")</f>
        <v/>
      </c>
      <c r="M71" s="13">
        <f>IFERROR(H71/D71*1000,"")</f>
        <v/>
      </c>
      <c r="N71" s="13" t="n">
        <v>2481</v>
      </c>
      <c r="O71" s="15">
        <f>IFERROR(IF(OR(N71="",ISBLANK(INDIRECT("'"&amp;$Q$2&amp;"'!N"&amp;ROW()))),"",N71-INDIRECT("'"&amp;$Q$2&amp;"'!N"&amp;ROW())),"")</f>
        <v/>
      </c>
      <c r="P71" s="2" t="n"/>
      <c r="Q71" s="2" t="n"/>
      <c r="R71" s="2" t="n"/>
      <c r="S71" s="18">
        <f>IFERROR(IF(ISBLANK(INDIRECT("'"&amp;$Q$2&amp;"'!G"&amp;ROW())),"",INDIRECT("'"&amp;$Q$2&amp;"'!G"&amp;ROW())),"")</f>
        <v/>
      </c>
      <c r="T71" s="20">
        <f>IF(OR($G71="",$S71=""),"",$G71-$S71)</f>
        <v/>
      </c>
      <c r="U71" s="18">
        <f>IFERROR(IF(ISBLANK(INDIRECT("'"&amp;$Q$2&amp;"'!K"&amp;ROW())),"",INDIRECT("'"&amp;$Q$2&amp;"'!K"&amp;ROW())),"")</f>
        <v/>
      </c>
      <c r="V71" s="20">
        <f>IF(OR($K71="",$U71=""),"",$K71-$U71)</f>
        <v/>
      </c>
      <c r="W71" s="21">
        <f>IFERROR(IF(ISBLANK(INDIRECT("'"&amp;$Q$2&amp;"'!O"&amp;ROW())),"",INDIRECT("'"&amp;$Q$2&amp;"'!O"&amp;ROW())),"")</f>
        <v/>
      </c>
      <c r="X71" s="21">
        <f>IF(OR($O71="",$W71=""),"",$O71-$W71)</f>
        <v/>
      </c>
      <c r="Y71" s="2" t="n"/>
      <c r="Z71" s="2" t="n"/>
    </row>
    <row r="72" ht="14.25" customHeight="1" s="58">
      <c r="A72" s="12" t="inlineStr">
        <is>
          <t>Telegram</t>
        </is>
      </c>
      <c r="B72" s="12" t="inlineStr">
        <is>
          <t>Ямальский меридиан</t>
        </is>
      </c>
      <c r="C72" s="13" t="n">
        <v>7</v>
      </c>
      <c r="D72" s="13" t="n">
        <v>172</v>
      </c>
      <c r="E72" s="13">
        <f>IF($D72="","",IFERROR(IF(ISBLANK(INDIRECT("'"&amp;$Q$2&amp;"'!D"&amp;ROW())),"",INDIRECT("'"&amp;$Q$2&amp;"'!D"&amp;ROW())),""))</f>
        <v/>
      </c>
      <c r="F72" s="15">
        <f>IF(OR(D72="",E72=""),"",D72-E72)</f>
        <v/>
      </c>
      <c r="G72" s="16">
        <f>IFERROR(F72/E72,"")</f>
        <v/>
      </c>
      <c r="H72" s="13" t="n">
        <v>27</v>
      </c>
      <c r="I72" s="13">
        <f>IF($H72="","",IFERROR(IF(ISBLANK(INDIRECT("'"&amp;$Q$2&amp;"'!H"&amp;ROW())),"",INDIRECT("'"&amp;$Q$2&amp;"'!H"&amp;ROW())),""))</f>
        <v/>
      </c>
      <c r="J72" s="15">
        <f>IF(OR(H72="",I72=""),"",H72-I72)</f>
        <v/>
      </c>
      <c r="K72" s="16">
        <f>IFERROR(J72/I72,"")</f>
        <v/>
      </c>
      <c r="L72" s="13">
        <f>IFERROR(D72/C72,"")</f>
        <v/>
      </c>
      <c r="M72" s="13">
        <f>IFERROR(H72/D72*1000,"")</f>
        <v/>
      </c>
      <c r="N72" s="13" t="n">
        <v>173</v>
      </c>
      <c r="O72" s="15">
        <f>IFERROR(IF(OR(N72="",ISBLANK(INDIRECT("'"&amp;$Q$2&amp;"'!N"&amp;ROW()))),"",N72-INDIRECT("'"&amp;$Q$2&amp;"'!N"&amp;ROW())),"")</f>
        <v/>
      </c>
      <c r="P72" s="2" t="n"/>
      <c r="Q72" s="2" t="n"/>
      <c r="R72" s="2" t="n"/>
      <c r="S72" s="18">
        <f>IFERROR(IF(ISBLANK(INDIRECT("'"&amp;$Q$2&amp;"'!G"&amp;ROW())),"",INDIRECT("'"&amp;$Q$2&amp;"'!G"&amp;ROW())),"")</f>
        <v/>
      </c>
      <c r="T72" s="20">
        <f>IF(OR($G72="",$S72=""),"",$G72-$S72)</f>
        <v/>
      </c>
      <c r="U72" s="18">
        <f>IFERROR(IF(ISBLANK(INDIRECT("'"&amp;$Q$2&amp;"'!K"&amp;ROW())),"",INDIRECT("'"&amp;$Q$2&amp;"'!K"&amp;ROW())),"")</f>
        <v/>
      </c>
      <c r="V72" s="20">
        <f>IF(OR($K72="",$U72=""),"",$K72-$U72)</f>
        <v/>
      </c>
      <c r="W72" s="21">
        <f>IFERROR(IF(ISBLANK(INDIRECT("'"&amp;$Q$2&amp;"'!O"&amp;ROW())),"",INDIRECT("'"&amp;$Q$2&amp;"'!O"&amp;ROW())),"")</f>
        <v/>
      </c>
      <c r="X72" s="21">
        <f>IF(OR($O72="",$W72=""),"",$O72-$W72)</f>
        <v/>
      </c>
      <c r="Y72" s="2" t="n"/>
      <c r="Z72" s="2" t="n"/>
    </row>
    <row r="73" ht="14.25" customHeight="1" s="58">
      <c r="A73" s="12" t="inlineStr">
        <is>
          <t>Telegram</t>
        </is>
      </c>
      <c r="B73" s="12" t="inlineStr">
        <is>
          <t>Морошка</t>
        </is>
      </c>
      <c r="C73" s="13" t="n">
        <v>7</v>
      </c>
      <c r="D73" s="13" t="n">
        <v>1846</v>
      </c>
      <c r="E73" s="13">
        <f>IF($D73="","",IFERROR(IF(ISBLANK(INDIRECT("'"&amp;$Q$2&amp;"'!D"&amp;ROW())),"",INDIRECT("'"&amp;$Q$2&amp;"'!D"&amp;ROW())),""))</f>
        <v/>
      </c>
      <c r="F73" s="15">
        <f>IF(OR(D73="",E73=""),"",D73-E73)</f>
        <v/>
      </c>
      <c r="G73" s="16">
        <f>IFERROR(F73/E73,"")</f>
        <v/>
      </c>
      <c r="H73" s="13" t="n">
        <v>41</v>
      </c>
      <c r="I73" s="13">
        <f>IF($H73="","",IFERROR(IF(ISBLANK(INDIRECT("'"&amp;$Q$2&amp;"'!H"&amp;ROW())),"",INDIRECT("'"&amp;$Q$2&amp;"'!H"&amp;ROW())),""))</f>
        <v/>
      </c>
      <c r="J73" s="15">
        <f>IF(OR(H73="",I73=""),"",H73-I73)</f>
        <v/>
      </c>
      <c r="K73" s="16">
        <f>IFERROR(J73/I73,"")</f>
        <v/>
      </c>
      <c r="L73" s="13">
        <f>IFERROR(D73/C73,"")</f>
        <v/>
      </c>
      <c r="M73" s="13">
        <f>IFERROR(H73/D73*1000,"")</f>
        <v/>
      </c>
      <c r="N73" s="13" t="n">
        <v>57</v>
      </c>
      <c r="O73" s="15">
        <f>IFERROR(IF(OR(N73="",ISBLANK(INDIRECT("'"&amp;$Q$2&amp;"'!N"&amp;ROW()))),"",N73-INDIRECT("'"&amp;$Q$2&amp;"'!N"&amp;ROW())),"")</f>
        <v/>
      </c>
      <c r="P73" s="2" t="n"/>
      <c r="Q73" s="2" t="n"/>
      <c r="R73" s="2" t="n"/>
      <c r="S73" s="18">
        <f>IFERROR(IF(ISBLANK(INDIRECT("'"&amp;$Q$2&amp;"'!G"&amp;ROW())),"",INDIRECT("'"&amp;$Q$2&amp;"'!G"&amp;ROW())),"")</f>
        <v/>
      </c>
      <c r="T73" s="20">
        <f>IF(OR($G73="",$S73=""),"",$G73-$S73)</f>
        <v/>
      </c>
      <c r="U73" s="18">
        <f>IFERROR(IF(ISBLANK(INDIRECT("'"&amp;$Q$2&amp;"'!K"&amp;ROW())),"",INDIRECT("'"&amp;$Q$2&amp;"'!K"&amp;ROW())),"")</f>
        <v/>
      </c>
      <c r="V73" s="20">
        <f>IF(OR($K73="",$U73=""),"",$K73-$U73)</f>
        <v/>
      </c>
      <c r="W73" s="21">
        <f>IFERROR(IF(ISBLANK(INDIRECT("'"&amp;$Q$2&amp;"'!O"&amp;ROW())),"",INDIRECT("'"&amp;$Q$2&amp;"'!O"&amp;ROW())),"")</f>
        <v/>
      </c>
      <c r="X73" s="21">
        <f>IF(OR($O73="",$W73=""),"",$O73-$W73)</f>
        <v/>
      </c>
      <c r="Y73" s="2" t="n"/>
      <c r="Z73" s="2" t="n"/>
    </row>
    <row r="74" ht="14.25" customHeight="1" s="58">
      <c r="A74" s="25" t="n"/>
      <c r="B74" s="25" t="inlineStr">
        <is>
          <t>Итого Telegram</t>
        </is>
      </c>
      <c r="C74" s="26">
        <f>SUM(C52:C73)</f>
        <v/>
      </c>
      <c r="D74" s="26">
        <f>SUM(D52:D73)</f>
        <v/>
      </c>
      <c r="E74" s="26">
        <f>SUM(E52:E73)</f>
        <v/>
      </c>
      <c r="F74" s="27">
        <f>SUM(F52:F73)</f>
        <v/>
      </c>
      <c r="G74" s="28">
        <f>IF(C74=0,"",IFERROR(F74/E74,""))</f>
        <v/>
      </c>
      <c r="H74" s="26">
        <f>SUM(H52:H73)</f>
        <v/>
      </c>
      <c r="I74" s="26">
        <f>SUM(I52:I73)</f>
        <v/>
      </c>
      <c r="J74" s="27">
        <f>SUM(J52:J73)</f>
        <v/>
      </c>
      <c r="K74" s="28">
        <f>IF(C74=0,"",IFERROR(J74/I74,""))</f>
        <v/>
      </c>
      <c r="L74" s="26">
        <f>IFERROR(D74/C74,"")</f>
        <v/>
      </c>
      <c r="M74" s="26">
        <f>IFERROR(H74/D74*1000,"")</f>
        <v/>
      </c>
      <c r="N74" s="26">
        <f>SUM(N52:N73)</f>
        <v/>
      </c>
      <c r="O74" s="27">
        <f>SUM(O52:O73)</f>
        <v/>
      </c>
      <c r="P74" s="2" t="n"/>
      <c r="Q74" s="2" t="n"/>
      <c r="R74" s="2" t="n"/>
      <c r="S74" s="29">
        <f>IFERROR(IF(ISBLANK(INDIRECT("'"&amp;$Q$2&amp;"'!G"&amp;ROW())),"",INDIRECT("'"&amp;$Q$2&amp;"'!G"&amp;ROW())),"")</f>
        <v/>
      </c>
      <c r="T74" s="30">
        <f>IF(OR($G74="",$S74=""),"",$G74-$S74)</f>
        <v/>
      </c>
      <c r="U74" s="29">
        <f>IFERROR(IF(ISBLANK(INDIRECT("'"&amp;$Q$2&amp;"'!K"&amp;ROW())),"",INDIRECT("'"&amp;$Q$2&amp;"'!K"&amp;ROW())),"")</f>
        <v/>
      </c>
      <c r="V74" s="30">
        <f>IF(OR($K74="",$U74=""),"",$K74-$U74)</f>
        <v/>
      </c>
      <c r="W74" s="31">
        <f>IFERROR(IF(ISBLANK(INDIRECT("'"&amp;$Q$2&amp;"'!O"&amp;ROW())),"",INDIRECT("'"&amp;$Q$2&amp;"'!O"&amp;ROW())),"")</f>
        <v/>
      </c>
      <c r="X74" s="31">
        <f>IF(OR(C74=0,$O74="",$W74=""),"",$O74-$W74)</f>
        <v/>
      </c>
      <c r="Y74" s="2" t="n"/>
      <c r="Z74" s="2" t="n"/>
    </row>
    <row r="75" ht="14.25" customHeight="1" s="58">
      <c r="A75" s="12" t="inlineStr">
        <is>
          <t>МАКС</t>
        </is>
      </c>
      <c r="B75" s="12" t="inlineStr">
        <is>
          <t>Ямал-Медиа</t>
        </is>
      </c>
      <c r="C75" s="13" t="n">
        <v>150</v>
      </c>
      <c r="D75" s="13" t="n">
        <v>157919</v>
      </c>
      <c r="E75" s="13">
        <f>IF($D75="","",IFERROR(IF(ISBLANK(INDIRECT("'"&amp;$Q$2&amp;"'!D"&amp;ROW())),"",INDIRECT("'"&amp;$Q$2&amp;"'!D"&amp;ROW())),""))</f>
        <v/>
      </c>
      <c r="F75" s="15">
        <f>IF(OR(D75="",E75=""),"",D75-E75)</f>
        <v/>
      </c>
      <c r="G75" s="16">
        <f>IFERROR(F75/E75,"")</f>
        <v/>
      </c>
      <c r="H75" s="13" t="n">
        <v>1522</v>
      </c>
      <c r="I75" s="13">
        <f>IF($H75="","",IFERROR(IF(ISBLANK(INDIRECT("'"&amp;$Q$2&amp;"'!H"&amp;ROW())),"",INDIRECT("'"&amp;$Q$2&amp;"'!H"&amp;ROW())),""))</f>
        <v/>
      </c>
      <c r="J75" s="15">
        <f>IF(OR(H75="",I75=""),"",H75-I75)</f>
        <v/>
      </c>
      <c r="K75" s="16">
        <f>IFERROR(J75/I75,"")</f>
        <v/>
      </c>
      <c r="L75" s="13">
        <f>IFERROR(D75/C75,"")</f>
        <v/>
      </c>
      <c r="M75" s="13">
        <f>IFERROR(H75/D75*1000,"")</f>
        <v/>
      </c>
      <c r="N75" s="13" t="n">
        <v>4445</v>
      </c>
      <c r="O75" s="15">
        <f>IFERROR(IF(OR(N75="",ISBLANK(INDIRECT("'"&amp;$Q$2&amp;"'!N"&amp;ROW()))),"",N75-INDIRECT("'"&amp;$Q$2&amp;"'!N"&amp;ROW())),"")</f>
        <v/>
      </c>
      <c r="P75" s="2" t="n"/>
      <c r="Q75" s="2" t="n"/>
      <c r="R75" s="2" t="n"/>
      <c r="S75" s="18">
        <f>IFERROR(IF(ISBLANK(INDIRECT("'"&amp;$Q$2&amp;"'!G"&amp;ROW())),"",INDIRECT("'"&amp;$Q$2&amp;"'!G"&amp;ROW())),"")</f>
        <v/>
      </c>
      <c r="T75" s="20">
        <f>IF(OR($G75="",$S75=""),"",$G75-$S75)</f>
        <v/>
      </c>
      <c r="U75" s="18">
        <f>IFERROR(IF(ISBLANK(INDIRECT("'"&amp;$Q$2&amp;"'!K"&amp;ROW())),"",INDIRECT("'"&amp;$Q$2&amp;"'!K"&amp;ROW())),"")</f>
        <v/>
      </c>
      <c r="V75" s="20">
        <f>IF(OR($K75="",$U75=""),"",$K75-$U75)</f>
        <v/>
      </c>
      <c r="W75" s="21">
        <f>IFERROR(IF(ISBLANK(INDIRECT("'"&amp;$Q$2&amp;"'!O"&amp;ROW())),"",INDIRECT("'"&amp;$Q$2&amp;"'!O"&amp;ROW())),"")</f>
        <v/>
      </c>
      <c r="X75" s="21">
        <f>IF(OR($O75="",$W75=""),"",$O75-$W75)</f>
        <v/>
      </c>
      <c r="Y75" s="2" t="n"/>
      <c r="Z75" s="2" t="n"/>
    </row>
    <row r="76" ht="14.25" customHeight="1" s="58">
      <c r="A76" s="12" t="inlineStr">
        <is>
          <t>МАКС</t>
        </is>
      </c>
      <c r="B76" s="12" t="inlineStr">
        <is>
          <t>Север-Пресс</t>
        </is>
      </c>
      <c r="C76" s="13" t="n">
        <v>147</v>
      </c>
      <c r="D76" s="13" t="n">
        <v>70495</v>
      </c>
      <c r="E76" s="13">
        <f>IF($D76="","",IFERROR(IF(ISBLANK(INDIRECT("'"&amp;$Q$2&amp;"'!D"&amp;ROW())),"",INDIRECT("'"&amp;$Q$2&amp;"'!D"&amp;ROW())),""))</f>
        <v/>
      </c>
      <c r="F76" s="15">
        <f>IF(OR(D76="",E76=""),"",D76-E76)</f>
        <v/>
      </c>
      <c r="G76" s="16">
        <f>IFERROR(F76/E76,"")</f>
        <v/>
      </c>
      <c r="H76" s="13" t="n">
        <v>338</v>
      </c>
      <c r="I76" s="13">
        <f>IF($H76="","",IFERROR(IF(ISBLANK(INDIRECT("'"&amp;$Q$2&amp;"'!H"&amp;ROW())),"",INDIRECT("'"&amp;$Q$2&amp;"'!H"&amp;ROW())),""))</f>
        <v/>
      </c>
      <c r="J76" s="15">
        <f>IF(OR(H76="",I76=""),"",H76-I76)</f>
        <v/>
      </c>
      <c r="K76" s="16">
        <f>IFERROR(J76/I76,"")</f>
        <v/>
      </c>
      <c r="L76" s="13">
        <f>IFERROR(D76/C76,"")</f>
        <v/>
      </c>
      <c r="M76" s="13">
        <f>IFERROR(H76/D76*1000,"")</f>
        <v/>
      </c>
      <c r="N76" s="13" t="n">
        <v>2247</v>
      </c>
      <c r="O76" s="15">
        <f>IFERROR(IF(OR(N76="",ISBLANK(INDIRECT("'"&amp;$Q$2&amp;"'!N"&amp;ROW()))),"",N76-INDIRECT("'"&amp;$Q$2&amp;"'!N"&amp;ROW())),"")</f>
        <v/>
      </c>
      <c r="P76" s="2" t="n"/>
      <c r="Q76" s="2" t="n"/>
      <c r="R76" s="2" t="n"/>
      <c r="S76" s="18">
        <f>IFERROR(IF(ISBLANK(INDIRECT("'"&amp;$Q$2&amp;"'!G"&amp;ROW())),"",INDIRECT("'"&amp;$Q$2&amp;"'!G"&amp;ROW())),"")</f>
        <v/>
      </c>
      <c r="T76" s="20">
        <f>IF(OR($G76="",$S76=""),"",$G76-$S76)</f>
        <v/>
      </c>
      <c r="U76" s="18">
        <f>IFERROR(IF(ISBLANK(INDIRECT("'"&amp;$Q$2&amp;"'!K"&amp;ROW())),"",INDIRECT("'"&amp;$Q$2&amp;"'!K"&amp;ROW())),"")</f>
        <v/>
      </c>
      <c r="V76" s="20">
        <f>IF(OR($K76="",$U76=""),"",$K76-$U76)</f>
        <v/>
      </c>
      <c r="W76" s="21">
        <f>IFERROR(IF(ISBLANK(INDIRECT("'"&amp;$Q$2&amp;"'!O"&amp;ROW())),"",INDIRECT("'"&amp;$Q$2&amp;"'!O"&amp;ROW())),"")</f>
        <v/>
      </c>
      <c r="X76" s="21">
        <f>IF(OR($O76="",$W76=""),"",$O76-$W76)</f>
        <v/>
      </c>
      <c r="Y76" s="2" t="n"/>
      <c r="Z76" s="2" t="n"/>
    </row>
    <row r="77" ht="14.25" customHeight="1" s="58">
      <c r="A77" s="12" t="inlineStr">
        <is>
          <t>МАКС</t>
        </is>
      </c>
      <c r="B77" s="12" t="inlineStr">
        <is>
          <t>Красный Север</t>
        </is>
      </c>
      <c r="C77" s="13" t="n">
        <v>88</v>
      </c>
      <c r="D77" s="13" t="n">
        <v>6505</v>
      </c>
      <c r="E77" s="13">
        <f>IF($D77="","",IFERROR(IF(ISBLANK(INDIRECT("'"&amp;$Q$2&amp;"'!D"&amp;ROW())),"",INDIRECT("'"&amp;$Q$2&amp;"'!D"&amp;ROW())),""))</f>
        <v/>
      </c>
      <c r="F77" s="15">
        <f>IF(OR(D77="",E77=""),"",D77-E77)</f>
        <v/>
      </c>
      <c r="G77" s="16">
        <f>IFERROR(F77/E77,"")</f>
        <v/>
      </c>
      <c r="H77" s="13" t="n">
        <v>20</v>
      </c>
      <c r="I77" s="13">
        <f>IF($H77="","",IFERROR(IF(ISBLANK(INDIRECT("'"&amp;$Q$2&amp;"'!H"&amp;ROW())),"",INDIRECT("'"&amp;$Q$2&amp;"'!H"&amp;ROW())),""))</f>
        <v/>
      </c>
      <c r="J77" s="15">
        <f>IF(OR(H77="",I77=""),"",H77-I77)</f>
        <v/>
      </c>
      <c r="K77" s="16">
        <f>IFERROR(J77/I77,"")</f>
        <v/>
      </c>
      <c r="L77" s="13">
        <f>IFERROR(D77/C77,"")</f>
        <v/>
      </c>
      <c r="M77" s="13">
        <f>IFERROR(H77/D77*1000,"")</f>
        <v/>
      </c>
      <c r="N77" s="13" t="n">
        <v>273</v>
      </c>
      <c r="O77" s="15">
        <f>IFERROR(IF(OR(N77="",ISBLANK(INDIRECT("'"&amp;$Q$2&amp;"'!N"&amp;ROW()))),"",N77-INDIRECT("'"&amp;$Q$2&amp;"'!N"&amp;ROW())),"")</f>
        <v/>
      </c>
      <c r="P77" s="2" t="n"/>
      <c r="Q77" s="2" t="n"/>
      <c r="R77" s="2" t="n"/>
      <c r="S77" s="18">
        <f>IFERROR(IF(ISBLANK(INDIRECT("'"&amp;$Q$2&amp;"'!G"&amp;ROW())),"",INDIRECT("'"&amp;$Q$2&amp;"'!G"&amp;ROW())),"")</f>
        <v/>
      </c>
      <c r="T77" s="20">
        <f>IF(OR($G77="",$S77=""),"",$G77-$S77)</f>
        <v/>
      </c>
      <c r="U77" s="18">
        <f>IFERROR(IF(ISBLANK(INDIRECT("'"&amp;$Q$2&amp;"'!K"&amp;ROW())),"",INDIRECT("'"&amp;$Q$2&amp;"'!K"&amp;ROW())),"")</f>
        <v/>
      </c>
      <c r="V77" s="20">
        <f>IF(OR($K77="",$U77=""),"",$K77-$U77)</f>
        <v/>
      </c>
      <c r="W77" s="21">
        <f>IFERROR(IF(ISBLANK(INDIRECT("'"&amp;$Q$2&amp;"'!O"&amp;ROW())),"",INDIRECT("'"&amp;$Q$2&amp;"'!O"&amp;ROW())),"")</f>
        <v/>
      </c>
      <c r="X77" s="21">
        <f>IF(OR($O77="",$W77=""),"",$O77-$W77)</f>
        <v/>
      </c>
      <c r="Y77" s="2" t="n"/>
      <c r="Z77" s="2" t="n"/>
    </row>
    <row r="78" ht="14.25" customHeight="1" s="58">
      <c r="A78" s="12" t="inlineStr">
        <is>
          <t>МАКС</t>
        </is>
      </c>
      <c r="B78" s="12" t="inlineStr">
        <is>
          <t>СМП</t>
        </is>
      </c>
      <c r="C78" s="13" t="n">
        <v>7</v>
      </c>
      <c r="D78" s="13" t="n">
        <v>826</v>
      </c>
      <c r="E78" s="13">
        <f>IF($D78="","",IFERROR(IF(ISBLANK(INDIRECT("'"&amp;$Q$2&amp;"'!D"&amp;ROW())),"",INDIRECT("'"&amp;$Q$2&amp;"'!D"&amp;ROW())),""))</f>
        <v/>
      </c>
      <c r="F78" s="15">
        <f>IF(OR(D78="",E78=""),"",D78-E78)</f>
        <v/>
      </c>
      <c r="G78" s="16">
        <f>IFERROR(F78/E78,"")</f>
        <v/>
      </c>
      <c r="H78" s="13" t="n">
        <v>37</v>
      </c>
      <c r="I78" s="13">
        <f>IF($H78="","",IFERROR(IF(ISBLANK(INDIRECT("'"&amp;$Q$2&amp;"'!H"&amp;ROW())),"",INDIRECT("'"&amp;$Q$2&amp;"'!H"&amp;ROW())),""))</f>
        <v/>
      </c>
      <c r="J78" s="15">
        <f>IF(OR(H78="",I78=""),"",H78-I78)</f>
        <v/>
      </c>
      <c r="K78" s="16">
        <f>IFERROR(J78/I78,"")</f>
        <v/>
      </c>
      <c r="L78" s="13">
        <f>IFERROR(D78/C78,"")</f>
        <v/>
      </c>
      <c r="M78" s="13">
        <f>IFERROR(H78/D78*1000,"")</f>
        <v/>
      </c>
      <c r="N78" s="13" t="n">
        <v>212</v>
      </c>
      <c r="O78" s="15">
        <f>IFERROR(IF(OR(N78="",ISBLANK(INDIRECT("'"&amp;$Q$2&amp;"'!N"&amp;ROW()))),"",N78-INDIRECT("'"&amp;$Q$2&amp;"'!N"&amp;ROW())),"")</f>
        <v/>
      </c>
      <c r="P78" s="2" t="n"/>
      <c r="Q78" s="2" t="n"/>
      <c r="R78" s="2" t="n"/>
      <c r="S78" s="18">
        <f>IFERROR(IF(ISBLANK(INDIRECT("'"&amp;$Q$2&amp;"'!G"&amp;ROW())),"",INDIRECT("'"&amp;$Q$2&amp;"'!G"&amp;ROW())),"")</f>
        <v/>
      </c>
      <c r="T78" s="20">
        <f>IF(OR($G78="",$S78=""),"",$G78-$S78)</f>
        <v/>
      </c>
      <c r="U78" s="18">
        <f>IFERROR(IF(ISBLANK(INDIRECT("'"&amp;$Q$2&amp;"'!K"&amp;ROW())),"",INDIRECT("'"&amp;$Q$2&amp;"'!K"&amp;ROW())),"")</f>
        <v/>
      </c>
      <c r="V78" s="20">
        <f>IF(OR($K78="",$U78=""),"",$K78-$U78)</f>
        <v/>
      </c>
      <c r="W78" s="21">
        <f>IFERROR(IF(ISBLANK(INDIRECT("'"&amp;$Q$2&amp;"'!O"&amp;ROW())),"",INDIRECT("'"&amp;$Q$2&amp;"'!O"&amp;ROW())),"")</f>
        <v/>
      </c>
      <c r="X78" s="21">
        <f>IF(OR($O78="",$W78=""),"",$O78-$W78)</f>
        <v/>
      </c>
      <c r="Y78" s="2" t="n"/>
      <c r="Z78" s="2" t="n"/>
    </row>
    <row r="79" ht="14.25" customHeight="1" s="58">
      <c r="A79" s="12" t="inlineStr">
        <is>
          <t>МАКС</t>
        </is>
      </c>
      <c r="B79" s="12" t="inlineStr">
        <is>
          <t>СШХ</t>
        </is>
      </c>
      <c r="C79" s="13" t="n">
        <v>4</v>
      </c>
      <c r="D79" s="13" t="n">
        <v>85</v>
      </c>
      <c r="E79" s="13">
        <f>IF($D79="","",IFERROR(IF(ISBLANK(INDIRECT("'"&amp;$Q$2&amp;"'!D"&amp;ROW())),"",INDIRECT("'"&amp;$Q$2&amp;"'!D"&amp;ROW())),""))</f>
        <v/>
      </c>
      <c r="F79" s="15">
        <f>IF(OR(D79="",E79=""),"",D79-E79)</f>
        <v/>
      </c>
      <c r="G79" s="16">
        <f>IFERROR(F79/E79,"")</f>
        <v/>
      </c>
      <c r="H79" s="13" t="n">
        <v>1</v>
      </c>
      <c r="I79" s="13">
        <f>IF($H79="","",IFERROR(IF(ISBLANK(INDIRECT("'"&amp;$Q$2&amp;"'!H"&amp;ROW())),"",INDIRECT("'"&amp;$Q$2&amp;"'!H"&amp;ROW())),""))</f>
        <v/>
      </c>
      <c r="J79" s="15">
        <f>IF(OR(H79="",I79=""),"",H79-I79)</f>
        <v/>
      </c>
      <c r="K79" s="16">
        <f>IFERROR(J79/I79,"")</f>
        <v/>
      </c>
      <c r="L79" s="13">
        <f>IFERROR(D79/C79,"")</f>
        <v/>
      </c>
      <c r="M79" s="13">
        <f>IFERROR(H79/D79*1000,"")</f>
        <v/>
      </c>
      <c r="N79" s="13" t="n">
        <v>37</v>
      </c>
      <c r="O79" s="15">
        <f>IFERROR(IF(OR(N79="",ISBLANK(INDIRECT("'"&amp;$Q$2&amp;"'!N"&amp;ROW()))),"",N79-INDIRECT("'"&amp;$Q$2&amp;"'!N"&amp;ROW())),"")</f>
        <v/>
      </c>
      <c r="P79" s="2" t="n"/>
      <c r="Q79" s="2" t="n"/>
      <c r="R79" s="2" t="n"/>
      <c r="S79" s="18">
        <f>IFERROR(IF(ISBLANK(INDIRECT("'"&amp;$Q$2&amp;"'!G"&amp;ROW())),"",INDIRECT("'"&amp;$Q$2&amp;"'!G"&amp;ROW())),"")</f>
        <v/>
      </c>
      <c r="T79" s="20">
        <f>IF(OR($G79="",$S79=""),"",$G79-$S79)</f>
        <v/>
      </c>
      <c r="U79" s="18">
        <f>IFERROR(IF(ISBLANK(INDIRECT("'"&amp;$Q$2&amp;"'!K"&amp;ROW())),"",INDIRECT("'"&amp;$Q$2&amp;"'!K"&amp;ROW())),"")</f>
        <v/>
      </c>
      <c r="V79" s="20">
        <f>IF(OR($K79="",$U79=""),"",$K79-$U79)</f>
        <v/>
      </c>
      <c r="W79" s="21">
        <f>IFERROR(IF(ISBLANK(INDIRECT("'"&amp;$Q$2&amp;"'!O"&amp;ROW())),"",INDIRECT("'"&amp;$Q$2&amp;"'!O"&amp;ROW())),"")</f>
        <v/>
      </c>
      <c r="X79" s="21">
        <f>IF(OR($O79="",$W79=""),"",$O79-$W79)</f>
        <v/>
      </c>
      <c r="Y79" s="2" t="n"/>
      <c r="Z79" s="2" t="n"/>
    </row>
    <row r="80" ht="14.25" customHeight="1" s="58">
      <c r="A80" s="12" t="inlineStr">
        <is>
          <t>МАКС</t>
        </is>
      </c>
      <c r="B80" s="12" t="inlineStr">
        <is>
          <t>Новый Уренгой</t>
        </is>
      </c>
      <c r="C80" s="13" t="n">
        <v>99</v>
      </c>
      <c r="D80" s="13" t="n">
        <v>165080</v>
      </c>
      <c r="E80" s="13">
        <f>IF($D80="","",IFERROR(IF(ISBLANK(INDIRECT("'"&amp;$Q$2&amp;"'!D"&amp;ROW())),"",INDIRECT("'"&amp;$Q$2&amp;"'!D"&amp;ROW())),""))</f>
        <v/>
      </c>
      <c r="F80" s="15">
        <f>IF(OR(D80="",E80=""),"",D80-E80)</f>
        <v/>
      </c>
      <c r="G80" s="16">
        <f>IFERROR(F80/E80,"")</f>
        <v/>
      </c>
      <c r="H80" s="13" t="n">
        <v>1556</v>
      </c>
      <c r="I80" s="13">
        <f>IF($H80="","",IFERROR(IF(ISBLANK(INDIRECT("'"&amp;$Q$2&amp;"'!H"&amp;ROW())),"",INDIRECT("'"&amp;$Q$2&amp;"'!H"&amp;ROW())),""))</f>
        <v/>
      </c>
      <c r="J80" s="15">
        <f>IF(OR(H80="",I80=""),"",H80-I80)</f>
        <v/>
      </c>
      <c r="K80" s="16">
        <f>IFERROR(J80/I80,"")</f>
        <v/>
      </c>
      <c r="L80" s="13">
        <f>IFERROR(D80/C80,"")</f>
        <v/>
      </c>
      <c r="M80" s="13">
        <f>IFERROR(H80/D80*1000,"")</f>
        <v/>
      </c>
      <c r="N80" s="13" t="n">
        <v>4351</v>
      </c>
      <c r="O80" s="15">
        <f>IFERROR(IF(OR(N80="",ISBLANK(INDIRECT("'"&amp;$Q$2&amp;"'!N"&amp;ROW()))),"",N80-INDIRECT("'"&amp;$Q$2&amp;"'!N"&amp;ROW())),"")</f>
        <v/>
      </c>
      <c r="P80" s="2" t="n"/>
      <c r="Q80" s="2" t="n"/>
      <c r="R80" s="2" t="n"/>
      <c r="S80" s="18">
        <f>IFERROR(IF(ISBLANK(INDIRECT("'"&amp;$Q$2&amp;"'!G"&amp;ROW())),"",INDIRECT("'"&amp;$Q$2&amp;"'!G"&amp;ROW())),"")</f>
        <v/>
      </c>
      <c r="T80" s="20">
        <f>IF(OR($G80="",$S80=""),"",$G80-$S80)</f>
        <v/>
      </c>
      <c r="U80" s="18">
        <f>IFERROR(IF(ISBLANK(INDIRECT("'"&amp;$Q$2&amp;"'!K"&amp;ROW())),"",INDIRECT("'"&amp;$Q$2&amp;"'!K"&amp;ROW())),"")</f>
        <v/>
      </c>
      <c r="V80" s="20">
        <f>IF(OR($K80="",$U80=""),"",$K80-$U80)</f>
        <v/>
      </c>
      <c r="W80" s="21">
        <f>IFERROR(IF(ISBLANK(INDIRECT("'"&amp;$Q$2&amp;"'!O"&amp;ROW())),"",INDIRECT("'"&amp;$Q$2&amp;"'!O"&amp;ROW())),"")</f>
        <v/>
      </c>
      <c r="X80" s="21">
        <f>IF(OR($O80="",$W80=""),"",$O80-$W80)</f>
        <v/>
      </c>
      <c r="Y80" s="2" t="n"/>
      <c r="Z80" s="2" t="n"/>
    </row>
    <row r="81" ht="14.25" customHeight="1" s="58">
      <c r="A81" s="12" t="inlineStr">
        <is>
          <t>МАКС</t>
        </is>
      </c>
      <c r="B81" s="12" t="inlineStr">
        <is>
          <t>Надым</t>
        </is>
      </c>
      <c r="C81" s="13" t="n">
        <v>89</v>
      </c>
      <c r="D81" s="13" t="n">
        <v>80151</v>
      </c>
      <c r="E81" s="13">
        <f>IF($D81="","",IFERROR(IF(ISBLANK(INDIRECT("'"&amp;$Q$2&amp;"'!D"&amp;ROW())),"",INDIRECT("'"&amp;$Q$2&amp;"'!D"&amp;ROW())),""))</f>
        <v/>
      </c>
      <c r="F81" s="15">
        <f>IF(OR(D81="",E81=""),"",D81-E81)</f>
        <v/>
      </c>
      <c r="G81" s="16">
        <f>IFERROR(F81/E81,"")</f>
        <v/>
      </c>
      <c r="H81" s="13" t="n">
        <v>1699</v>
      </c>
      <c r="I81" s="13">
        <f>IF($H81="","",IFERROR(IF(ISBLANK(INDIRECT("'"&amp;$Q$2&amp;"'!H"&amp;ROW())),"",INDIRECT("'"&amp;$Q$2&amp;"'!H"&amp;ROW())),""))</f>
        <v/>
      </c>
      <c r="J81" s="15">
        <f>IF(OR(H81="",I81=""),"",H81-I81)</f>
        <v/>
      </c>
      <c r="K81" s="16">
        <f>IFERROR(J81/I81,"")</f>
        <v/>
      </c>
      <c r="L81" s="13">
        <f>IFERROR(D81/C81,"")</f>
        <v/>
      </c>
      <c r="M81" s="13">
        <f>IFERROR(H81/D81*1000,"")</f>
        <v/>
      </c>
      <c r="N81" s="13" t="n">
        <v>2513</v>
      </c>
      <c r="O81" s="15">
        <f>IFERROR(IF(OR(N81="",ISBLANK(INDIRECT("'"&amp;$Q$2&amp;"'!N"&amp;ROW()))),"",N81-INDIRECT("'"&amp;$Q$2&amp;"'!N"&amp;ROW())),"")</f>
        <v/>
      </c>
      <c r="P81" s="2" t="n"/>
      <c r="Q81" s="2" t="n"/>
      <c r="R81" s="2" t="n"/>
      <c r="S81" s="18">
        <f>IFERROR(IF(ISBLANK(INDIRECT("'"&amp;$Q$2&amp;"'!G"&amp;ROW())),"",INDIRECT("'"&amp;$Q$2&amp;"'!G"&amp;ROW())),"")</f>
        <v/>
      </c>
      <c r="T81" s="20">
        <f>IF(OR($G81="",$S81=""),"",$G81-$S81)</f>
        <v/>
      </c>
      <c r="U81" s="18">
        <f>IFERROR(IF(ISBLANK(INDIRECT("'"&amp;$Q$2&amp;"'!K"&amp;ROW())),"",INDIRECT("'"&amp;$Q$2&amp;"'!K"&amp;ROW())),"")</f>
        <v/>
      </c>
      <c r="V81" s="20">
        <f>IF(OR($K81="",$U81=""),"",$K81-$U81)</f>
        <v/>
      </c>
      <c r="W81" s="21">
        <f>IFERROR(IF(ISBLANK(INDIRECT("'"&amp;$Q$2&amp;"'!O"&amp;ROW())),"",INDIRECT("'"&amp;$Q$2&amp;"'!O"&amp;ROW())),"")</f>
        <v/>
      </c>
      <c r="X81" s="21">
        <f>IF(OR($O81="",$W81=""),"",$O81-$W81)</f>
        <v/>
      </c>
      <c r="Y81" s="2" t="n"/>
      <c r="Z81" s="2" t="n"/>
    </row>
    <row r="82" ht="14.25" customHeight="1" s="58">
      <c r="A82" s="12" t="inlineStr">
        <is>
          <t>МАКС</t>
        </is>
      </c>
      <c r="B82" s="12" t="inlineStr">
        <is>
          <t>Ноябрьск</t>
        </is>
      </c>
      <c r="C82" s="13" t="n">
        <v>95</v>
      </c>
      <c r="D82" s="13" t="n">
        <v>154133</v>
      </c>
      <c r="E82" s="13">
        <f>IF($D82="","",IFERROR(IF(ISBLANK(INDIRECT("'"&amp;$Q$2&amp;"'!D"&amp;ROW())),"",INDIRECT("'"&amp;$Q$2&amp;"'!D"&amp;ROW())),""))</f>
        <v/>
      </c>
      <c r="F82" s="15">
        <f>IF(OR(D82="",E82=""),"",D82-E82)</f>
        <v/>
      </c>
      <c r="G82" s="16">
        <f>IFERROR(F82/E82,"")</f>
        <v/>
      </c>
      <c r="H82" s="13" t="n">
        <v>3296</v>
      </c>
      <c r="I82" s="13">
        <f>IF($H82="","",IFERROR(IF(ISBLANK(INDIRECT("'"&amp;$Q$2&amp;"'!H"&amp;ROW())),"",INDIRECT("'"&amp;$Q$2&amp;"'!H"&amp;ROW())),""))</f>
        <v/>
      </c>
      <c r="J82" s="15">
        <f>IF(OR(H82="",I82=""),"",H82-I82)</f>
        <v/>
      </c>
      <c r="K82" s="16">
        <f>IFERROR(J82/I82,"")</f>
        <v/>
      </c>
      <c r="L82" s="13">
        <f>IFERROR(D82/C82,"")</f>
        <v/>
      </c>
      <c r="M82" s="13">
        <f>IFERROR(H82/D82*1000,"")</f>
        <v/>
      </c>
      <c r="N82" s="13" t="n">
        <v>3764</v>
      </c>
      <c r="O82" s="15">
        <f>IFERROR(IF(OR(N82="",ISBLANK(INDIRECT("'"&amp;$Q$2&amp;"'!N"&amp;ROW()))),"",N82-INDIRECT("'"&amp;$Q$2&amp;"'!N"&amp;ROW())),"")</f>
        <v/>
      </c>
      <c r="P82" s="2" t="n"/>
      <c r="Q82" s="2" t="n"/>
      <c r="R82" s="2" t="n"/>
      <c r="S82" s="18">
        <f>IFERROR(IF(ISBLANK(INDIRECT("'"&amp;$Q$2&amp;"'!G"&amp;ROW())),"",INDIRECT("'"&amp;$Q$2&amp;"'!G"&amp;ROW())),"")</f>
        <v/>
      </c>
      <c r="T82" s="20">
        <f>IF(OR($G82="",$S82=""),"",$G82-$S82)</f>
        <v/>
      </c>
      <c r="U82" s="18">
        <f>IFERROR(IF(ISBLANK(INDIRECT("'"&amp;$Q$2&amp;"'!K"&amp;ROW())),"",INDIRECT("'"&amp;$Q$2&amp;"'!K"&amp;ROW())),"")</f>
        <v/>
      </c>
      <c r="V82" s="20">
        <f>IF(OR($K82="",$U82=""),"",$K82-$U82)</f>
        <v/>
      </c>
      <c r="W82" s="21">
        <f>IFERROR(IF(ISBLANK(INDIRECT("'"&amp;$Q$2&amp;"'!O"&amp;ROW())),"",INDIRECT("'"&amp;$Q$2&amp;"'!O"&amp;ROW())),"")</f>
        <v/>
      </c>
      <c r="X82" s="21">
        <f>IF(OR($O82="",$W82=""),"",$O82-$W82)</f>
        <v/>
      </c>
      <c r="Y82" s="2" t="n"/>
      <c r="Z82" s="2" t="n"/>
    </row>
    <row r="83" ht="14.25" customHeight="1" s="58">
      <c r="A83" s="12" t="inlineStr">
        <is>
          <t>МАКС</t>
        </is>
      </c>
      <c r="B83" s="12" t="inlineStr">
        <is>
          <t>Салехард</t>
        </is>
      </c>
      <c r="C83" s="13" t="n">
        <v>141</v>
      </c>
      <c r="D83" s="13" t="n">
        <v>85318</v>
      </c>
      <c r="E83" s="13">
        <f>IF($D83="","",IFERROR(IF(ISBLANK(INDIRECT("'"&amp;$Q$2&amp;"'!D"&amp;ROW())),"",INDIRECT("'"&amp;$Q$2&amp;"'!D"&amp;ROW())),""))</f>
        <v/>
      </c>
      <c r="F83" s="15">
        <f>IF(OR(D83="",E83=""),"",D83-E83)</f>
        <v/>
      </c>
      <c r="G83" s="16">
        <f>IFERROR(F83/E83,"")</f>
        <v/>
      </c>
      <c r="H83" s="13" t="n">
        <v>546</v>
      </c>
      <c r="I83" s="13">
        <f>IF($H83="","",IFERROR(IF(ISBLANK(INDIRECT("'"&amp;$Q$2&amp;"'!H"&amp;ROW())),"",INDIRECT("'"&amp;$Q$2&amp;"'!H"&amp;ROW())),""))</f>
        <v/>
      </c>
      <c r="J83" s="15">
        <f>IF(OR(H83="",I83=""),"",H83-I83)</f>
        <v/>
      </c>
      <c r="K83" s="16">
        <f>IFERROR(J83/I83,"")</f>
        <v/>
      </c>
      <c r="L83" s="13">
        <f>IFERROR(D83/C83,"")</f>
        <v/>
      </c>
      <c r="M83" s="13">
        <f>IFERROR(H83/D83*1000,"")</f>
        <v/>
      </c>
      <c r="N83" s="13" t="n">
        <v>1797</v>
      </c>
      <c r="O83" s="15">
        <f>IFERROR(IF(OR(N83="",ISBLANK(INDIRECT("'"&amp;$Q$2&amp;"'!N"&amp;ROW()))),"",N83-INDIRECT("'"&amp;$Q$2&amp;"'!N"&amp;ROW())),"")</f>
        <v/>
      </c>
      <c r="P83" s="2" t="n"/>
      <c r="Q83" s="2" t="n"/>
      <c r="R83" s="2" t="n"/>
      <c r="S83" s="18">
        <f>IFERROR(IF(ISBLANK(INDIRECT("'"&amp;$Q$2&amp;"'!G"&amp;ROW())),"",INDIRECT("'"&amp;$Q$2&amp;"'!G"&amp;ROW())),"")</f>
        <v/>
      </c>
      <c r="T83" s="20">
        <f>IF(OR($G83="",$S83=""),"",$G83-$S83)</f>
        <v/>
      </c>
      <c r="U83" s="18">
        <f>IFERROR(IF(ISBLANK(INDIRECT("'"&amp;$Q$2&amp;"'!K"&amp;ROW())),"",INDIRECT("'"&amp;$Q$2&amp;"'!K"&amp;ROW())),"")</f>
        <v/>
      </c>
      <c r="V83" s="20">
        <f>IF(OR($K83="",$U83=""),"",$K83-$U83)</f>
        <v/>
      </c>
      <c r="W83" s="21">
        <f>IFERROR(IF(ISBLANK(INDIRECT("'"&amp;$Q$2&amp;"'!O"&amp;ROW())),"",INDIRECT("'"&amp;$Q$2&amp;"'!O"&amp;ROW())),"")</f>
        <v/>
      </c>
      <c r="X83" s="21">
        <f>IF(OR($O83="",$W83=""),"",$O83-$W83)</f>
        <v/>
      </c>
      <c r="Y83" s="2" t="n"/>
      <c r="Z83" s="2" t="n"/>
    </row>
    <row r="84" ht="14.25" customHeight="1" s="58">
      <c r="A84" s="12" t="inlineStr">
        <is>
          <t>МАКС</t>
        </is>
      </c>
      <c r="B84" s="12" t="inlineStr">
        <is>
          <t>Приуралье</t>
        </is>
      </c>
      <c r="C84" s="13" t="n">
        <v>106</v>
      </c>
      <c r="D84" s="13" t="n">
        <v>27813</v>
      </c>
      <c r="E84" s="13">
        <f>IF($D84="","",IFERROR(IF(ISBLANK(INDIRECT("'"&amp;$Q$2&amp;"'!D"&amp;ROW())),"",INDIRECT("'"&amp;$Q$2&amp;"'!D"&amp;ROW())),""))</f>
        <v/>
      </c>
      <c r="F84" s="15">
        <f>IF(OR(D84="",E84=""),"",D84-E84)</f>
        <v/>
      </c>
      <c r="G84" s="16">
        <f>IFERROR(F84/E84,"")</f>
        <v/>
      </c>
      <c r="H84" s="13" t="n">
        <v>400</v>
      </c>
      <c r="I84" s="13">
        <f>IF($H84="","",IFERROR(IF(ISBLANK(INDIRECT("'"&amp;$Q$2&amp;"'!H"&amp;ROW())),"",INDIRECT("'"&amp;$Q$2&amp;"'!H"&amp;ROW())),""))</f>
        <v/>
      </c>
      <c r="J84" s="15">
        <f>IF(OR(H84="",I84=""),"",H84-I84)</f>
        <v/>
      </c>
      <c r="K84" s="16">
        <f>IFERROR(J84/I84,"")</f>
        <v/>
      </c>
      <c r="L84" s="13">
        <f>IFERROR(D84/C84,"")</f>
        <v/>
      </c>
      <c r="M84" s="13">
        <f>IFERROR(H84/D84*1000,"")</f>
        <v/>
      </c>
      <c r="N84" s="13" t="n">
        <v>760</v>
      </c>
      <c r="O84" s="15">
        <f>IFERROR(IF(OR(N84="",ISBLANK(INDIRECT("'"&amp;$Q$2&amp;"'!N"&amp;ROW()))),"",N84-INDIRECT("'"&amp;$Q$2&amp;"'!N"&amp;ROW())),"")</f>
        <v/>
      </c>
      <c r="P84" s="2" t="n"/>
      <c r="Q84" s="2" t="n"/>
      <c r="R84" s="2" t="n"/>
      <c r="S84" s="18">
        <f>IFERROR(IF(ISBLANK(INDIRECT("'"&amp;$Q$2&amp;"'!G"&amp;ROW())),"",INDIRECT("'"&amp;$Q$2&amp;"'!G"&amp;ROW())),"")</f>
        <v/>
      </c>
      <c r="T84" s="20">
        <f>IF(OR($G84="",$S84=""),"",$G84-$S84)</f>
        <v/>
      </c>
      <c r="U84" s="18">
        <f>IFERROR(IF(ISBLANK(INDIRECT("'"&amp;$Q$2&amp;"'!K"&amp;ROW())),"",INDIRECT("'"&amp;$Q$2&amp;"'!K"&amp;ROW())),"")</f>
        <v/>
      </c>
      <c r="V84" s="20">
        <f>IF(OR($K84="",$U84=""),"",$K84-$U84)</f>
        <v/>
      </c>
      <c r="W84" s="21">
        <f>IFERROR(IF(ISBLANK(INDIRECT("'"&amp;$Q$2&amp;"'!O"&amp;ROW())),"",INDIRECT("'"&amp;$Q$2&amp;"'!O"&amp;ROW())),"")</f>
        <v/>
      </c>
      <c r="X84" s="21">
        <f>IF(OR($O84="",$W84=""),"",$O84-$W84)</f>
        <v/>
      </c>
      <c r="Y84" s="2" t="n"/>
      <c r="Z84" s="2" t="n"/>
    </row>
    <row r="85" ht="14.25" customHeight="1" s="58">
      <c r="A85" s="12" t="inlineStr">
        <is>
          <t>МАКС</t>
        </is>
      </c>
      <c r="B85" s="12" t="inlineStr">
        <is>
          <t>Лабытнанги</t>
        </is>
      </c>
      <c r="C85" s="13" t="n">
        <v>66</v>
      </c>
      <c r="D85" s="13" t="n">
        <v>8781</v>
      </c>
      <c r="E85" s="13">
        <f>IF($D85="","",IFERROR(IF(ISBLANK(INDIRECT("'"&amp;$Q$2&amp;"'!D"&amp;ROW())),"",INDIRECT("'"&amp;$Q$2&amp;"'!D"&amp;ROW())),""))</f>
        <v/>
      </c>
      <c r="F85" s="15">
        <f>IF(OR(D85="",E85=""),"",D85-E85)</f>
        <v/>
      </c>
      <c r="G85" s="16">
        <f>IFERROR(F85/E85,"")</f>
        <v/>
      </c>
      <c r="H85" s="13" t="n">
        <v>612</v>
      </c>
      <c r="I85" s="13">
        <f>IF($H85="","",IFERROR(IF(ISBLANK(INDIRECT("'"&amp;$Q$2&amp;"'!H"&amp;ROW())),"",INDIRECT("'"&amp;$Q$2&amp;"'!H"&amp;ROW())),""))</f>
        <v/>
      </c>
      <c r="J85" s="15">
        <f>IF(OR(H85="",I85=""),"",H85-I85)</f>
        <v/>
      </c>
      <c r="K85" s="16">
        <f>IFERROR(J85/I85,"")</f>
        <v/>
      </c>
      <c r="L85" s="13">
        <f>IFERROR(D85/C85,"")</f>
        <v/>
      </c>
      <c r="M85" s="13">
        <f>IFERROR(H85/D85*1000,"")</f>
        <v/>
      </c>
      <c r="N85" s="13" t="n">
        <v>307</v>
      </c>
      <c r="O85" s="15">
        <f>IFERROR(IF(OR(N85="",ISBLANK(INDIRECT("'"&amp;$Q$2&amp;"'!N"&amp;ROW()))),"",N85-INDIRECT("'"&amp;$Q$2&amp;"'!N"&amp;ROW())),"")</f>
        <v/>
      </c>
      <c r="P85" s="2" t="n"/>
      <c r="Q85" s="2" t="n"/>
      <c r="R85" s="2" t="n"/>
      <c r="S85" s="18">
        <f>IFERROR(IF(ISBLANK(INDIRECT("'"&amp;$Q$2&amp;"'!G"&amp;ROW())),"",INDIRECT("'"&amp;$Q$2&amp;"'!G"&amp;ROW())),"")</f>
        <v/>
      </c>
      <c r="T85" s="20">
        <f>IF(OR($G85="",$S85=""),"",$G85-$S85)</f>
        <v/>
      </c>
      <c r="U85" s="18">
        <f>IFERROR(IF(ISBLANK(INDIRECT("'"&amp;$Q$2&amp;"'!K"&amp;ROW())),"",INDIRECT("'"&amp;$Q$2&amp;"'!K"&amp;ROW())),"")</f>
        <v/>
      </c>
      <c r="V85" s="20">
        <f>IF(OR($K85="",$U85=""),"",$K85-$U85)</f>
        <v/>
      </c>
      <c r="W85" s="21">
        <f>IFERROR(IF(ISBLANK(INDIRECT("'"&amp;$Q$2&amp;"'!O"&amp;ROW())),"",INDIRECT("'"&amp;$Q$2&amp;"'!O"&amp;ROW())),"")</f>
        <v/>
      </c>
      <c r="X85" s="21">
        <f>IF(OR($O85="",$W85=""),"",$O85-$W85)</f>
        <v/>
      </c>
      <c r="Y85" s="2" t="n"/>
      <c r="Z85" s="2" t="n"/>
    </row>
    <row r="86" ht="14.25" customHeight="1" s="58">
      <c r="A86" s="12" t="inlineStr">
        <is>
          <t>МАКС</t>
        </is>
      </c>
      <c r="B86" s="12" t="inlineStr">
        <is>
          <t>Пуровский</t>
        </is>
      </c>
      <c r="C86" s="13" t="n">
        <v>62</v>
      </c>
      <c r="D86" s="13" t="n">
        <v>46599</v>
      </c>
      <c r="E86" s="13">
        <f>IF($D86="","",IFERROR(IF(ISBLANK(INDIRECT("'"&amp;$Q$2&amp;"'!D"&amp;ROW())),"",INDIRECT("'"&amp;$Q$2&amp;"'!D"&amp;ROW())),""))</f>
        <v/>
      </c>
      <c r="F86" s="15">
        <f>IF(OR(D86="",E86=""),"",D86-E86)</f>
        <v/>
      </c>
      <c r="G86" s="16">
        <f>IFERROR(F86/E86,"")</f>
        <v/>
      </c>
      <c r="H86" s="13" t="n">
        <v>423</v>
      </c>
      <c r="I86" s="13">
        <f>IF($H86="","",IFERROR(IF(ISBLANK(INDIRECT("'"&amp;$Q$2&amp;"'!H"&amp;ROW())),"",INDIRECT("'"&amp;$Q$2&amp;"'!H"&amp;ROW())),""))</f>
        <v/>
      </c>
      <c r="J86" s="15">
        <f>IF(OR(H86="",I86=""),"",H86-I86)</f>
        <v/>
      </c>
      <c r="K86" s="16">
        <f>IFERROR(J86/I86,"")</f>
        <v/>
      </c>
      <c r="L86" s="13">
        <f>IFERROR(D86/C86,"")</f>
        <v/>
      </c>
      <c r="M86" s="13">
        <f>IFERROR(H86/D86*1000,"")</f>
        <v/>
      </c>
      <c r="N86" s="13" t="n">
        <v>1917</v>
      </c>
      <c r="O86" s="15">
        <f>IFERROR(IF(OR(N86="",ISBLANK(INDIRECT("'"&amp;$Q$2&amp;"'!N"&amp;ROW()))),"",N86-INDIRECT("'"&amp;$Q$2&amp;"'!N"&amp;ROW())),"")</f>
        <v/>
      </c>
      <c r="P86" s="2" t="n"/>
      <c r="Q86" s="2" t="n"/>
      <c r="R86" s="2" t="n"/>
      <c r="S86" s="18">
        <f>IFERROR(IF(ISBLANK(INDIRECT("'"&amp;$Q$2&amp;"'!G"&amp;ROW())),"",INDIRECT("'"&amp;$Q$2&amp;"'!G"&amp;ROW())),"")</f>
        <v/>
      </c>
      <c r="T86" s="20">
        <f>IF(OR($G86="",$S86=""),"",$G86-$S86)</f>
        <v/>
      </c>
      <c r="U86" s="18">
        <f>IFERROR(IF(ISBLANK(INDIRECT("'"&amp;$Q$2&amp;"'!K"&amp;ROW())),"",INDIRECT("'"&amp;$Q$2&amp;"'!K"&amp;ROW())),"")</f>
        <v/>
      </c>
      <c r="V86" s="20">
        <f>IF(OR($K86="",$U86=""),"",$K86-$U86)</f>
        <v/>
      </c>
      <c r="W86" s="21">
        <f>IFERROR(IF(ISBLANK(INDIRECT("'"&amp;$Q$2&amp;"'!O"&amp;ROW())),"",INDIRECT("'"&amp;$Q$2&amp;"'!O"&amp;ROW())),"")</f>
        <v/>
      </c>
      <c r="X86" s="21">
        <f>IF(OR($O86="",$W86=""),"",$O86-$W86)</f>
        <v/>
      </c>
      <c r="Y86" s="2" t="n"/>
      <c r="Z86" s="2" t="n"/>
    </row>
    <row r="87" ht="14.25" customHeight="1" s="58">
      <c r="A87" s="12" t="inlineStr">
        <is>
          <t>МАКС</t>
        </is>
      </c>
      <c r="B87" s="12" t="inlineStr">
        <is>
          <t>Тазовский</t>
        </is>
      </c>
      <c r="C87" s="13" t="n">
        <v>57</v>
      </c>
      <c r="D87" s="13" t="n">
        <v>14339</v>
      </c>
      <c r="E87" s="13">
        <f>IF($D87="","",IFERROR(IF(ISBLANK(INDIRECT("'"&amp;$Q$2&amp;"'!D"&amp;ROW())),"",INDIRECT("'"&amp;$Q$2&amp;"'!D"&amp;ROW())),""))</f>
        <v/>
      </c>
      <c r="F87" s="15">
        <f>IF(OR(D87="",E87=""),"",D87-E87)</f>
        <v/>
      </c>
      <c r="G87" s="16">
        <f>IFERROR(F87/E87,"")</f>
        <v/>
      </c>
      <c r="H87" s="13" t="n">
        <v>70</v>
      </c>
      <c r="I87" s="13">
        <f>IF($H87="","",IFERROR(IF(ISBLANK(INDIRECT("'"&amp;$Q$2&amp;"'!H"&amp;ROW())),"",INDIRECT("'"&amp;$Q$2&amp;"'!H"&amp;ROW())),""))</f>
        <v/>
      </c>
      <c r="J87" s="15">
        <f>IF(OR(H87="",I87=""),"",H87-I87)</f>
        <v/>
      </c>
      <c r="K87" s="16">
        <f>IFERROR(J87/I87,"")</f>
        <v/>
      </c>
      <c r="L87" s="13">
        <f>IFERROR(D87/C87,"")</f>
        <v/>
      </c>
      <c r="M87" s="13">
        <f>IFERROR(H87/D87*1000,"")</f>
        <v/>
      </c>
      <c r="N87" s="13" t="n">
        <v>527</v>
      </c>
      <c r="O87" s="15">
        <f>IFERROR(IF(OR(N87="",ISBLANK(INDIRECT("'"&amp;$Q$2&amp;"'!N"&amp;ROW()))),"",N87-INDIRECT("'"&amp;$Q$2&amp;"'!N"&amp;ROW())),"")</f>
        <v/>
      </c>
      <c r="P87" s="2" t="n"/>
      <c r="Q87" s="2" t="n"/>
      <c r="R87" s="2" t="n"/>
      <c r="S87" s="18">
        <f>IFERROR(IF(ISBLANK(INDIRECT("'"&amp;$Q$2&amp;"'!G"&amp;ROW())),"",INDIRECT("'"&amp;$Q$2&amp;"'!G"&amp;ROW())),"")</f>
        <v/>
      </c>
      <c r="T87" s="20">
        <f>IF(OR($G87="",$S87=""),"",$G87-$S87)</f>
        <v/>
      </c>
      <c r="U87" s="18">
        <f>IFERROR(IF(ISBLANK(INDIRECT("'"&amp;$Q$2&amp;"'!K"&amp;ROW())),"",INDIRECT("'"&amp;$Q$2&amp;"'!K"&amp;ROW())),"")</f>
        <v/>
      </c>
      <c r="V87" s="20">
        <f>IF(OR($K87="",$U87=""),"",$K87-$U87)</f>
        <v/>
      </c>
      <c r="W87" s="21">
        <f>IFERROR(IF(ISBLANK(INDIRECT("'"&amp;$Q$2&amp;"'!O"&amp;ROW())),"",INDIRECT("'"&amp;$Q$2&amp;"'!O"&amp;ROW())),"")</f>
        <v/>
      </c>
      <c r="X87" s="21">
        <f>IF(OR($O87="",$W87=""),"",$O87-$W87)</f>
        <v/>
      </c>
      <c r="Y87" s="2" t="n"/>
      <c r="Z87" s="2" t="n"/>
    </row>
    <row r="88" ht="14.25" customHeight="1" s="58">
      <c r="A88" s="12" t="inlineStr">
        <is>
          <t>МАКС</t>
        </is>
      </c>
      <c r="B88" s="12" t="inlineStr">
        <is>
          <t>Красноселькуп</t>
        </is>
      </c>
      <c r="C88" s="13" t="n">
        <v>31</v>
      </c>
      <c r="D88" s="13" t="n">
        <v>7067</v>
      </c>
      <c r="E88" s="13">
        <f>IF($D88="","",IFERROR(IF(ISBLANK(INDIRECT("'"&amp;$Q$2&amp;"'!D"&amp;ROW())),"",INDIRECT("'"&amp;$Q$2&amp;"'!D"&amp;ROW())),""))</f>
        <v/>
      </c>
      <c r="F88" s="15">
        <f>IF(OR(D88="",E88=""),"",D88-E88)</f>
        <v/>
      </c>
      <c r="G88" s="16">
        <f>IFERROR(F88/E88,"")</f>
        <v/>
      </c>
      <c r="H88" s="13" t="n">
        <v>69</v>
      </c>
      <c r="I88" s="13">
        <f>IF($H88="","",IFERROR(IF(ISBLANK(INDIRECT("'"&amp;$Q$2&amp;"'!H"&amp;ROW())),"",INDIRECT("'"&amp;$Q$2&amp;"'!H"&amp;ROW())),""))</f>
        <v/>
      </c>
      <c r="J88" s="15">
        <f>IF(OR(H88="",I88=""),"",H88-I88)</f>
        <v/>
      </c>
      <c r="K88" s="16">
        <f>IFERROR(J88/I88,"")</f>
        <v/>
      </c>
      <c r="L88" s="13">
        <f>IFERROR(D88/C88,"")</f>
        <v/>
      </c>
      <c r="M88" s="13">
        <f>IFERROR(H88/D88*1000,"")</f>
        <v/>
      </c>
      <c r="N88" s="13" t="n">
        <v>440</v>
      </c>
      <c r="O88" s="15">
        <f>IFERROR(IF(OR(N88="",ISBLANK(INDIRECT("'"&amp;$Q$2&amp;"'!N"&amp;ROW()))),"",N88-INDIRECT("'"&amp;$Q$2&amp;"'!N"&amp;ROW())),"")</f>
        <v/>
      </c>
      <c r="P88" s="2" t="n"/>
      <c r="Q88" s="2" t="n"/>
      <c r="R88" s="2" t="n"/>
      <c r="S88" s="18">
        <f>IFERROR(IF(ISBLANK(INDIRECT("'"&amp;$Q$2&amp;"'!G"&amp;ROW())),"",INDIRECT("'"&amp;$Q$2&amp;"'!G"&amp;ROW())),"")</f>
        <v/>
      </c>
      <c r="T88" s="20">
        <f>IF(OR($G88="",$S88=""),"",$G88-$S88)</f>
        <v/>
      </c>
      <c r="U88" s="18">
        <f>IFERROR(IF(ISBLANK(INDIRECT("'"&amp;$Q$2&amp;"'!K"&amp;ROW())),"",INDIRECT("'"&amp;$Q$2&amp;"'!K"&amp;ROW())),"")</f>
        <v/>
      </c>
      <c r="V88" s="20">
        <f>IF(OR($K88="",$U88=""),"",$K88-$U88)</f>
        <v/>
      </c>
      <c r="W88" s="21">
        <f>IFERROR(IF(ISBLANK(INDIRECT("'"&amp;$Q$2&amp;"'!O"&amp;ROW())),"",INDIRECT("'"&amp;$Q$2&amp;"'!O"&amp;ROW())),"")</f>
        <v/>
      </c>
      <c r="X88" s="21">
        <f>IF(OR($O88="",$W88=""),"",$O88-$W88)</f>
        <v/>
      </c>
      <c r="Y88" s="2" t="n"/>
      <c r="Z88" s="2" t="n"/>
    </row>
    <row r="89" ht="14.25" customHeight="1" s="58">
      <c r="A89" s="12" t="inlineStr">
        <is>
          <t>МАКС</t>
        </is>
      </c>
      <c r="B89" s="12" t="inlineStr">
        <is>
          <t>Ямальский</t>
        </is>
      </c>
      <c r="C89" s="13" t="n">
        <v>50</v>
      </c>
      <c r="D89" s="13" t="n">
        <v>8708</v>
      </c>
      <c r="E89" s="13">
        <f>IF($D89="","",IFERROR(IF(ISBLANK(INDIRECT("'"&amp;$Q$2&amp;"'!D"&amp;ROW())),"",INDIRECT("'"&amp;$Q$2&amp;"'!D"&amp;ROW())),""))</f>
        <v/>
      </c>
      <c r="F89" s="15">
        <f>IF(OR(D89="",E89=""),"",D89-E89)</f>
        <v/>
      </c>
      <c r="G89" s="16">
        <f>IFERROR(F89/E89,"")</f>
        <v/>
      </c>
      <c r="H89" s="13" t="n">
        <v>138</v>
      </c>
      <c r="I89" s="13">
        <f>IF($H89="","",IFERROR(IF(ISBLANK(INDIRECT("'"&amp;$Q$2&amp;"'!H"&amp;ROW())),"",INDIRECT("'"&amp;$Q$2&amp;"'!H"&amp;ROW())),""))</f>
        <v/>
      </c>
      <c r="J89" s="15">
        <f>IF(OR(H89="",I89=""),"",H89-I89)</f>
        <v/>
      </c>
      <c r="K89" s="16">
        <f>IFERROR(J89/I89,"")</f>
        <v/>
      </c>
      <c r="L89" s="13">
        <f>IFERROR(D89/C89,"")</f>
        <v/>
      </c>
      <c r="M89" s="13">
        <f>IFERROR(H89/D89*1000,"")</f>
        <v/>
      </c>
      <c r="N89" s="13" t="n">
        <v>450</v>
      </c>
      <c r="O89" s="15">
        <f>IFERROR(IF(OR(N89="",ISBLANK(INDIRECT("'"&amp;$Q$2&amp;"'!N"&amp;ROW()))),"",N89-INDIRECT("'"&amp;$Q$2&amp;"'!N"&amp;ROW())),"")</f>
        <v/>
      </c>
      <c r="P89" s="2" t="n"/>
      <c r="Q89" s="2" t="n"/>
      <c r="R89" s="2" t="n"/>
      <c r="S89" s="18">
        <f>IFERROR(IF(ISBLANK(INDIRECT("'"&amp;$Q$2&amp;"'!G"&amp;ROW())),"",INDIRECT("'"&amp;$Q$2&amp;"'!G"&amp;ROW())),"")</f>
        <v/>
      </c>
      <c r="T89" s="20">
        <f>IF(OR($G89="",$S89=""),"",$G89-$S89)</f>
        <v/>
      </c>
      <c r="U89" s="18">
        <f>IFERROR(IF(ISBLANK(INDIRECT("'"&amp;$Q$2&amp;"'!K"&amp;ROW())),"",INDIRECT("'"&amp;$Q$2&amp;"'!K"&amp;ROW())),"")</f>
        <v/>
      </c>
      <c r="V89" s="20">
        <f>IF(OR($K89="",$U89=""),"",$K89-$U89)</f>
        <v/>
      </c>
      <c r="W89" s="21">
        <f>IFERROR(IF(ISBLANK(INDIRECT("'"&amp;$Q$2&amp;"'!O"&amp;ROW())),"",INDIRECT("'"&amp;$Q$2&amp;"'!O"&amp;ROW())),"")</f>
        <v/>
      </c>
      <c r="X89" s="21">
        <f>IF(OR($O89="",$W89=""),"",$O89-$W89)</f>
        <v/>
      </c>
      <c r="Y89" s="2" t="n"/>
      <c r="Z89" s="2" t="n"/>
    </row>
    <row r="90" ht="14.25" customHeight="1" s="58">
      <c r="A90" s="12" t="inlineStr">
        <is>
          <t>МАКС</t>
        </is>
      </c>
      <c r="B90" s="12" t="inlineStr">
        <is>
          <t>Шурышкарский</t>
        </is>
      </c>
      <c r="C90" s="13" t="n">
        <v>59</v>
      </c>
      <c r="D90" s="13" t="n">
        <v>33281</v>
      </c>
      <c r="E90" s="13">
        <f>IF($D90="","",IFERROR(IF(ISBLANK(INDIRECT("'"&amp;$Q$2&amp;"'!D"&amp;ROW())),"",INDIRECT("'"&amp;$Q$2&amp;"'!D"&amp;ROW())),""))</f>
        <v/>
      </c>
      <c r="F90" s="15">
        <f>IF(OR(D90="",E90=""),"",D90-E90)</f>
        <v/>
      </c>
      <c r="G90" s="16">
        <f>IFERROR(F90/E90,"")</f>
        <v/>
      </c>
      <c r="H90" s="13" t="n">
        <v>711</v>
      </c>
      <c r="I90" s="13">
        <f>IF($H90="","",IFERROR(IF(ISBLANK(INDIRECT("'"&amp;$Q$2&amp;"'!H"&amp;ROW())),"",INDIRECT("'"&amp;$Q$2&amp;"'!H"&amp;ROW())),""))</f>
        <v/>
      </c>
      <c r="J90" s="15">
        <f>IF(OR(H90="",I90=""),"",H90-I90)</f>
        <v/>
      </c>
      <c r="K90" s="16">
        <f>IFERROR(J90/I90,"")</f>
        <v/>
      </c>
      <c r="L90" s="13">
        <f>IFERROR(D90/C90,"")</f>
        <v/>
      </c>
      <c r="M90" s="13">
        <f>IFERROR(H90/D90*1000,"")</f>
        <v/>
      </c>
      <c r="N90" s="13" t="n">
        <v>1492</v>
      </c>
      <c r="O90" s="15">
        <f>IFERROR(IF(OR(N90="",ISBLANK(INDIRECT("'"&amp;$Q$2&amp;"'!N"&amp;ROW()))),"",N90-INDIRECT("'"&amp;$Q$2&amp;"'!N"&amp;ROW())),"")</f>
        <v/>
      </c>
      <c r="P90" s="2" t="n"/>
      <c r="Q90" s="2" t="n"/>
      <c r="R90" s="2" t="n"/>
      <c r="S90" s="18">
        <f>IFERROR(IF(ISBLANK(INDIRECT("'"&amp;$Q$2&amp;"'!G"&amp;ROW())),"",INDIRECT("'"&amp;$Q$2&amp;"'!G"&amp;ROW())),"")</f>
        <v/>
      </c>
      <c r="T90" s="20">
        <f>IF(OR($G90="",$S90=""),"",$G90-$S90)</f>
        <v/>
      </c>
      <c r="U90" s="18">
        <f>IFERROR(IF(ISBLANK(INDIRECT("'"&amp;$Q$2&amp;"'!K"&amp;ROW())),"",INDIRECT("'"&amp;$Q$2&amp;"'!K"&amp;ROW())),"")</f>
        <v/>
      </c>
      <c r="V90" s="20">
        <f>IF(OR($K90="",$U90=""),"",$K90-$U90)</f>
        <v/>
      </c>
      <c r="W90" s="21">
        <f>IFERROR(IF(ISBLANK(INDIRECT("'"&amp;$Q$2&amp;"'!O"&amp;ROW())),"",INDIRECT("'"&amp;$Q$2&amp;"'!O"&amp;ROW())),"")</f>
        <v/>
      </c>
      <c r="X90" s="21">
        <f>IF(OR($O90="",$W90=""),"",$O90-$W90)</f>
        <v/>
      </c>
      <c r="Y90" s="2" t="n"/>
      <c r="Z90" s="2" t="n"/>
    </row>
    <row r="91" ht="14.25" customHeight="1" s="58">
      <c r="A91" s="12" t="inlineStr">
        <is>
          <t>МАКС</t>
        </is>
      </c>
      <c r="B91" s="12" t="inlineStr">
        <is>
          <t>Муравленко</t>
        </is>
      </c>
      <c r="C91" s="13" t="n">
        <v>64</v>
      </c>
      <c r="D91" s="13" t="n">
        <v>81701</v>
      </c>
      <c r="E91" s="13">
        <f>IF($D91="","",IFERROR(IF(ISBLANK(INDIRECT("'"&amp;$Q$2&amp;"'!D"&amp;ROW())),"",INDIRECT("'"&amp;$Q$2&amp;"'!D"&amp;ROW())),""))</f>
        <v/>
      </c>
      <c r="F91" s="15">
        <f>IF(OR(D91="",E91=""),"",D91-E91)</f>
        <v/>
      </c>
      <c r="G91" s="16">
        <f>IFERROR(F91/E91,"")</f>
        <v/>
      </c>
      <c r="H91" s="13" t="n">
        <v>1051</v>
      </c>
      <c r="I91" s="13">
        <f>IF($H91="","",IFERROR(IF(ISBLANK(INDIRECT("'"&amp;$Q$2&amp;"'!H"&amp;ROW())),"",INDIRECT("'"&amp;$Q$2&amp;"'!H"&amp;ROW())),""))</f>
        <v/>
      </c>
      <c r="J91" s="15">
        <f>IF(OR(H91="",I91=""),"",H91-I91)</f>
        <v/>
      </c>
      <c r="K91" s="16">
        <f>IFERROR(J91/I91,"")</f>
        <v/>
      </c>
      <c r="L91" s="13">
        <f>IFERROR(D91/C91,"")</f>
        <v/>
      </c>
      <c r="M91" s="13">
        <f>IFERROR(H91/D91*1000,"")</f>
        <v/>
      </c>
      <c r="N91" s="13" t="n">
        <v>2635</v>
      </c>
      <c r="O91" s="15">
        <f>IFERROR(IF(OR(N91="",ISBLANK(INDIRECT("'"&amp;$Q$2&amp;"'!N"&amp;ROW()))),"",N91-INDIRECT("'"&amp;$Q$2&amp;"'!N"&amp;ROW())),"")</f>
        <v/>
      </c>
      <c r="P91" s="2" t="n"/>
      <c r="Q91" s="2" t="n"/>
      <c r="R91" s="2" t="n"/>
      <c r="S91" s="18">
        <f>IFERROR(IF(ISBLANK(INDIRECT("'"&amp;$Q$2&amp;"'!G"&amp;ROW())),"",INDIRECT("'"&amp;$Q$2&amp;"'!G"&amp;ROW())),"")</f>
        <v/>
      </c>
      <c r="T91" s="20">
        <f>IF(OR($G91="",$S91=""),"",$G91-$S91)</f>
        <v/>
      </c>
      <c r="U91" s="18">
        <f>IFERROR(IF(ISBLANK(INDIRECT("'"&amp;$Q$2&amp;"'!K"&amp;ROW())),"",INDIRECT("'"&amp;$Q$2&amp;"'!K"&amp;ROW())),"")</f>
        <v/>
      </c>
      <c r="V91" s="20">
        <f>IF(OR($K91="",$U91=""),"",$K91-$U91)</f>
        <v/>
      </c>
      <c r="W91" s="21">
        <f>IFERROR(IF(ISBLANK(INDIRECT("'"&amp;$Q$2&amp;"'!O"&amp;ROW())),"",INDIRECT("'"&amp;$Q$2&amp;"'!O"&amp;ROW())),"")</f>
        <v/>
      </c>
      <c r="X91" s="21">
        <f>IF(OR($O91="",$W91=""),"",$O91-$W91)</f>
        <v/>
      </c>
      <c r="Y91" s="2" t="n"/>
      <c r="Z91" s="2" t="n"/>
    </row>
    <row r="92" ht="14.25" customHeight="1" s="58">
      <c r="A92" s="12" t="inlineStr">
        <is>
          <t>МАКС</t>
        </is>
      </c>
      <c r="B92" s="12" t="inlineStr">
        <is>
          <t>Губкинский</t>
        </is>
      </c>
      <c r="C92" s="13" t="n">
        <v>78</v>
      </c>
      <c r="D92" s="13" t="n">
        <v>41251</v>
      </c>
      <c r="E92" s="13">
        <f>IF($D92="","",IFERROR(IF(ISBLANK(INDIRECT("'"&amp;$Q$2&amp;"'!D"&amp;ROW())),"",INDIRECT("'"&amp;$Q$2&amp;"'!D"&amp;ROW())),""))</f>
        <v/>
      </c>
      <c r="F92" s="15">
        <f>IF(OR(D92="",E92=""),"",D92-E92)</f>
        <v/>
      </c>
      <c r="G92" s="16">
        <f>IFERROR(F92/E92,"")</f>
        <v/>
      </c>
      <c r="H92" s="13" t="n">
        <v>557</v>
      </c>
      <c r="I92" s="13">
        <f>IF($H92="","",IFERROR(IF(ISBLANK(INDIRECT("'"&amp;$Q$2&amp;"'!H"&amp;ROW())),"",INDIRECT("'"&amp;$Q$2&amp;"'!H"&amp;ROW())),""))</f>
        <v/>
      </c>
      <c r="J92" s="15">
        <f>IF(OR(H92="",I92=""),"",H92-I92)</f>
        <v/>
      </c>
      <c r="K92" s="16">
        <f>IFERROR(J92/I92,"")</f>
        <v/>
      </c>
      <c r="L92" s="13">
        <f>IFERROR(D92/C92,"")</f>
        <v/>
      </c>
      <c r="M92" s="13">
        <f>IFERROR(H92/D92*1000,"")</f>
        <v/>
      </c>
      <c r="N92" s="13" t="n">
        <v>1212</v>
      </c>
      <c r="O92" s="15">
        <f>IFERROR(IF(OR(N92="",ISBLANK(INDIRECT("'"&amp;$Q$2&amp;"'!N"&amp;ROW()))),"",N92-INDIRECT("'"&amp;$Q$2&amp;"'!N"&amp;ROW())),"")</f>
        <v/>
      </c>
      <c r="P92" s="2" t="n"/>
      <c r="Q92" s="2" t="n"/>
      <c r="R92" s="2" t="n"/>
      <c r="S92" s="18">
        <f>IFERROR(IF(ISBLANK(INDIRECT("'"&amp;$Q$2&amp;"'!G"&amp;ROW())),"",INDIRECT("'"&amp;$Q$2&amp;"'!G"&amp;ROW())),"")</f>
        <v/>
      </c>
      <c r="T92" s="20">
        <f>IF(OR($G92="",$S92=""),"",$G92-$S92)</f>
        <v/>
      </c>
      <c r="U92" s="18">
        <f>IFERROR(IF(ISBLANK(INDIRECT("'"&amp;$Q$2&amp;"'!K"&amp;ROW())),"",INDIRECT("'"&amp;$Q$2&amp;"'!K"&amp;ROW())),"")</f>
        <v/>
      </c>
      <c r="V92" s="20">
        <f>IF(OR($K92="",$U92=""),"",$K92-$U92)</f>
        <v/>
      </c>
      <c r="W92" s="21">
        <f>IFERROR(IF(ISBLANK(INDIRECT("'"&amp;$Q$2&amp;"'!O"&amp;ROW())),"",INDIRECT("'"&amp;$Q$2&amp;"'!O"&amp;ROW())),"")</f>
        <v/>
      </c>
      <c r="X92" s="21">
        <f>IF(OR($O92="",$W92=""),"",$O92-$W92)</f>
        <v/>
      </c>
      <c r="Y92" s="2" t="n"/>
      <c r="Z92" s="2" t="n"/>
    </row>
    <row r="93" ht="14.25" customHeight="1" s="58">
      <c r="A93" s="12" t="inlineStr">
        <is>
          <t>МАКС</t>
        </is>
      </c>
      <c r="B93" s="12" t="inlineStr">
        <is>
          <t>Не олени</t>
        </is>
      </c>
      <c r="C93" s="13" t="n">
        <v>21</v>
      </c>
      <c r="D93" s="13" t="n">
        <v>8577</v>
      </c>
      <c r="E93" s="13">
        <f>IF($D93="","",IFERROR(IF(ISBLANK(INDIRECT("'"&amp;$Q$2&amp;"'!D"&amp;ROW())),"",INDIRECT("'"&amp;$Q$2&amp;"'!D"&amp;ROW())),""))</f>
        <v/>
      </c>
      <c r="F93" s="15">
        <f>IF(OR(D93="",E93=""),"",D93-E93)</f>
        <v/>
      </c>
      <c r="G93" s="16">
        <f>IFERROR(F93/E93,"")</f>
        <v/>
      </c>
      <c r="H93" s="13" t="n">
        <v>702</v>
      </c>
      <c r="I93" s="13">
        <f>IF($H93="","",IFERROR(IF(ISBLANK(INDIRECT("'"&amp;$Q$2&amp;"'!H"&amp;ROW())),"",INDIRECT("'"&amp;$Q$2&amp;"'!H"&amp;ROW())),""))</f>
        <v/>
      </c>
      <c r="J93" s="15">
        <f>IF(OR(H93="",I93=""),"",H93-I93)</f>
        <v/>
      </c>
      <c r="K93" s="16">
        <f>IFERROR(J93/I93,"")</f>
        <v/>
      </c>
      <c r="L93" s="13">
        <f>IFERROR(D93/C93,"")</f>
        <v/>
      </c>
      <c r="M93" s="13">
        <f>IFERROR(H93/D93*1000,"")</f>
        <v/>
      </c>
      <c r="N93" s="13" t="n">
        <v>1355</v>
      </c>
      <c r="O93" s="15">
        <f>IFERROR(IF(OR(N93="",ISBLANK(INDIRECT("'"&amp;$Q$2&amp;"'!N"&amp;ROW()))),"",N93-INDIRECT("'"&amp;$Q$2&amp;"'!N"&amp;ROW())),"")</f>
        <v/>
      </c>
      <c r="P93" s="2" t="n"/>
      <c r="Q93" s="2" t="n"/>
      <c r="R93" s="2" t="n"/>
      <c r="S93" s="18">
        <f>IFERROR(IF(ISBLANK(INDIRECT("'"&amp;$Q$2&amp;"'!G"&amp;ROW())),"",INDIRECT("'"&amp;$Q$2&amp;"'!G"&amp;ROW())),"")</f>
        <v/>
      </c>
      <c r="T93" s="20">
        <f>IF(OR($G93="",$S93=""),"",$G93-$S93)</f>
        <v/>
      </c>
      <c r="U93" s="18">
        <f>IFERROR(IF(ISBLANK(INDIRECT("'"&amp;$Q$2&amp;"'!K"&amp;ROW())),"",INDIRECT("'"&amp;$Q$2&amp;"'!K"&amp;ROW())),"")</f>
        <v/>
      </c>
      <c r="V93" s="20">
        <f>IF(OR($K93="",$U93=""),"",$K93-$U93)</f>
        <v/>
      </c>
      <c r="W93" s="21">
        <f>IFERROR(IF(ISBLANK(INDIRECT("'"&amp;$Q$2&amp;"'!O"&amp;ROW())),"",INDIRECT("'"&amp;$Q$2&amp;"'!O"&amp;ROW())),"")</f>
        <v/>
      </c>
      <c r="X93" s="21">
        <f>IF(OR($O93="",$W93=""),"",$O93-$W93)</f>
        <v/>
      </c>
      <c r="Y93" s="2" t="n"/>
      <c r="Z93" s="2" t="n"/>
    </row>
    <row r="94" ht="14.25" customHeight="1" s="58">
      <c r="A94" s="12" t="inlineStr">
        <is>
          <t>МАКС</t>
        </is>
      </c>
      <c r="B94" s="12" t="inlineStr">
        <is>
          <t>Ямальский меридиан</t>
        </is>
      </c>
      <c r="C94" s="13" t="n">
        <v>7</v>
      </c>
      <c r="D94" s="13" t="n">
        <v>764</v>
      </c>
      <c r="E94" s="13">
        <f>IF($D94="","",IFERROR(IF(ISBLANK(INDIRECT("'"&amp;$Q$2&amp;"'!D"&amp;ROW())),"",INDIRECT("'"&amp;$Q$2&amp;"'!D"&amp;ROW())),""))</f>
        <v/>
      </c>
      <c r="F94" s="15">
        <f>IF(OR(D94="",E94=""),"",D94-E94)</f>
        <v/>
      </c>
      <c r="G94" s="16">
        <f>IFERROR(F94/E94,"")</f>
        <v/>
      </c>
      <c r="H94" s="13" t="n">
        <v>21</v>
      </c>
      <c r="I94" s="13">
        <f>IF($H94="","",IFERROR(IF(ISBLANK(INDIRECT("'"&amp;$Q$2&amp;"'!H"&amp;ROW())),"",INDIRECT("'"&amp;$Q$2&amp;"'!H"&amp;ROW())),""))</f>
        <v/>
      </c>
      <c r="J94" s="15">
        <f>IF(OR(H94="",I94=""),"",H94-I94)</f>
        <v/>
      </c>
      <c r="K94" s="16">
        <f>IFERROR(J94/I94,"")</f>
        <v/>
      </c>
      <c r="L94" s="13">
        <f>IFERROR(D94/C94,"")</f>
        <v/>
      </c>
      <c r="M94" s="13">
        <f>IFERROR(H94/D94*1000,"")</f>
        <v/>
      </c>
      <c r="N94" s="13" t="n">
        <v>230</v>
      </c>
      <c r="O94" s="15">
        <f>IFERROR(IF(OR(N94="",ISBLANK(INDIRECT("'"&amp;$Q$2&amp;"'!N"&amp;ROW()))),"",N94-INDIRECT("'"&amp;$Q$2&amp;"'!N"&amp;ROW())),"")</f>
        <v/>
      </c>
      <c r="P94" s="2" t="n"/>
      <c r="Q94" s="2" t="n"/>
      <c r="R94" s="2" t="n"/>
      <c r="S94" s="18">
        <f>IFERROR(IF(ISBLANK(INDIRECT("'"&amp;$Q$2&amp;"'!G"&amp;ROW())),"",INDIRECT("'"&amp;$Q$2&amp;"'!G"&amp;ROW())),"")</f>
        <v/>
      </c>
      <c r="T94" s="20">
        <f>IF(OR($G94="",$S94=""),"",$G94-$S94)</f>
        <v/>
      </c>
      <c r="U94" s="18">
        <f>IFERROR(IF(ISBLANK(INDIRECT("'"&amp;$Q$2&amp;"'!K"&amp;ROW())),"",INDIRECT("'"&amp;$Q$2&amp;"'!K"&amp;ROW())),"")</f>
        <v/>
      </c>
      <c r="V94" s="20">
        <f>IF(OR($K94="",$U94=""),"",$K94-$U94)</f>
        <v/>
      </c>
      <c r="W94" s="21">
        <f>IFERROR(IF(ISBLANK(INDIRECT("'"&amp;$Q$2&amp;"'!O"&amp;ROW())),"",INDIRECT("'"&amp;$Q$2&amp;"'!O"&amp;ROW())),"")</f>
        <v/>
      </c>
      <c r="X94" s="21">
        <f>IF(OR($O94="",$W94=""),"",$O94-$W94)</f>
        <v/>
      </c>
      <c r="Y94" s="2" t="n"/>
      <c r="Z94" s="2" t="n"/>
    </row>
    <row r="95" ht="14.25" customHeight="1" s="58">
      <c r="A95" s="12" t="inlineStr">
        <is>
          <t>МАКС</t>
        </is>
      </c>
      <c r="B95" s="12" t="inlineStr">
        <is>
          <t>Морошка</t>
        </is>
      </c>
      <c r="C95" s="13" t="n">
        <v>7</v>
      </c>
      <c r="D95" s="13" t="n">
        <v>4119</v>
      </c>
      <c r="E95" s="13">
        <f>IF($D95="","",IFERROR(IF(ISBLANK(INDIRECT("'"&amp;$Q$2&amp;"'!D"&amp;ROW())),"",INDIRECT("'"&amp;$Q$2&amp;"'!D"&amp;ROW())),""))</f>
        <v/>
      </c>
      <c r="F95" s="15">
        <f>IF(OR(D95="",E95=""),"",D95-E95)</f>
        <v/>
      </c>
      <c r="G95" s="16">
        <f>IFERROR(F95/E95,"")</f>
        <v/>
      </c>
      <c r="H95" s="13" t="n">
        <v>95</v>
      </c>
      <c r="I95" s="13">
        <f>IF($H95="","",IFERROR(IF(ISBLANK(INDIRECT("'"&amp;$Q$2&amp;"'!H"&amp;ROW())),"",INDIRECT("'"&amp;$Q$2&amp;"'!H"&amp;ROW())),""))</f>
        <v/>
      </c>
      <c r="J95" s="15">
        <f>IF(OR(H95="",I95=""),"",H95-I95)</f>
        <v/>
      </c>
      <c r="K95" s="16">
        <f>IFERROR(J95/I95,"")</f>
        <v/>
      </c>
      <c r="L95" s="13">
        <f>IFERROR(D95/C95,"")</f>
        <v/>
      </c>
      <c r="M95" s="13">
        <f>IFERROR(H95/D95*1000,"")</f>
        <v/>
      </c>
      <c r="N95" s="13" t="n">
        <v>334</v>
      </c>
      <c r="O95" s="15">
        <f>IFERROR(IF(OR(N95="",ISBLANK(INDIRECT("'"&amp;$Q$2&amp;"'!N"&amp;ROW()))),"",N95-INDIRECT("'"&amp;$Q$2&amp;"'!N"&amp;ROW())),"")</f>
        <v/>
      </c>
      <c r="P95" s="2" t="n"/>
      <c r="Q95" s="2" t="n"/>
      <c r="R95" s="2" t="n"/>
      <c r="S95" s="18">
        <f>IFERROR(IF(ISBLANK(INDIRECT("'"&amp;$Q$2&amp;"'!G"&amp;ROW())),"",INDIRECT("'"&amp;$Q$2&amp;"'!G"&amp;ROW())),"")</f>
        <v/>
      </c>
      <c r="T95" s="20">
        <f>IF(OR($G95="",$S95=""),"",$G95-$S95)</f>
        <v/>
      </c>
      <c r="U95" s="18">
        <f>IFERROR(IF(ISBLANK(INDIRECT("'"&amp;$Q$2&amp;"'!K"&amp;ROW())),"",INDIRECT("'"&amp;$Q$2&amp;"'!K"&amp;ROW())),"")</f>
        <v/>
      </c>
      <c r="V95" s="20">
        <f>IF(OR($K95="",$U95=""),"",$K95-$U95)</f>
        <v/>
      </c>
      <c r="W95" s="21">
        <f>IFERROR(IF(ISBLANK(INDIRECT("'"&amp;$Q$2&amp;"'!O"&amp;ROW())),"",INDIRECT("'"&amp;$Q$2&amp;"'!O"&amp;ROW())),"")</f>
        <v/>
      </c>
      <c r="X95" s="21">
        <f>IF(OR($O95="",$W95=""),"",$O95-$W95)</f>
        <v/>
      </c>
      <c r="Y95" s="2" t="n"/>
      <c r="Z95" s="2" t="n"/>
    </row>
    <row r="96" ht="14.25" customHeight="1" s="58">
      <c r="A96" s="25" t="n"/>
      <c r="B96" s="25" t="inlineStr">
        <is>
          <t>Итого МАКС</t>
        </is>
      </c>
      <c r="C96" s="26">
        <f>SUM(C75:C95)</f>
        <v/>
      </c>
      <c r="D96" s="26">
        <f>SUM(D75:D95)</f>
        <v/>
      </c>
      <c r="E96" s="26">
        <f>SUM(E75:E95)</f>
        <v/>
      </c>
      <c r="F96" s="27">
        <f>SUM(F75:F95)</f>
        <v/>
      </c>
      <c r="G96" s="28">
        <f>IF(C96=0,"",IFERROR(F96/E96,""))</f>
        <v/>
      </c>
      <c r="H96" s="26">
        <f>SUM(H75:H95)</f>
        <v/>
      </c>
      <c r="I96" s="26">
        <f>SUM(I75:I95)</f>
        <v/>
      </c>
      <c r="J96" s="27">
        <f>SUM(J75:J95)</f>
        <v/>
      </c>
      <c r="K96" s="28">
        <f>IF(C96=0,"",IFERROR(J96/I96,""))</f>
        <v/>
      </c>
      <c r="L96" s="26">
        <f>IFERROR(D96/C96,"")</f>
        <v/>
      </c>
      <c r="M96" s="26">
        <f>IFERROR(H96/D96*1000,"")</f>
        <v/>
      </c>
      <c r="N96" s="26">
        <f>SUM(N75:N95)</f>
        <v/>
      </c>
      <c r="O96" s="27">
        <f>SUM(O75:O95)</f>
        <v/>
      </c>
      <c r="P96" s="2" t="n"/>
      <c r="Q96" s="2" t="n"/>
      <c r="R96" s="2" t="n"/>
      <c r="S96" s="29">
        <f>IFERROR(IF(ISBLANK(INDIRECT("'"&amp;$Q$2&amp;"'!G"&amp;ROW())),"",INDIRECT("'"&amp;$Q$2&amp;"'!G"&amp;ROW())),"")</f>
        <v/>
      </c>
      <c r="T96" s="30">
        <f>IF(OR($G96="",$S96=""),"",$G96-$S96)</f>
        <v/>
      </c>
      <c r="U96" s="29">
        <f>IFERROR(IF(ISBLANK(INDIRECT("'"&amp;$Q$2&amp;"'!K"&amp;ROW())),"",INDIRECT("'"&amp;$Q$2&amp;"'!K"&amp;ROW())),"")</f>
        <v/>
      </c>
      <c r="V96" s="30">
        <f>IF(OR($K96="",$U96=""),"",$K96-$U96)</f>
        <v/>
      </c>
      <c r="W96" s="31">
        <f>IFERROR(IF(ISBLANK(INDIRECT("'"&amp;$Q$2&amp;"'!O"&amp;ROW())),"",INDIRECT("'"&amp;$Q$2&amp;"'!O"&amp;ROW())),"")</f>
        <v/>
      </c>
      <c r="X96" s="31">
        <f>IF(OR(C96=0,$O96="",$W96=""),"",$O96-$W96)</f>
        <v/>
      </c>
      <c r="Y96" s="2" t="n"/>
      <c r="Z96" s="2" t="n"/>
    </row>
    <row r="97" ht="14.25" customHeight="1" s="58">
      <c r="A97" s="39" t="n"/>
      <c r="B97" s="39" t="inlineStr">
        <is>
          <t>ИТОГО по холдингу</t>
        </is>
      </c>
      <c r="C97" s="40">
        <f>C30+C51+C74+C96</f>
        <v/>
      </c>
      <c r="D97" s="40">
        <f>D30+D51+D74+D96</f>
        <v/>
      </c>
      <c r="E97" s="40">
        <f>E30+E51+E74+E96</f>
        <v/>
      </c>
      <c r="F97" s="41">
        <f>F30+F51+F74+F96</f>
        <v/>
      </c>
      <c r="G97" s="42">
        <f>IF(OR(C30=0,C51=0,C74=0,C96=0),"",IFERROR(F97/E97,""))</f>
        <v/>
      </c>
      <c r="H97" s="40">
        <f>H30+H51+H74+H96</f>
        <v/>
      </c>
      <c r="I97" s="40">
        <f>I30+I51+I74+I96</f>
        <v/>
      </c>
      <c r="J97" s="41">
        <f>J30+J51+J74+J96</f>
        <v/>
      </c>
      <c r="K97" s="42">
        <f>IF(OR(C30=0,C51=0,C74=0,C96=0),"",IFERROR(J97/I97,""))</f>
        <v/>
      </c>
      <c r="L97" s="40">
        <f>IFERROR(D97/C97,"")</f>
        <v/>
      </c>
      <c r="M97" s="40">
        <f>IFERROR(H97/D97*1000,"")</f>
        <v/>
      </c>
      <c r="N97" s="40">
        <f>N30+N51+N74+N96</f>
        <v/>
      </c>
      <c r="O97" s="41">
        <f>O30+O51+O74+O96</f>
        <v/>
      </c>
      <c r="P97" s="2" t="n"/>
      <c r="Q97" s="2" t="n"/>
      <c r="R97" s="2" t="n"/>
      <c r="S97" s="29">
        <f>IFERROR(IF(ISBLANK(INDIRECT("'"&amp;$Q$2&amp;"'!G"&amp;ROW())),"",INDIRECT("'"&amp;$Q$2&amp;"'!G"&amp;ROW())),"")</f>
        <v/>
      </c>
      <c r="T97" s="30">
        <f>IF(OR($G97="",$S97=""),"",$G97-$S97)</f>
        <v/>
      </c>
      <c r="U97" s="29">
        <f>IFERROR(IF(ISBLANK(INDIRECT("'"&amp;$Q$2&amp;"'!K"&amp;ROW())),"",INDIRECT("'"&amp;$Q$2&amp;"'!K"&amp;ROW())),"")</f>
        <v/>
      </c>
      <c r="V97" s="30">
        <f>IF(OR($K97="",$U97=""),"",$K97-$U97)</f>
        <v/>
      </c>
      <c r="W97" s="31">
        <f>IFERROR(IF(ISBLANK(INDIRECT("'"&amp;$Q$2&amp;"'!O"&amp;ROW())),"",INDIRECT("'"&amp;$Q$2&amp;"'!O"&amp;ROW())),"")</f>
        <v/>
      </c>
      <c r="X97" s="31">
        <f>IF(OR(C30=0,C51=0,C74=0,C96=0),"",$O97-$W97)</f>
        <v/>
      </c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conditionalFormatting sqref="G3:G97">
    <cfRule type="expression" priority="1" dxfId="3" stopIfTrue="1">
      <formula>AND(ISNUMBER(G3),G3&gt;=0.2)</formula>
    </cfRule>
    <cfRule type="expression" priority="2" dxfId="2" stopIfTrue="1">
      <formula>AND(ISNUMBER(G3),G3&lt;=-0.2)</formula>
    </cfRule>
    <cfRule type="expression" priority="3" dxfId="1" stopIfTrue="1">
      <formula>AND(ISNUMBER(G3),G3&gt;0)</formula>
    </cfRule>
    <cfRule type="expression" priority="4" dxfId="0" stopIfTrue="1">
      <formula>AND(ISNUMBER(G3),G3&lt;0)</formula>
    </cfRule>
  </conditionalFormatting>
  <conditionalFormatting sqref="K3:K97">
    <cfRule type="expression" priority="5" dxfId="3" stopIfTrue="1">
      <formula>AND(ISNUMBER(K3),K3&gt;=0.2)</formula>
    </cfRule>
    <cfRule type="expression" priority="6" dxfId="2" stopIfTrue="1">
      <formula>AND(ISNUMBER(K3),K3&lt;=-0.2)</formula>
    </cfRule>
    <cfRule type="expression" priority="7" dxfId="1" stopIfTrue="1">
      <formula>AND(ISNUMBER(K3),K3&gt;0)</formula>
    </cfRule>
    <cfRule type="expression" priority="8" dxfId="0" stopIfTrue="1">
      <formula>AND(ISNUMBER(K3),K3&lt;0)</formula>
    </cfRule>
  </conditionalFormatting>
  <conditionalFormatting sqref="T3:T97">
    <cfRule type="expression" priority="9" dxfId="3" stopIfTrue="1">
      <formula>AND(ISNUMBER(T3),T3&gt;=0.2)</formula>
    </cfRule>
    <cfRule type="expression" priority="10" dxfId="2" stopIfTrue="1">
      <formula>AND(ISNUMBER(T3),T3&lt;=-0.2)</formula>
    </cfRule>
    <cfRule type="expression" priority="11" dxfId="1" stopIfTrue="1">
      <formula>AND(ISNUMBER(T3),T3&gt;0)</formula>
    </cfRule>
    <cfRule type="expression" priority="12" dxfId="0" stopIfTrue="1">
      <formula>AND(ISNUMBER(T3),T3&lt;0)</formula>
    </cfRule>
  </conditionalFormatting>
  <conditionalFormatting sqref="V3:V97">
    <cfRule type="expression" priority="13" dxfId="3" stopIfTrue="1">
      <formula>AND(ISNUMBER(V3),V3&gt;=0.2)</formula>
    </cfRule>
    <cfRule type="expression" priority="14" dxfId="2" stopIfTrue="1">
      <formula>AND(ISNUMBER(V3),V3&lt;=-0.2)</formula>
    </cfRule>
    <cfRule type="expression" priority="15" dxfId="1" stopIfTrue="1">
      <formula>AND(ISNUMBER(V3),V3&gt;0)</formula>
    </cfRule>
    <cfRule type="expression" priority="16" dxfId="0" stopIfTrue="1">
      <formula>AND(ISNUMBER(V3),V3&lt;0)</formula>
    </cfRule>
  </conditionalFormatting>
  <conditionalFormatting sqref="F3:F97">
    <cfRule type="expression" priority="17" dxfId="1" stopIfTrue="1">
      <formula>AND(ISNUMBER(F3),F3&gt;0)</formula>
    </cfRule>
    <cfRule type="expression" priority="18" dxfId="0" stopIfTrue="1">
      <formula>AND(ISNUMBER(F3),F3&lt;0)</formula>
    </cfRule>
  </conditionalFormatting>
  <conditionalFormatting sqref="J3:J97">
    <cfRule type="expression" priority="19" dxfId="1" stopIfTrue="1">
      <formula>AND(ISNUMBER(J3),J3&gt;0)</formula>
    </cfRule>
    <cfRule type="expression" priority="20" dxfId="0" stopIfTrue="1">
      <formula>AND(ISNUMBER(J3),J3&lt;0)</formula>
    </cfRule>
  </conditionalFormatting>
  <conditionalFormatting sqref="O3:O97">
    <cfRule type="expression" priority="21" dxfId="1" stopIfTrue="1">
      <formula>AND(ISNUMBER(O3),O3&gt;0)</formula>
    </cfRule>
    <cfRule type="expression" priority="22" dxfId="0" stopIfTrue="1">
      <formula>AND(ISNUMBER(O3),O3&lt;0)</formula>
    </cfRule>
  </conditionalFormatting>
  <conditionalFormatting sqref="X3:X97">
    <cfRule type="expression" priority="23" dxfId="1" stopIfTrue="1">
      <formula>AND(ISNUMBER(X3),X3&gt;0)</formula>
    </cfRule>
    <cfRule type="expression" priority="24" dxfId="0" stopIfTrue="1">
      <formula>AND(ISNUMBER(X3),X3&lt;0)</formula>
    </cfRule>
  </conditionalFormatting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zoomScale="18" workbookViewId="0">
      <selection activeCell="A1" sqref="A1"/>
    </sheetView>
  </sheetViews>
  <sheetFormatPr baseColWidth="8" defaultColWidth="14.3984375" defaultRowHeight="15" customHeight="1"/>
  <cols>
    <col width="15" customWidth="1" style="58" min="1" max="1"/>
    <col width="22" customWidth="1" style="58" min="2" max="2"/>
    <col width="11" customWidth="1" style="58" min="3" max="3"/>
    <col width="12" customWidth="1" style="58" min="4" max="4"/>
    <col width="13" customWidth="1" style="58" min="5" max="6"/>
    <col width="9" customWidth="1" style="58" min="7" max="7"/>
    <col width="10" customWidth="1" style="58" min="8" max="8"/>
    <col width="12" customWidth="1" style="58" min="9" max="9"/>
    <col width="11" customWidth="1" style="58" min="10" max="10"/>
    <col width="9" customWidth="1" style="58" min="11" max="11"/>
    <col width="14" customWidth="1" style="58" min="12" max="13"/>
    <col width="12" customWidth="1" style="58" min="14" max="15"/>
    <col width="8.73046875" customWidth="1" style="58" min="16" max="16"/>
    <col width="46" customWidth="1" style="58" min="17" max="17"/>
    <col width="8.73046875" customWidth="1" style="58" min="18" max="18"/>
    <col width="15" customWidth="1" style="58" min="19" max="24"/>
  </cols>
  <sheetData>
    <row r="1" ht="17.25" customHeight="1" s="58">
      <c r="A1" s="1" t="inlineStr">
        <is>
          <t>Недельный съём · 14–20.09.2026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" t="inlineStr">
        <is>
          <t>Лист прошлой недели (питает колонки E, I, O):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2" customHeight="1" s="58">
      <c r="A2" s="5" t="inlineStr">
        <is>
          <t>Площадка</t>
        </is>
      </c>
      <c r="B2" s="5" t="inlineStr">
        <is>
          <t>Ресурс</t>
        </is>
      </c>
      <c r="C2" s="5" t="inlineStr">
        <is>
          <t>Публикаций</t>
        </is>
      </c>
      <c r="D2" s="5" t="inlineStr">
        <is>
          <t>Просмотры</t>
        </is>
      </c>
      <c r="E2" s="5" t="inlineStr">
        <is>
          <t>Просмотры
пред. неделя</t>
        </is>
      </c>
      <c r="F2" s="5" t="inlineStr">
        <is>
          <t>Δ просмотров</t>
        </is>
      </c>
      <c r="G2" s="5" t="inlineStr">
        <is>
          <t>Δ %</t>
        </is>
      </c>
      <c r="H2" s="5" t="inlineStr">
        <is>
          <t>Лайки</t>
        </is>
      </c>
      <c r="I2" s="5" t="inlineStr">
        <is>
          <t>Лайки
пред. неделя</t>
        </is>
      </c>
      <c r="J2" s="5" t="inlineStr">
        <is>
          <t>Δ лайков</t>
        </is>
      </c>
      <c r="K2" s="5" t="inlineStr">
        <is>
          <t>Δ %</t>
        </is>
      </c>
      <c r="L2" s="5" t="inlineStr">
        <is>
          <t>Ср. просмотров
на пост</t>
        </is>
      </c>
      <c r="M2" s="5" t="inlineStr">
        <is>
          <t>Лайков на 1000
просмотров</t>
        </is>
      </c>
      <c r="N2" s="5" t="inlineStr">
        <is>
          <t>Подписчики</t>
        </is>
      </c>
      <c r="O2" s="5" t="inlineStr">
        <is>
          <t>Прирост
подписчиков</t>
        </is>
      </c>
      <c r="P2" s="2" t="n"/>
      <c r="Q2" s="9" t="inlineStr">
        <is>
          <t>07-13.09</t>
        </is>
      </c>
      <c r="R2" s="2" t="n"/>
      <c r="S2" s="10" t="inlineStr">
        <is>
          <t>Δ % просмотров
пред. неделя</t>
        </is>
      </c>
      <c r="T2" s="10" t="inlineStr">
        <is>
          <t>Ускорение
просмотров, п.п.</t>
        </is>
      </c>
      <c r="U2" s="10" t="inlineStr">
        <is>
          <t>Δ % лайков
пред. неделя</t>
        </is>
      </c>
      <c r="V2" s="10" t="inlineStr">
        <is>
          <t>Ускорение
лайков, п.п.</t>
        </is>
      </c>
      <c r="W2" s="10" t="inlineStr">
        <is>
          <t>Прирост подписч.
пред. неделя</t>
        </is>
      </c>
      <c r="X2" s="10" t="inlineStr">
        <is>
          <t>Ускорение
подписчиков, чел.</t>
        </is>
      </c>
      <c r="Y2" s="2" t="n"/>
      <c r="Z2" s="2" t="n"/>
    </row>
    <row r="3" ht="14.25" customHeight="1" s="58">
      <c r="A3" s="12" t="inlineStr">
        <is>
          <t>ВКонтакте</t>
        </is>
      </c>
      <c r="B3" s="12" t="inlineStr">
        <is>
          <t>Ямал-Медиа</t>
        </is>
      </c>
      <c r="C3" s="13" t="n">
        <v>123</v>
      </c>
      <c r="D3" s="13" t="n">
        <v>516875</v>
      </c>
      <c r="E3" s="13">
        <f>IF($D3="","",IFERROR(IF(ISBLANK(INDIRECT("'"&amp;$Q$2&amp;"'!D"&amp;ROW())),"",INDIRECT("'"&amp;$Q$2&amp;"'!D"&amp;ROW())),""))</f>
        <v/>
      </c>
      <c r="F3" s="15">
        <f>IF(OR(D3="",E3=""),"",D3-E3)</f>
        <v/>
      </c>
      <c r="G3" s="16">
        <f>IFERROR(F3/E3,"")</f>
        <v/>
      </c>
      <c r="H3" s="13" t="n">
        <v>1943</v>
      </c>
      <c r="I3" s="13">
        <f>IF($H3="","",IFERROR(IF(ISBLANK(INDIRECT("'"&amp;$Q$2&amp;"'!H"&amp;ROW())),"",INDIRECT("'"&amp;$Q$2&amp;"'!H"&amp;ROW())),""))</f>
        <v/>
      </c>
      <c r="J3" s="15">
        <f>IF(OR(H3="",I3=""),"",H3-I3)</f>
        <v/>
      </c>
      <c r="K3" s="16">
        <f>IFERROR(J3/I3,"")</f>
        <v/>
      </c>
      <c r="L3" s="13">
        <f>IFERROR(D3/C3,"")</f>
        <v/>
      </c>
      <c r="M3" s="13">
        <f>IFERROR(H3/D3*1000,"")</f>
        <v/>
      </c>
      <c r="N3" s="13" t="n">
        <v>89076</v>
      </c>
      <c r="O3" s="15">
        <f>IFERROR(IF(OR(N3="",ISBLANK(INDIRECT("'"&amp;$Q$2&amp;"'!N"&amp;ROW()))),"",N3-INDIRECT("'"&amp;$Q$2&amp;"'!N"&amp;ROW())),"")</f>
        <v/>
      </c>
      <c r="P3" s="2" t="n"/>
      <c r="Q3" s="8" t="inlineStr">
        <is>
          <t>Колонки E и I берут прошлую неделю только по строкам, снятым в текущей — сравнение идёт по сопоставимому периметру.</t>
        </is>
      </c>
      <c r="R3" s="2" t="n"/>
      <c r="S3" s="18">
        <f>IFERROR(IF(ISBLANK(INDIRECT("'"&amp;$Q$2&amp;"'!G"&amp;ROW())),"",INDIRECT("'"&amp;$Q$2&amp;"'!G"&amp;ROW())),"")</f>
        <v/>
      </c>
      <c r="T3" s="20">
        <f>IF(OR($G3="",$S3=""),"",$G3-$S3)</f>
        <v/>
      </c>
      <c r="U3" s="18">
        <f>IFERROR(IF(ISBLANK(INDIRECT("'"&amp;$Q$2&amp;"'!K"&amp;ROW())),"",INDIRECT("'"&amp;$Q$2&amp;"'!K"&amp;ROW())),"")</f>
        <v/>
      </c>
      <c r="V3" s="20">
        <f>IF(OR($K3="",$U3=""),"",$K3-$U3)</f>
        <v/>
      </c>
      <c r="W3" s="21">
        <f>IFERROR(IF(ISBLANK(INDIRECT("'"&amp;$Q$2&amp;"'!O"&amp;ROW())),"",INDIRECT("'"&amp;$Q$2&amp;"'!O"&amp;ROW())),"")</f>
        <v/>
      </c>
      <c r="X3" s="21">
        <f>IF(OR($O3="",$W3=""),"",$O3-$W3)</f>
        <v/>
      </c>
      <c r="Y3" s="2" t="n"/>
      <c r="Z3" s="2" t="n"/>
    </row>
    <row r="4" ht="14.25" customHeight="1" s="58">
      <c r="A4" s="12" t="inlineStr">
        <is>
          <t>ВКонтакте</t>
        </is>
      </c>
      <c r="B4" s="12" t="inlineStr">
        <is>
          <t>Север-Пресс</t>
        </is>
      </c>
      <c r="C4" s="13" t="n">
        <v>144</v>
      </c>
      <c r="D4" s="13" t="n">
        <v>216205</v>
      </c>
      <c r="E4" s="13">
        <f>IF($D4="","",IFERROR(IF(ISBLANK(INDIRECT("'"&amp;$Q$2&amp;"'!D"&amp;ROW())),"",INDIRECT("'"&amp;$Q$2&amp;"'!D"&amp;ROW())),""))</f>
        <v/>
      </c>
      <c r="F4" s="15">
        <f>IF(OR(D4="",E4=""),"",D4-E4)</f>
        <v/>
      </c>
      <c r="G4" s="16">
        <f>IFERROR(F4/E4,"")</f>
        <v/>
      </c>
      <c r="H4" s="13" t="n">
        <v>695</v>
      </c>
      <c r="I4" s="13">
        <f>IF($H4="","",IFERROR(IF(ISBLANK(INDIRECT("'"&amp;$Q$2&amp;"'!H"&amp;ROW())),"",INDIRECT("'"&amp;$Q$2&amp;"'!H"&amp;ROW())),""))</f>
        <v/>
      </c>
      <c r="J4" s="15">
        <f>IF(OR(H4="",I4=""),"",H4-I4)</f>
        <v/>
      </c>
      <c r="K4" s="16">
        <f>IFERROR(J4/I4,"")</f>
        <v/>
      </c>
      <c r="L4" s="13">
        <f>IFERROR(D4/C4,"")</f>
        <v/>
      </c>
      <c r="M4" s="13">
        <f>IFERROR(H4/D4*1000,"")</f>
        <v/>
      </c>
      <c r="N4" s="13" t="n">
        <v>26249</v>
      </c>
      <c r="O4" s="15">
        <f>IFERROR(IF(OR(N4="",ISBLANK(INDIRECT("'"&amp;$Q$2&amp;"'!N"&amp;ROW()))),"",N4-INDIRECT("'"&amp;$Q$2&amp;"'!N"&amp;ROW())),"")</f>
        <v/>
      </c>
      <c r="P4" s="2" t="n"/>
      <c r="Q4" s="22" t="inlineStr">
        <is>
          <t>ОК: «просмотры» = VIEWS листа Topics, лайки = сумма LIKES листа Actions (по группе, как в прошлых съёмах).</t>
        </is>
      </c>
      <c r="R4" s="2" t="n"/>
      <c r="S4" s="18">
        <f>IFERROR(IF(ISBLANK(INDIRECT("'"&amp;$Q$2&amp;"'!G"&amp;ROW())),"",INDIRECT("'"&amp;$Q$2&amp;"'!G"&amp;ROW())),"")</f>
        <v/>
      </c>
      <c r="T4" s="20">
        <f>IF(OR($G4="",$S4=""),"",$G4-$S4)</f>
        <v/>
      </c>
      <c r="U4" s="18">
        <f>IFERROR(IF(ISBLANK(INDIRECT("'"&amp;$Q$2&amp;"'!K"&amp;ROW())),"",INDIRECT("'"&amp;$Q$2&amp;"'!K"&amp;ROW())),"")</f>
        <v/>
      </c>
      <c r="V4" s="20">
        <f>IF(OR($K4="",$U4=""),"",$K4-$U4)</f>
        <v/>
      </c>
      <c r="W4" s="21">
        <f>IFERROR(IF(ISBLANK(INDIRECT("'"&amp;$Q$2&amp;"'!O"&amp;ROW())),"",INDIRECT("'"&amp;$Q$2&amp;"'!O"&amp;ROW())),"")</f>
        <v/>
      </c>
      <c r="X4" s="21">
        <f>IF(OR($O4="",$W4=""),"",$O4-$W4)</f>
        <v/>
      </c>
      <c r="Y4" s="2" t="n"/>
      <c r="Z4" s="2" t="n"/>
    </row>
    <row r="5" ht="14.25" customHeight="1" s="58">
      <c r="A5" s="12" t="inlineStr">
        <is>
          <t>ВКонтакте</t>
        </is>
      </c>
      <c r="B5" s="12" t="inlineStr">
        <is>
          <t>Лента СП</t>
        </is>
      </c>
      <c r="C5" s="13" t="n">
        <v>245</v>
      </c>
      <c r="D5" s="13" t="n">
        <v>4223</v>
      </c>
      <c r="E5" s="13">
        <f>IF($D5="","",IFERROR(IF(ISBLANK(INDIRECT("'"&amp;$Q$2&amp;"'!D"&amp;ROW())),"",INDIRECT("'"&amp;$Q$2&amp;"'!D"&amp;ROW())),""))</f>
        <v/>
      </c>
      <c r="F5" s="15">
        <f>IF(OR(D5="",E5=""),"",D5-E5)</f>
        <v/>
      </c>
      <c r="G5" s="16">
        <f>IFERROR(F5/E5,"")</f>
        <v/>
      </c>
      <c r="H5" s="13" t="n">
        <v>10</v>
      </c>
      <c r="I5" s="13">
        <f>IF($H5="","",IFERROR(IF(ISBLANK(INDIRECT("'"&amp;$Q$2&amp;"'!H"&amp;ROW())),"",INDIRECT("'"&amp;$Q$2&amp;"'!H"&amp;ROW())),""))</f>
        <v/>
      </c>
      <c r="J5" s="15">
        <f>IF(OR(H5="",I5=""),"",H5-I5)</f>
        <v/>
      </c>
      <c r="K5" s="16">
        <f>IFERROR(J5/I5,"")</f>
        <v/>
      </c>
      <c r="L5" s="13">
        <f>IFERROR(D5/C5,"")</f>
        <v/>
      </c>
      <c r="M5" s="13">
        <f>IFERROR(H5/D5*1000,"")</f>
        <v/>
      </c>
      <c r="N5" s="13" t="n">
        <v>3501</v>
      </c>
      <c r="O5" s="15">
        <f>IFERROR(IF(OR(N5="",ISBLANK(INDIRECT("'"&amp;$Q$2&amp;"'!N"&amp;ROW()))),"",N5-INDIRECT("'"&amp;$Q$2&amp;"'!N"&amp;ROW())),"")</f>
        <v/>
      </c>
      <c r="P5" s="2" t="n"/>
      <c r="Q5" s="2" t="n"/>
      <c r="R5" s="2" t="n"/>
      <c r="S5" s="18">
        <f>IFERROR(IF(ISBLANK(INDIRECT("'"&amp;$Q$2&amp;"'!G"&amp;ROW())),"",INDIRECT("'"&amp;$Q$2&amp;"'!G"&amp;ROW())),"")</f>
        <v/>
      </c>
      <c r="T5" s="20">
        <f>IF(OR($G5="",$S5=""),"",$G5-$S5)</f>
        <v/>
      </c>
      <c r="U5" s="18">
        <f>IFERROR(IF(ISBLANK(INDIRECT("'"&amp;$Q$2&amp;"'!K"&amp;ROW())),"",INDIRECT("'"&amp;$Q$2&amp;"'!K"&amp;ROW())),"")</f>
        <v/>
      </c>
      <c r="V5" s="20">
        <f>IF(OR($K5="",$U5=""),"",$K5-$U5)</f>
        <v/>
      </c>
      <c r="W5" s="21">
        <f>IFERROR(IF(ISBLANK(INDIRECT("'"&amp;$Q$2&amp;"'!O"&amp;ROW())),"",INDIRECT("'"&amp;$Q$2&amp;"'!O"&amp;ROW())),"")</f>
        <v/>
      </c>
      <c r="X5" s="21">
        <f>IF(OR($O5="",$W5=""),"",$O5-$W5)</f>
        <v/>
      </c>
      <c r="Y5" s="2" t="n"/>
      <c r="Z5" s="2" t="n"/>
    </row>
    <row r="6" ht="14.25" customHeight="1" s="58">
      <c r="A6" s="12" t="inlineStr">
        <is>
          <t>ВКонтакте</t>
        </is>
      </c>
      <c r="B6" s="12" t="inlineStr">
        <is>
          <t>Красный Север</t>
        </is>
      </c>
      <c r="C6" s="13" t="n">
        <v>96</v>
      </c>
      <c r="D6" s="13" t="n">
        <v>52347</v>
      </c>
      <c r="E6" s="13">
        <f>IF($D6="","",IFERROR(IF(ISBLANK(INDIRECT("'"&amp;$Q$2&amp;"'!D"&amp;ROW())),"",INDIRECT("'"&amp;$Q$2&amp;"'!D"&amp;ROW())),""))</f>
        <v/>
      </c>
      <c r="F6" s="15">
        <f>IF(OR(D6="",E6=""),"",D6-E6)</f>
        <v/>
      </c>
      <c r="G6" s="16">
        <f>IFERROR(F6/E6,"")</f>
        <v/>
      </c>
      <c r="H6" s="13" t="n">
        <v>291</v>
      </c>
      <c r="I6" s="13">
        <f>IF($H6="","",IFERROR(IF(ISBLANK(INDIRECT("'"&amp;$Q$2&amp;"'!H"&amp;ROW())),"",INDIRECT("'"&amp;$Q$2&amp;"'!H"&amp;ROW())),""))</f>
        <v/>
      </c>
      <c r="J6" s="15">
        <f>IF(OR(H6="",I6=""),"",H6-I6)</f>
        <v/>
      </c>
      <c r="K6" s="16">
        <f>IFERROR(J6/I6,"")</f>
        <v/>
      </c>
      <c r="L6" s="13">
        <f>IFERROR(D6/C6,"")</f>
        <v/>
      </c>
      <c r="M6" s="13">
        <f>IFERROR(H6/D6*1000,"")</f>
        <v/>
      </c>
      <c r="N6" s="13" t="n">
        <v>22931</v>
      </c>
      <c r="O6" s="15">
        <f>IFERROR(IF(OR(N6="",ISBLANK(INDIRECT("'"&amp;$Q$2&amp;"'!N"&amp;ROW()))),"",N6-INDIRECT("'"&amp;$Q$2&amp;"'!N"&amp;ROW())),"")</f>
        <v/>
      </c>
      <c r="P6" s="2" t="n"/>
      <c r="Q6" s="2" t="n"/>
      <c r="R6" s="2" t="n"/>
      <c r="S6" s="18">
        <f>IFERROR(IF(ISBLANK(INDIRECT("'"&amp;$Q$2&amp;"'!G"&amp;ROW())),"",INDIRECT("'"&amp;$Q$2&amp;"'!G"&amp;ROW())),"")</f>
        <v/>
      </c>
      <c r="T6" s="20">
        <f>IF(OR($G6="",$S6=""),"",$G6-$S6)</f>
        <v/>
      </c>
      <c r="U6" s="18">
        <f>IFERROR(IF(ISBLANK(INDIRECT("'"&amp;$Q$2&amp;"'!K"&amp;ROW())),"",INDIRECT("'"&amp;$Q$2&amp;"'!K"&amp;ROW())),"")</f>
        <v/>
      </c>
      <c r="V6" s="20">
        <f>IF(OR($K6="",$U6=""),"",$K6-$U6)</f>
        <v/>
      </c>
      <c r="W6" s="21">
        <f>IFERROR(IF(ISBLANK(INDIRECT("'"&amp;$Q$2&amp;"'!O"&amp;ROW())),"",INDIRECT("'"&amp;$Q$2&amp;"'!O"&amp;ROW())),"")</f>
        <v/>
      </c>
      <c r="X6" s="21">
        <f>IF(OR($O6="",$W6=""),"",$O6-$W6)</f>
        <v/>
      </c>
      <c r="Y6" s="2" t="n"/>
      <c r="Z6" s="2" t="n"/>
    </row>
    <row r="7" ht="14.25" customHeight="1" s="58">
      <c r="A7" s="12" t="inlineStr">
        <is>
          <t>ВКонтакте</t>
        </is>
      </c>
      <c r="B7" s="12" t="inlineStr">
        <is>
          <t>Новый Уренгой</t>
        </is>
      </c>
      <c r="C7" s="13" t="n">
        <v>125</v>
      </c>
      <c r="D7" s="13" t="n">
        <v>108141</v>
      </c>
      <c r="E7" s="13">
        <f>IF($D7="","",IFERROR(IF(ISBLANK(INDIRECT("'"&amp;$Q$2&amp;"'!D"&amp;ROW())),"",INDIRECT("'"&amp;$Q$2&amp;"'!D"&amp;ROW())),""))</f>
        <v/>
      </c>
      <c r="F7" s="15">
        <f>IF(OR(D7="",E7=""),"",D7-E7)</f>
        <v/>
      </c>
      <c r="G7" s="16">
        <f>IFERROR(F7/E7,"")</f>
        <v/>
      </c>
      <c r="H7" s="13" t="n">
        <v>1025</v>
      </c>
      <c r="I7" s="13">
        <f>IF($H7="","",IFERROR(IF(ISBLANK(INDIRECT("'"&amp;$Q$2&amp;"'!H"&amp;ROW())),"",INDIRECT("'"&amp;$Q$2&amp;"'!H"&amp;ROW())),""))</f>
        <v/>
      </c>
      <c r="J7" s="15">
        <f>IF(OR(H7="",I7=""),"",H7-I7)</f>
        <v/>
      </c>
      <c r="K7" s="16">
        <f>IFERROR(J7/I7,"")</f>
        <v/>
      </c>
      <c r="L7" s="13">
        <f>IFERROR(D7/C7,"")</f>
        <v/>
      </c>
      <c r="M7" s="13">
        <f>IFERROR(H7/D7*1000,"")</f>
        <v/>
      </c>
      <c r="N7" s="13" t="n">
        <v>24832</v>
      </c>
      <c r="O7" s="15">
        <f>IFERROR(IF(OR(N7="",ISBLANK(INDIRECT("'"&amp;$Q$2&amp;"'!N"&amp;ROW()))),"",N7-INDIRECT("'"&amp;$Q$2&amp;"'!N"&amp;ROW())),"")</f>
        <v/>
      </c>
      <c r="P7" s="2" t="n"/>
      <c r="Q7" s="2" t="n"/>
      <c r="R7" s="2" t="n"/>
      <c r="S7" s="18">
        <f>IFERROR(IF(ISBLANK(INDIRECT("'"&amp;$Q$2&amp;"'!G"&amp;ROW())),"",INDIRECT("'"&amp;$Q$2&amp;"'!G"&amp;ROW())),"")</f>
        <v/>
      </c>
      <c r="T7" s="20">
        <f>IF(OR($G7="",$S7=""),"",$G7-$S7)</f>
        <v/>
      </c>
      <c r="U7" s="18">
        <f>IFERROR(IF(ISBLANK(INDIRECT("'"&amp;$Q$2&amp;"'!K"&amp;ROW())),"",INDIRECT("'"&amp;$Q$2&amp;"'!K"&amp;ROW())),"")</f>
        <v/>
      </c>
      <c r="V7" s="20">
        <f>IF(OR($K7="",$U7=""),"",$K7-$U7)</f>
        <v/>
      </c>
      <c r="W7" s="21">
        <f>IFERROR(IF(ISBLANK(INDIRECT("'"&amp;$Q$2&amp;"'!O"&amp;ROW())),"",INDIRECT("'"&amp;$Q$2&amp;"'!O"&amp;ROW())),"")</f>
        <v/>
      </c>
      <c r="X7" s="21">
        <f>IF(OR($O7="",$W7=""),"",$O7-$W7)</f>
        <v/>
      </c>
      <c r="Y7" s="2" t="n"/>
      <c r="Z7" s="2" t="n"/>
    </row>
    <row r="8" ht="14.25" customHeight="1" s="58">
      <c r="A8" s="12" t="inlineStr">
        <is>
          <t>ВКонтакте</t>
        </is>
      </c>
      <c r="B8" s="12" t="inlineStr">
        <is>
          <t>Надым</t>
        </is>
      </c>
      <c r="C8" s="13" t="n">
        <v>117</v>
      </c>
      <c r="D8" s="13" t="n">
        <v>347976</v>
      </c>
      <c r="E8" s="13">
        <f>IF($D8="","",IFERROR(IF(ISBLANK(INDIRECT("'"&amp;$Q$2&amp;"'!D"&amp;ROW())),"",INDIRECT("'"&amp;$Q$2&amp;"'!D"&amp;ROW())),""))</f>
        <v/>
      </c>
      <c r="F8" s="15">
        <f>IF(OR(D8="",E8=""),"",D8-E8)</f>
        <v/>
      </c>
      <c r="G8" s="16">
        <f>IFERROR(F8/E8,"")</f>
        <v/>
      </c>
      <c r="H8" s="13" t="n">
        <v>3740</v>
      </c>
      <c r="I8" s="13">
        <f>IF($H8="","",IFERROR(IF(ISBLANK(INDIRECT("'"&amp;$Q$2&amp;"'!H"&amp;ROW())),"",INDIRECT("'"&amp;$Q$2&amp;"'!H"&amp;ROW())),""))</f>
        <v/>
      </c>
      <c r="J8" s="15">
        <f>IF(OR(H8="",I8=""),"",H8-I8)</f>
        <v/>
      </c>
      <c r="K8" s="16">
        <f>IFERROR(J8/I8,"")</f>
        <v/>
      </c>
      <c r="L8" s="13">
        <f>IFERROR(D8/C8,"")</f>
        <v/>
      </c>
      <c r="M8" s="13">
        <f>IFERROR(H8/D8*1000,"")</f>
        <v/>
      </c>
      <c r="N8" s="13" t="n">
        <v>21715</v>
      </c>
      <c r="O8" s="15">
        <f>IFERROR(IF(OR(N8="",ISBLANK(INDIRECT("'"&amp;$Q$2&amp;"'!N"&amp;ROW()))),"",N8-INDIRECT("'"&amp;$Q$2&amp;"'!N"&amp;ROW())),"")</f>
        <v/>
      </c>
      <c r="P8" s="2" t="n"/>
      <c r="Q8" s="2" t="n"/>
      <c r="R8" s="2" t="n"/>
      <c r="S8" s="18">
        <f>IFERROR(IF(ISBLANK(INDIRECT("'"&amp;$Q$2&amp;"'!G"&amp;ROW())),"",INDIRECT("'"&amp;$Q$2&amp;"'!G"&amp;ROW())),"")</f>
        <v/>
      </c>
      <c r="T8" s="20">
        <f>IF(OR($G8="",$S8=""),"",$G8-$S8)</f>
        <v/>
      </c>
      <c r="U8" s="18">
        <f>IFERROR(IF(ISBLANK(INDIRECT("'"&amp;$Q$2&amp;"'!K"&amp;ROW())),"",INDIRECT("'"&amp;$Q$2&amp;"'!K"&amp;ROW())),"")</f>
        <v/>
      </c>
      <c r="V8" s="20">
        <f>IF(OR($K8="",$U8=""),"",$K8-$U8)</f>
        <v/>
      </c>
      <c r="W8" s="21">
        <f>IFERROR(IF(ISBLANK(INDIRECT("'"&amp;$Q$2&amp;"'!O"&amp;ROW())),"",INDIRECT("'"&amp;$Q$2&amp;"'!O"&amp;ROW())),"")</f>
        <v/>
      </c>
      <c r="X8" s="21">
        <f>IF(OR($O8="",$W8=""),"",$O8-$W8)</f>
        <v/>
      </c>
      <c r="Y8" s="2" t="n"/>
      <c r="Z8" s="2" t="n"/>
    </row>
    <row r="9" ht="14.25" customHeight="1" s="58">
      <c r="A9" s="12" t="inlineStr">
        <is>
          <t>ВКонтакте</t>
        </is>
      </c>
      <c r="B9" s="12" t="inlineStr">
        <is>
          <t>Ноябрьск</t>
        </is>
      </c>
      <c r="C9" s="13" t="n">
        <v>119</v>
      </c>
      <c r="D9" s="13" t="n">
        <v>424827</v>
      </c>
      <c r="E9" s="13">
        <f>IF($D9="","",IFERROR(IF(ISBLANK(INDIRECT("'"&amp;$Q$2&amp;"'!D"&amp;ROW())),"",INDIRECT("'"&amp;$Q$2&amp;"'!D"&amp;ROW())),""))</f>
        <v/>
      </c>
      <c r="F9" s="15">
        <f>IF(OR(D9="",E9=""),"",D9-E9)</f>
        <v/>
      </c>
      <c r="G9" s="16">
        <f>IFERROR(F9/E9,"")</f>
        <v/>
      </c>
      <c r="H9" s="13" t="n">
        <v>4187</v>
      </c>
      <c r="I9" s="13">
        <f>IF($H9="","",IFERROR(IF(ISBLANK(INDIRECT("'"&amp;$Q$2&amp;"'!H"&amp;ROW())),"",INDIRECT("'"&amp;$Q$2&amp;"'!H"&amp;ROW())),""))</f>
        <v/>
      </c>
      <c r="J9" s="15">
        <f>IF(OR(H9="",I9=""),"",H9-I9)</f>
        <v/>
      </c>
      <c r="K9" s="16">
        <f>IFERROR(J9/I9,"")</f>
        <v/>
      </c>
      <c r="L9" s="13">
        <f>IFERROR(D9/C9,"")</f>
        <v/>
      </c>
      <c r="M9" s="13">
        <f>IFERROR(H9/D9*1000,"")</f>
        <v/>
      </c>
      <c r="N9" s="13" t="n">
        <v>31301</v>
      </c>
      <c r="O9" s="15">
        <f>IFERROR(IF(OR(N9="",ISBLANK(INDIRECT("'"&amp;$Q$2&amp;"'!N"&amp;ROW()))),"",N9-INDIRECT("'"&amp;$Q$2&amp;"'!N"&amp;ROW())),"")</f>
        <v/>
      </c>
      <c r="P9" s="2" t="n"/>
      <c r="Q9" s="2" t="n"/>
      <c r="R9" s="2" t="n"/>
      <c r="S9" s="18">
        <f>IFERROR(IF(ISBLANK(INDIRECT("'"&amp;$Q$2&amp;"'!G"&amp;ROW())),"",INDIRECT("'"&amp;$Q$2&amp;"'!G"&amp;ROW())),"")</f>
        <v/>
      </c>
      <c r="T9" s="20">
        <f>IF(OR($G9="",$S9=""),"",$G9-$S9)</f>
        <v/>
      </c>
      <c r="U9" s="18">
        <f>IFERROR(IF(ISBLANK(INDIRECT("'"&amp;$Q$2&amp;"'!K"&amp;ROW())),"",INDIRECT("'"&amp;$Q$2&amp;"'!K"&amp;ROW())),"")</f>
        <v/>
      </c>
      <c r="V9" s="20">
        <f>IF(OR($K9="",$U9=""),"",$K9-$U9)</f>
        <v/>
      </c>
      <c r="W9" s="21">
        <f>IFERROR(IF(ISBLANK(INDIRECT("'"&amp;$Q$2&amp;"'!O"&amp;ROW())),"",INDIRECT("'"&amp;$Q$2&amp;"'!O"&amp;ROW())),"")</f>
        <v/>
      </c>
      <c r="X9" s="21">
        <f>IF(OR($O9="",$W9=""),"",$O9-$W9)</f>
        <v/>
      </c>
      <c r="Y9" s="2" t="n"/>
      <c r="Z9" s="2" t="n"/>
    </row>
    <row r="10" ht="14.25" customHeight="1" s="58">
      <c r="A10" s="12" t="inlineStr">
        <is>
          <t>ВКонтакте</t>
        </is>
      </c>
      <c r="B10" s="12" t="inlineStr">
        <is>
          <t>Салехард</t>
        </is>
      </c>
      <c r="C10" s="13" t="n">
        <v>154</v>
      </c>
      <c r="D10" s="13" t="n">
        <v>202830</v>
      </c>
      <c r="E10" s="13">
        <f>IF($D10="","",IFERROR(IF(ISBLANK(INDIRECT("'"&amp;$Q$2&amp;"'!D"&amp;ROW())),"",INDIRECT("'"&amp;$Q$2&amp;"'!D"&amp;ROW())),""))</f>
        <v/>
      </c>
      <c r="F10" s="15">
        <f>IF(OR(D10="",E10=""),"",D10-E10)</f>
        <v/>
      </c>
      <c r="G10" s="16">
        <f>IFERROR(F10/E10,"")</f>
        <v/>
      </c>
      <c r="H10" s="13" t="n">
        <v>1305</v>
      </c>
      <c r="I10" s="13">
        <f>IF($H10="","",IFERROR(IF(ISBLANK(INDIRECT("'"&amp;$Q$2&amp;"'!H"&amp;ROW())),"",INDIRECT("'"&amp;$Q$2&amp;"'!H"&amp;ROW())),""))</f>
        <v/>
      </c>
      <c r="J10" s="15">
        <f>IF(OR(H10="",I10=""),"",H10-I10)</f>
        <v/>
      </c>
      <c r="K10" s="16">
        <f>IFERROR(J10/I10,"")</f>
        <v/>
      </c>
      <c r="L10" s="13">
        <f>IFERROR(D10/C10,"")</f>
        <v/>
      </c>
      <c r="M10" s="13">
        <f>IFERROR(H10/D10*1000,"")</f>
        <v/>
      </c>
      <c r="N10" s="13" t="n">
        <v>21574</v>
      </c>
      <c r="O10" s="15">
        <f>IFERROR(IF(OR(N10="",ISBLANK(INDIRECT("'"&amp;$Q$2&amp;"'!N"&amp;ROW()))),"",N10-INDIRECT("'"&amp;$Q$2&amp;"'!N"&amp;ROW())),"")</f>
        <v/>
      </c>
      <c r="P10" s="2" t="n"/>
      <c r="Q10" s="2" t="n"/>
      <c r="R10" s="2" t="n"/>
      <c r="S10" s="18">
        <f>IFERROR(IF(ISBLANK(INDIRECT("'"&amp;$Q$2&amp;"'!G"&amp;ROW())),"",INDIRECT("'"&amp;$Q$2&amp;"'!G"&amp;ROW())),"")</f>
        <v/>
      </c>
      <c r="T10" s="20">
        <f>IF(OR($G10="",$S10=""),"",$G10-$S10)</f>
        <v/>
      </c>
      <c r="U10" s="18">
        <f>IFERROR(IF(ISBLANK(INDIRECT("'"&amp;$Q$2&amp;"'!K"&amp;ROW())),"",INDIRECT("'"&amp;$Q$2&amp;"'!K"&amp;ROW())),"")</f>
        <v/>
      </c>
      <c r="V10" s="20">
        <f>IF(OR($K10="",$U10=""),"",$K10-$U10)</f>
        <v/>
      </c>
      <c r="W10" s="21">
        <f>IFERROR(IF(ISBLANK(INDIRECT("'"&amp;$Q$2&amp;"'!O"&amp;ROW())),"",INDIRECT("'"&amp;$Q$2&amp;"'!O"&amp;ROW())),"")</f>
        <v/>
      </c>
      <c r="X10" s="21">
        <f>IF(OR($O10="",$W10=""),"",$O10-$W10)</f>
        <v/>
      </c>
      <c r="Y10" s="2" t="n"/>
      <c r="Z10" s="2" t="n"/>
    </row>
    <row r="11" ht="14.25" customHeight="1" s="58">
      <c r="A11" s="12" t="inlineStr">
        <is>
          <t>ВКонтакте</t>
        </is>
      </c>
      <c r="B11" s="12" t="inlineStr">
        <is>
          <t>Приуралье</t>
        </is>
      </c>
      <c r="C11" s="13" t="n">
        <v>145</v>
      </c>
      <c r="D11" s="13" t="n">
        <v>572378</v>
      </c>
      <c r="E11" s="13">
        <f>IF($D11="","",IFERROR(IF(ISBLANK(INDIRECT("'"&amp;$Q$2&amp;"'!D"&amp;ROW())),"",INDIRECT("'"&amp;$Q$2&amp;"'!D"&amp;ROW())),""))</f>
        <v/>
      </c>
      <c r="F11" s="15">
        <f>IF(OR(D11="",E11=""),"",D11-E11)</f>
        <v/>
      </c>
      <c r="G11" s="16">
        <f>IFERROR(F11/E11,"")</f>
        <v/>
      </c>
      <c r="H11" s="13" t="n">
        <v>4467</v>
      </c>
      <c r="I11" s="13">
        <f>IF($H11="","",IFERROR(IF(ISBLANK(INDIRECT("'"&amp;$Q$2&amp;"'!H"&amp;ROW())),"",INDIRECT("'"&amp;$Q$2&amp;"'!H"&amp;ROW())),""))</f>
        <v/>
      </c>
      <c r="J11" s="15">
        <f>IF(OR(H11="",I11=""),"",H11-I11)</f>
        <v/>
      </c>
      <c r="K11" s="16">
        <f>IFERROR(J11/I11,"")</f>
        <v/>
      </c>
      <c r="L11" s="13">
        <f>IFERROR(D11/C11,"")</f>
        <v/>
      </c>
      <c r="M11" s="13">
        <f>IFERROR(H11/D11*1000,"")</f>
        <v/>
      </c>
      <c r="N11" s="13" t="n">
        <v>20774</v>
      </c>
      <c r="O11" s="15">
        <f>IFERROR(IF(OR(N11="",ISBLANK(INDIRECT("'"&amp;$Q$2&amp;"'!N"&amp;ROW()))),"",N11-INDIRECT("'"&amp;$Q$2&amp;"'!N"&amp;ROW())),"")</f>
        <v/>
      </c>
      <c r="P11" s="2" t="n"/>
      <c r="Q11" s="2" t="n"/>
      <c r="R11" s="2" t="n"/>
      <c r="S11" s="18">
        <f>IFERROR(IF(ISBLANK(INDIRECT("'"&amp;$Q$2&amp;"'!G"&amp;ROW())),"",INDIRECT("'"&amp;$Q$2&amp;"'!G"&amp;ROW())),"")</f>
        <v/>
      </c>
      <c r="T11" s="20">
        <f>IF(OR($G11="",$S11=""),"",$G11-$S11)</f>
        <v/>
      </c>
      <c r="U11" s="18">
        <f>IFERROR(IF(ISBLANK(INDIRECT("'"&amp;$Q$2&amp;"'!K"&amp;ROW())),"",INDIRECT("'"&amp;$Q$2&amp;"'!K"&amp;ROW())),"")</f>
        <v/>
      </c>
      <c r="V11" s="20">
        <f>IF(OR($K11="",$U11=""),"",$K11-$U11)</f>
        <v/>
      </c>
      <c r="W11" s="21">
        <f>IFERROR(IF(ISBLANK(INDIRECT("'"&amp;$Q$2&amp;"'!O"&amp;ROW())),"",INDIRECT("'"&amp;$Q$2&amp;"'!O"&amp;ROW())),"")</f>
        <v/>
      </c>
      <c r="X11" s="21">
        <f>IF(OR($O11="",$W11=""),"",$O11-$W11)</f>
        <v/>
      </c>
      <c r="Y11" s="2" t="n"/>
      <c r="Z11" s="2" t="n"/>
    </row>
    <row r="12" ht="14.25" customHeight="1" s="58">
      <c r="A12" s="12" t="inlineStr">
        <is>
          <t>ВКонтакте</t>
        </is>
      </c>
      <c r="B12" s="12" t="inlineStr">
        <is>
          <t>Лабытнанги</t>
        </is>
      </c>
      <c r="C12" s="13" t="n">
        <v>97</v>
      </c>
      <c r="D12" s="13" t="n">
        <v>151998</v>
      </c>
      <c r="E12" s="13">
        <f>IF($D12="","",IFERROR(IF(ISBLANK(INDIRECT("'"&amp;$Q$2&amp;"'!D"&amp;ROW())),"",INDIRECT("'"&amp;$Q$2&amp;"'!D"&amp;ROW())),""))</f>
        <v/>
      </c>
      <c r="F12" s="15">
        <f>IF(OR(D12="",E12=""),"",D12-E12)</f>
        <v/>
      </c>
      <c r="G12" s="16">
        <f>IFERROR(F12/E12,"")</f>
        <v/>
      </c>
      <c r="H12" s="13" t="n">
        <v>2359</v>
      </c>
      <c r="I12" s="13">
        <f>IF($H12="","",IFERROR(IF(ISBLANK(INDIRECT("'"&amp;$Q$2&amp;"'!H"&amp;ROW())),"",INDIRECT("'"&amp;$Q$2&amp;"'!H"&amp;ROW())),""))</f>
        <v/>
      </c>
      <c r="J12" s="15">
        <f>IF(OR(H12="",I12=""),"",H12-I12)</f>
        <v/>
      </c>
      <c r="K12" s="16">
        <f>IFERROR(J12/I12,"")</f>
        <v/>
      </c>
      <c r="L12" s="13">
        <f>IFERROR(D12/C12,"")</f>
        <v/>
      </c>
      <c r="M12" s="13">
        <f>IFERROR(H12/D12*1000,"")</f>
        <v/>
      </c>
      <c r="N12" s="13" t="n">
        <v>15454</v>
      </c>
      <c r="O12" s="15">
        <f>IFERROR(IF(OR(N12="",ISBLANK(INDIRECT("'"&amp;$Q$2&amp;"'!N"&amp;ROW()))),"",N12-INDIRECT("'"&amp;$Q$2&amp;"'!N"&amp;ROW())),"")</f>
        <v/>
      </c>
      <c r="P12" s="2" t="n"/>
      <c r="Q12" s="2" t="n"/>
      <c r="R12" s="2" t="n"/>
      <c r="S12" s="18">
        <f>IFERROR(IF(ISBLANK(INDIRECT("'"&amp;$Q$2&amp;"'!G"&amp;ROW())),"",INDIRECT("'"&amp;$Q$2&amp;"'!G"&amp;ROW())),"")</f>
        <v/>
      </c>
      <c r="T12" s="20">
        <f>IF(OR($G12="",$S12=""),"",$G12-$S12)</f>
        <v/>
      </c>
      <c r="U12" s="18">
        <f>IFERROR(IF(ISBLANK(INDIRECT("'"&amp;$Q$2&amp;"'!K"&amp;ROW())),"",INDIRECT("'"&amp;$Q$2&amp;"'!K"&amp;ROW())),"")</f>
        <v/>
      </c>
      <c r="V12" s="20">
        <f>IF(OR($K12="",$U12=""),"",$K12-$U12)</f>
        <v/>
      </c>
      <c r="W12" s="21">
        <f>IFERROR(IF(ISBLANK(INDIRECT("'"&amp;$Q$2&amp;"'!O"&amp;ROW())),"",INDIRECT("'"&amp;$Q$2&amp;"'!O"&amp;ROW())),"")</f>
        <v/>
      </c>
      <c r="X12" s="21">
        <f>IF(OR($O12="",$W12=""),"",$O12-$W12)</f>
        <v/>
      </c>
      <c r="Y12" s="2" t="n"/>
      <c r="Z12" s="2" t="n"/>
    </row>
    <row r="13" ht="14.25" customHeight="1" s="58">
      <c r="A13" s="12" t="inlineStr">
        <is>
          <t>ВКонтакте</t>
        </is>
      </c>
      <c r="B13" s="12" t="inlineStr">
        <is>
          <t>Пуровский</t>
        </is>
      </c>
      <c r="C13" s="13" t="n">
        <v>85</v>
      </c>
      <c r="D13" s="13" t="n">
        <v>48629</v>
      </c>
      <c r="E13" s="13">
        <f>IF($D13="","",IFERROR(IF(ISBLANK(INDIRECT("'"&amp;$Q$2&amp;"'!D"&amp;ROW())),"",INDIRECT("'"&amp;$Q$2&amp;"'!D"&amp;ROW())),""))</f>
        <v/>
      </c>
      <c r="F13" s="15">
        <f>IF(OR(D13="",E13=""),"",D13-E13)</f>
        <v/>
      </c>
      <c r="G13" s="16">
        <f>IFERROR(F13/E13,"")</f>
        <v/>
      </c>
      <c r="H13" s="13" t="n">
        <v>706</v>
      </c>
      <c r="I13" s="13">
        <f>IF($H13="","",IFERROR(IF(ISBLANK(INDIRECT("'"&amp;$Q$2&amp;"'!H"&amp;ROW())),"",INDIRECT("'"&amp;$Q$2&amp;"'!H"&amp;ROW())),""))</f>
        <v/>
      </c>
      <c r="J13" s="15">
        <f>IF(OR(H13="",I13=""),"",H13-I13)</f>
        <v/>
      </c>
      <c r="K13" s="16">
        <f>IFERROR(J13/I13,"")</f>
        <v/>
      </c>
      <c r="L13" s="13">
        <f>IFERROR(D13/C13,"")</f>
        <v/>
      </c>
      <c r="M13" s="13">
        <f>IFERROR(H13/D13*1000,"")</f>
        <v/>
      </c>
      <c r="N13" s="13" t="n">
        <v>16447</v>
      </c>
      <c r="O13" s="15">
        <f>IFERROR(IF(OR(N13="",ISBLANK(INDIRECT("'"&amp;$Q$2&amp;"'!N"&amp;ROW()))),"",N13-INDIRECT("'"&amp;$Q$2&amp;"'!N"&amp;ROW())),"")</f>
        <v/>
      </c>
      <c r="P13" s="2" t="n"/>
      <c r="Q13" s="2" t="n"/>
      <c r="R13" s="2" t="n"/>
      <c r="S13" s="18">
        <f>IFERROR(IF(ISBLANK(INDIRECT("'"&amp;$Q$2&amp;"'!G"&amp;ROW())),"",INDIRECT("'"&amp;$Q$2&amp;"'!G"&amp;ROW())),"")</f>
        <v/>
      </c>
      <c r="T13" s="20">
        <f>IF(OR($G13="",$S13=""),"",$G13-$S13)</f>
        <v/>
      </c>
      <c r="U13" s="18">
        <f>IFERROR(IF(ISBLANK(INDIRECT("'"&amp;$Q$2&amp;"'!K"&amp;ROW())),"",INDIRECT("'"&amp;$Q$2&amp;"'!K"&amp;ROW())),"")</f>
        <v/>
      </c>
      <c r="V13" s="20">
        <f>IF(OR($K13="",$U13=""),"",$K13-$U13)</f>
        <v/>
      </c>
      <c r="W13" s="21">
        <f>IFERROR(IF(ISBLANK(INDIRECT("'"&amp;$Q$2&amp;"'!O"&amp;ROW())),"",INDIRECT("'"&amp;$Q$2&amp;"'!O"&amp;ROW())),"")</f>
        <v/>
      </c>
      <c r="X13" s="21">
        <f>IF(OR($O13="",$W13=""),"",$O13-$W13)</f>
        <v/>
      </c>
      <c r="Y13" s="2" t="n"/>
      <c r="Z13" s="2" t="n"/>
    </row>
    <row r="14" ht="14.25" customHeight="1" s="58">
      <c r="A14" s="12" t="inlineStr">
        <is>
          <t>ВКонтакте</t>
        </is>
      </c>
      <c r="B14" s="12" t="inlineStr">
        <is>
          <t>Тазовский</t>
        </is>
      </c>
      <c r="C14" s="13" t="n">
        <v>78</v>
      </c>
      <c r="D14" s="13" t="n">
        <v>82265</v>
      </c>
      <c r="E14" s="13">
        <f>IF($D14="","",IFERROR(IF(ISBLANK(INDIRECT("'"&amp;$Q$2&amp;"'!D"&amp;ROW())),"",INDIRECT("'"&amp;$Q$2&amp;"'!D"&amp;ROW())),""))</f>
        <v/>
      </c>
      <c r="F14" s="15">
        <f>IF(OR(D14="",E14=""),"",D14-E14)</f>
        <v/>
      </c>
      <c r="G14" s="16">
        <f>IFERROR(F14/E14,"")</f>
        <v/>
      </c>
      <c r="H14" s="13" t="n">
        <v>787</v>
      </c>
      <c r="I14" s="13">
        <f>IF($H14="","",IFERROR(IF(ISBLANK(INDIRECT("'"&amp;$Q$2&amp;"'!H"&amp;ROW())),"",INDIRECT("'"&amp;$Q$2&amp;"'!H"&amp;ROW())),""))</f>
        <v/>
      </c>
      <c r="J14" s="15">
        <f>IF(OR(H14="",I14=""),"",H14-I14)</f>
        <v/>
      </c>
      <c r="K14" s="16">
        <f>IFERROR(J14/I14,"")</f>
        <v/>
      </c>
      <c r="L14" s="13">
        <f>IFERROR(D14/C14,"")</f>
        <v/>
      </c>
      <c r="M14" s="13">
        <f>IFERROR(H14/D14*1000,"")</f>
        <v/>
      </c>
      <c r="N14" s="13" t="n">
        <v>6402</v>
      </c>
      <c r="O14" s="15">
        <f>IFERROR(IF(OR(N14="",ISBLANK(INDIRECT("'"&amp;$Q$2&amp;"'!N"&amp;ROW()))),"",N14-INDIRECT("'"&amp;$Q$2&amp;"'!N"&amp;ROW())),"")</f>
        <v/>
      </c>
      <c r="P14" s="2" t="n"/>
      <c r="Q14" s="2" t="n"/>
      <c r="R14" s="2" t="n"/>
      <c r="S14" s="18">
        <f>IFERROR(IF(ISBLANK(INDIRECT("'"&amp;$Q$2&amp;"'!G"&amp;ROW())),"",INDIRECT("'"&amp;$Q$2&amp;"'!G"&amp;ROW())),"")</f>
        <v/>
      </c>
      <c r="T14" s="20">
        <f>IF(OR($G14="",$S14=""),"",$G14-$S14)</f>
        <v/>
      </c>
      <c r="U14" s="18">
        <f>IFERROR(IF(ISBLANK(INDIRECT("'"&amp;$Q$2&amp;"'!K"&amp;ROW())),"",INDIRECT("'"&amp;$Q$2&amp;"'!K"&amp;ROW())),"")</f>
        <v/>
      </c>
      <c r="V14" s="20">
        <f>IF(OR($K14="",$U14=""),"",$K14-$U14)</f>
        <v/>
      </c>
      <c r="W14" s="21">
        <f>IFERROR(IF(ISBLANK(INDIRECT("'"&amp;$Q$2&amp;"'!O"&amp;ROW())),"",INDIRECT("'"&amp;$Q$2&amp;"'!O"&amp;ROW())),"")</f>
        <v/>
      </c>
      <c r="X14" s="21">
        <f>IF(OR($O14="",$W14=""),"",$O14-$W14)</f>
        <v/>
      </c>
      <c r="Y14" s="2" t="n"/>
      <c r="Z14" s="2" t="n"/>
    </row>
    <row r="15" ht="14.25" customHeight="1" s="58">
      <c r="A15" s="12" t="inlineStr">
        <is>
          <t>ВКонтакте</t>
        </is>
      </c>
      <c r="B15" s="12" t="inlineStr">
        <is>
          <t>Красноселькуп</t>
        </is>
      </c>
      <c r="C15" s="13" t="n">
        <v>44</v>
      </c>
      <c r="D15" s="13" t="n">
        <v>43212</v>
      </c>
      <c r="E15" s="13">
        <f>IF($D15="","",IFERROR(IF(ISBLANK(INDIRECT("'"&amp;$Q$2&amp;"'!D"&amp;ROW())),"",INDIRECT("'"&amp;$Q$2&amp;"'!D"&amp;ROW())),""))</f>
        <v/>
      </c>
      <c r="F15" s="15">
        <f>IF(OR(D15="",E15=""),"",D15-E15)</f>
        <v/>
      </c>
      <c r="G15" s="16">
        <f>IFERROR(F15/E15,"")</f>
        <v/>
      </c>
      <c r="H15" s="13" t="n">
        <v>348</v>
      </c>
      <c r="I15" s="13">
        <f>IF($H15="","",IFERROR(IF(ISBLANK(INDIRECT("'"&amp;$Q$2&amp;"'!H"&amp;ROW())),"",INDIRECT("'"&amp;$Q$2&amp;"'!H"&amp;ROW())),""))</f>
        <v/>
      </c>
      <c r="J15" s="15">
        <f>IF(OR(H15="",I15=""),"",H15-I15)</f>
        <v/>
      </c>
      <c r="K15" s="16">
        <f>IFERROR(J15/I15,"")</f>
        <v/>
      </c>
      <c r="L15" s="13">
        <f>IFERROR(D15/C15,"")</f>
        <v/>
      </c>
      <c r="M15" s="13">
        <f>IFERROR(H15/D15*1000,"")</f>
        <v/>
      </c>
      <c r="N15" s="13" t="n">
        <v>3679</v>
      </c>
      <c r="O15" s="15">
        <f>IFERROR(IF(OR(N15="",ISBLANK(INDIRECT("'"&amp;$Q$2&amp;"'!N"&amp;ROW()))),"",N15-INDIRECT("'"&amp;$Q$2&amp;"'!N"&amp;ROW())),"")</f>
        <v/>
      </c>
      <c r="P15" s="2" t="n"/>
      <c r="Q15" s="2" t="n"/>
      <c r="R15" s="2" t="n"/>
      <c r="S15" s="18">
        <f>IFERROR(IF(ISBLANK(INDIRECT("'"&amp;$Q$2&amp;"'!G"&amp;ROW())),"",INDIRECT("'"&amp;$Q$2&amp;"'!G"&amp;ROW())),"")</f>
        <v/>
      </c>
      <c r="T15" s="20">
        <f>IF(OR($G15="",$S15=""),"",$G15-$S15)</f>
        <v/>
      </c>
      <c r="U15" s="18">
        <f>IFERROR(IF(ISBLANK(INDIRECT("'"&amp;$Q$2&amp;"'!K"&amp;ROW())),"",INDIRECT("'"&amp;$Q$2&amp;"'!K"&amp;ROW())),"")</f>
        <v/>
      </c>
      <c r="V15" s="20">
        <f>IF(OR($K15="",$U15=""),"",$K15-$U15)</f>
        <v/>
      </c>
      <c r="W15" s="21">
        <f>IFERROR(IF(ISBLANK(INDIRECT("'"&amp;$Q$2&amp;"'!O"&amp;ROW())),"",INDIRECT("'"&amp;$Q$2&amp;"'!O"&amp;ROW())),"")</f>
        <v/>
      </c>
      <c r="X15" s="21">
        <f>IF(OR($O15="",$W15=""),"",$O15-$W15)</f>
        <v/>
      </c>
      <c r="Y15" s="2" t="n"/>
      <c r="Z15" s="2" t="n"/>
    </row>
    <row r="16" ht="14.25" customHeight="1" s="58">
      <c r="A16" s="12" t="inlineStr">
        <is>
          <t>ВКонтакте</t>
        </is>
      </c>
      <c r="B16" s="12" t="inlineStr">
        <is>
          <t>Ямальский</t>
        </is>
      </c>
      <c r="C16" s="13" t="n">
        <v>73</v>
      </c>
      <c r="D16" s="13" t="n">
        <v>158474</v>
      </c>
      <c r="E16" s="13">
        <f>IF($D16="","",IFERROR(IF(ISBLANK(INDIRECT("'"&amp;$Q$2&amp;"'!D"&amp;ROW())),"",INDIRECT("'"&amp;$Q$2&amp;"'!D"&amp;ROW())),""))</f>
        <v/>
      </c>
      <c r="F16" s="15">
        <f>IF(OR(D16="",E16=""),"",D16-E16)</f>
        <v/>
      </c>
      <c r="G16" s="16">
        <f>IFERROR(F16/E16,"")</f>
        <v/>
      </c>
      <c r="H16" s="13" t="n">
        <v>1498</v>
      </c>
      <c r="I16" s="13">
        <f>IF($H16="","",IFERROR(IF(ISBLANK(INDIRECT("'"&amp;$Q$2&amp;"'!H"&amp;ROW())),"",INDIRECT("'"&amp;$Q$2&amp;"'!H"&amp;ROW())),""))</f>
        <v/>
      </c>
      <c r="J16" s="15">
        <f>IF(OR(H16="",I16=""),"",H16-I16)</f>
        <v/>
      </c>
      <c r="K16" s="16">
        <f>IFERROR(J16/I16,"")</f>
        <v/>
      </c>
      <c r="L16" s="13">
        <f>IFERROR(D16/C16,"")</f>
        <v/>
      </c>
      <c r="M16" s="13">
        <f>IFERROR(H16/D16*1000,"")</f>
        <v/>
      </c>
      <c r="N16" s="13" t="n">
        <v>12733</v>
      </c>
      <c r="O16" s="15">
        <f>IFERROR(IF(OR(N16="",ISBLANK(INDIRECT("'"&amp;$Q$2&amp;"'!N"&amp;ROW()))),"",N16-INDIRECT("'"&amp;$Q$2&amp;"'!N"&amp;ROW())),"")</f>
        <v/>
      </c>
      <c r="P16" s="2" t="n"/>
      <c r="Q16" s="2" t="n"/>
      <c r="R16" s="2" t="n"/>
      <c r="S16" s="18">
        <f>IFERROR(IF(ISBLANK(INDIRECT("'"&amp;$Q$2&amp;"'!G"&amp;ROW())),"",INDIRECT("'"&amp;$Q$2&amp;"'!G"&amp;ROW())),"")</f>
        <v/>
      </c>
      <c r="T16" s="20">
        <f>IF(OR($G16="",$S16=""),"",$G16-$S16)</f>
        <v/>
      </c>
      <c r="U16" s="18">
        <f>IFERROR(IF(ISBLANK(INDIRECT("'"&amp;$Q$2&amp;"'!K"&amp;ROW())),"",INDIRECT("'"&amp;$Q$2&amp;"'!K"&amp;ROW())),"")</f>
        <v/>
      </c>
      <c r="V16" s="20">
        <f>IF(OR($K16="",$U16=""),"",$K16-$U16)</f>
        <v/>
      </c>
      <c r="W16" s="21">
        <f>IFERROR(IF(ISBLANK(INDIRECT("'"&amp;$Q$2&amp;"'!O"&amp;ROW())),"",INDIRECT("'"&amp;$Q$2&amp;"'!O"&amp;ROW())),"")</f>
        <v/>
      </c>
      <c r="X16" s="21">
        <f>IF(OR($O16="",$W16=""),"",$O16-$W16)</f>
        <v/>
      </c>
      <c r="Y16" s="2" t="n"/>
      <c r="Z16" s="2" t="n"/>
    </row>
    <row r="17" ht="14.25" customHeight="1" s="58">
      <c r="A17" s="12" t="inlineStr">
        <is>
          <t>ВКонтакте</t>
        </is>
      </c>
      <c r="B17" s="12" t="inlineStr">
        <is>
          <t>Шурышкарский</t>
        </is>
      </c>
      <c r="C17" s="13" t="n">
        <v>67</v>
      </c>
      <c r="D17" s="13" t="n">
        <v>205869</v>
      </c>
      <c r="E17" s="13">
        <f>IF($D17="","",IFERROR(IF(ISBLANK(INDIRECT("'"&amp;$Q$2&amp;"'!D"&amp;ROW())),"",INDIRECT("'"&amp;$Q$2&amp;"'!D"&amp;ROW())),""))</f>
        <v/>
      </c>
      <c r="F17" s="15">
        <f>IF(OR(D17="",E17=""),"",D17-E17)</f>
        <v/>
      </c>
      <c r="G17" s="16">
        <f>IFERROR(F17/E17,"")</f>
        <v/>
      </c>
      <c r="H17" s="13" t="n">
        <v>2433</v>
      </c>
      <c r="I17" s="13">
        <f>IF($H17="","",IFERROR(IF(ISBLANK(INDIRECT("'"&amp;$Q$2&amp;"'!H"&amp;ROW())),"",INDIRECT("'"&amp;$Q$2&amp;"'!H"&amp;ROW())),""))</f>
        <v/>
      </c>
      <c r="J17" s="15">
        <f>IF(OR(H17="",I17=""),"",H17-I17)</f>
        <v/>
      </c>
      <c r="K17" s="16">
        <f>IFERROR(J17/I17,"")</f>
        <v/>
      </c>
      <c r="L17" s="13">
        <f>IFERROR(D17/C17,"")</f>
        <v/>
      </c>
      <c r="M17" s="13">
        <f>IFERROR(H17/D17*1000,"")</f>
        <v/>
      </c>
      <c r="N17" s="13" t="n">
        <v>7814</v>
      </c>
      <c r="O17" s="15">
        <f>IFERROR(IF(OR(N17="",ISBLANK(INDIRECT("'"&amp;$Q$2&amp;"'!N"&amp;ROW()))),"",N17-INDIRECT("'"&amp;$Q$2&amp;"'!N"&amp;ROW())),"")</f>
        <v/>
      </c>
      <c r="P17" s="2" t="n"/>
      <c r="Q17" s="2" t="n"/>
      <c r="R17" s="2" t="n"/>
      <c r="S17" s="18">
        <f>IFERROR(IF(ISBLANK(INDIRECT("'"&amp;$Q$2&amp;"'!G"&amp;ROW())),"",INDIRECT("'"&amp;$Q$2&amp;"'!G"&amp;ROW())),"")</f>
        <v/>
      </c>
      <c r="T17" s="20">
        <f>IF(OR($G17="",$S17=""),"",$G17-$S17)</f>
        <v/>
      </c>
      <c r="U17" s="18">
        <f>IFERROR(IF(ISBLANK(INDIRECT("'"&amp;$Q$2&amp;"'!K"&amp;ROW())),"",INDIRECT("'"&amp;$Q$2&amp;"'!K"&amp;ROW())),"")</f>
        <v/>
      </c>
      <c r="V17" s="20">
        <f>IF(OR($K17="",$U17=""),"",$K17-$U17)</f>
        <v/>
      </c>
      <c r="W17" s="21">
        <f>IFERROR(IF(ISBLANK(INDIRECT("'"&amp;$Q$2&amp;"'!O"&amp;ROW())),"",INDIRECT("'"&amp;$Q$2&amp;"'!O"&amp;ROW())),"")</f>
        <v/>
      </c>
      <c r="X17" s="21">
        <f>IF(OR($O17="",$W17=""),"",$O17-$W17)</f>
        <v/>
      </c>
      <c r="Y17" s="2" t="n"/>
      <c r="Z17" s="2" t="n"/>
    </row>
    <row r="18" ht="14.25" customHeight="1" s="58">
      <c r="A18" s="12" t="inlineStr">
        <is>
          <t>ВКонтакте</t>
        </is>
      </c>
      <c r="B18" s="12" t="inlineStr">
        <is>
          <t>Муравленко</t>
        </is>
      </c>
      <c r="C18" s="13" t="n">
        <v>95</v>
      </c>
      <c r="D18" s="13" t="n">
        <v>196933</v>
      </c>
      <c r="E18" s="13">
        <f>IF($D18="","",IFERROR(IF(ISBLANK(INDIRECT("'"&amp;$Q$2&amp;"'!D"&amp;ROW())),"",INDIRECT("'"&amp;$Q$2&amp;"'!D"&amp;ROW())),""))</f>
        <v/>
      </c>
      <c r="F18" s="15">
        <f>IF(OR(D18="",E18=""),"",D18-E18)</f>
        <v/>
      </c>
      <c r="G18" s="16">
        <f>IFERROR(F18/E18,"")</f>
        <v/>
      </c>
      <c r="H18" s="13" t="n">
        <v>2149</v>
      </c>
      <c r="I18" s="13">
        <f>IF($H18="","",IFERROR(IF(ISBLANK(INDIRECT("'"&amp;$Q$2&amp;"'!H"&amp;ROW())),"",INDIRECT("'"&amp;$Q$2&amp;"'!H"&amp;ROW())),""))</f>
        <v/>
      </c>
      <c r="J18" s="15">
        <f>IF(OR(H18="",I18=""),"",H18-I18)</f>
        <v/>
      </c>
      <c r="K18" s="16">
        <f>IFERROR(J18/I18,"")</f>
        <v/>
      </c>
      <c r="L18" s="13">
        <f>IFERROR(D18/C18,"")</f>
        <v/>
      </c>
      <c r="M18" s="13">
        <f>IFERROR(H18/D18*1000,"")</f>
        <v/>
      </c>
      <c r="N18" s="13" t="n">
        <v>18217</v>
      </c>
      <c r="O18" s="15">
        <f>IFERROR(IF(OR(N18="",ISBLANK(INDIRECT("'"&amp;$Q$2&amp;"'!N"&amp;ROW()))),"",N18-INDIRECT("'"&amp;$Q$2&amp;"'!N"&amp;ROW())),"")</f>
        <v/>
      </c>
      <c r="P18" s="2" t="n"/>
      <c r="Q18" s="2" t="n"/>
      <c r="R18" s="2" t="n"/>
      <c r="S18" s="18">
        <f>IFERROR(IF(ISBLANK(INDIRECT("'"&amp;$Q$2&amp;"'!G"&amp;ROW())),"",INDIRECT("'"&amp;$Q$2&amp;"'!G"&amp;ROW())),"")</f>
        <v/>
      </c>
      <c r="T18" s="20">
        <f>IF(OR($G18="",$S18=""),"",$G18-$S18)</f>
        <v/>
      </c>
      <c r="U18" s="18">
        <f>IFERROR(IF(ISBLANK(INDIRECT("'"&amp;$Q$2&amp;"'!K"&amp;ROW())),"",INDIRECT("'"&amp;$Q$2&amp;"'!K"&amp;ROW())),"")</f>
        <v/>
      </c>
      <c r="V18" s="20">
        <f>IF(OR($K18="",$U18=""),"",$K18-$U18)</f>
        <v/>
      </c>
      <c r="W18" s="21">
        <f>IFERROR(IF(ISBLANK(INDIRECT("'"&amp;$Q$2&amp;"'!O"&amp;ROW())),"",INDIRECT("'"&amp;$Q$2&amp;"'!O"&amp;ROW())),"")</f>
        <v/>
      </c>
      <c r="X18" s="21">
        <f>IF(OR($O18="",$W18=""),"",$O18-$W18)</f>
        <v/>
      </c>
      <c r="Y18" s="2" t="n"/>
      <c r="Z18" s="2" t="n"/>
    </row>
    <row r="19" ht="14.25" customHeight="1" s="58">
      <c r="A19" s="12" t="inlineStr">
        <is>
          <t>ВКонтакте</t>
        </is>
      </c>
      <c r="B19" s="12" t="inlineStr">
        <is>
          <t>Губкинский</t>
        </is>
      </c>
      <c r="C19" s="13" t="n">
        <v>106</v>
      </c>
      <c r="D19" s="13" t="n">
        <v>172329</v>
      </c>
      <c r="E19" s="13">
        <f>IF($D19="","",IFERROR(IF(ISBLANK(INDIRECT("'"&amp;$Q$2&amp;"'!D"&amp;ROW())),"",INDIRECT("'"&amp;$Q$2&amp;"'!D"&amp;ROW())),""))</f>
        <v/>
      </c>
      <c r="F19" s="15">
        <f>IF(OR(D19="",E19=""),"",D19-E19)</f>
        <v/>
      </c>
      <c r="G19" s="16">
        <f>IFERROR(F19/E19,"")</f>
        <v/>
      </c>
      <c r="H19" s="13" t="n">
        <v>2107</v>
      </c>
      <c r="I19" s="13">
        <f>IF($H19="","",IFERROR(IF(ISBLANK(INDIRECT("'"&amp;$Q$2&amp;"'!H"&amp;ROW())),"",INDIRECT("'"&amp;$Q$2&amp;"'!H"&amp;ROW())),""))</f>
        <v/>
      </c>
      <c r="J19" s="15">
        <f>IF(OR(H19="",I19=""),"",H19-I19)</f>
        <v/>
      </c>
      <c r="K19" s="16">
        <f>IFERROR(J19/I19,"")</f>
        <v/>
      </c>
      <c r="L19" s="13">
        <f>IFERROR(D19/C19,"")</f>
        <v/>
      </c>
      <c r="M19" s="13">
        <f>IFERROR(H19/D19*1000,"")</f>
        <v/>
      </c>
      <c r="N19" s="13" t="n">
        <v>19019</v>
      </c>
      <c r="O19" s="15">
        <f>IFERROR(IF(OR(N19="",ISBLANK(INDIRECT("'"&amp;$Q$2&amp;"'!N"&amp;ROW()))),"",N19-INDIRECT("'"&amp;$Q$2&amp;"'!N"&amp;ROW())),"")</f>
        <v/>
      </c>
      <c r="P19" s="2" t="n"/>
      <c r="Q19" s="2" t="n"/>
      <c r="R19" s="2" t="n"/>
      <c r="S19" s="18">
        <f>IFERROR(IF(ISBLANK(INDIRECT("'"&amp;$Q$2&amp;"'!G"&amp;ROW())),"",INDIRECT("'"&amp;$Q$2&amp;"'!G"&amp;ROW())),"")</f>
        <v/>
      </c>
      <c r="T19" s="20">
        <f>IF(OR($G19="",$S19=""),"",$G19-$S19)</f>
        <v/>
      </c>
      <c r="U19" s="18">
        <f>IFERROR(IF(ISBLANK(INDIRECT("'"&amp;$Q$2&amp;"'!K"&amp;ROW())),"",INDIRECT("'"&amp;$Q$2&amp;"'!K"&amp;ROW())),"")</f>
        <v/>
      </c>
      <c r="V19" s="20">
        <f>IF(OR($K19="",$U19=""),"",$K19-$U19)</f>
        <v/>
      </c>
      <c r="W19" s="21">
        <f>IFERROR(IF(ISBLANK(INDIRECT("'"&amp;$Q$2&amp;"'!O"&amp;ROW())),"",INDIRECT("'"&amp;$Q$2&amp;"'!O"&amp;ROW())),"")</f>
        <v/>
      </c>
      <c r="X19" s="21">
        <f>IF(OR($O19="",$W19=""),"",$O19-$W19)</f>
        <v/>
      </c>
      <c r="Y19" s="2" t="n"/>
      <c r="Z19" s="2" t="n"/>
    </row>
    <row r="20" ht="14.25" customHeight="1" s="58">
      <c r="A20" s="12" t="inlineStr">
        <is>
          <t>ВКонтакте</t>
        </is>
      </c>
      <c r="B20" s="12" t="inlineStr">
        <is>
          <t>Не олени</t>
        </is>
      </c>
      <c r="C20" s="13" t="n">
        <v>24</v>
      </c>
      <c r="D20" s="13" t="n">
        <v>12837</v>
      </c>
      <c r="E20" s="13">
        <f>IF($D20="","",IFERROR(IF(ISBLANK(INDIRECT("'"&amp;$Q$2&amp;"'!D"&amp;ROW())),"",INDIRECT("'"&amp;$Q$2&amp;"'!D"&amp;ROW())),""))</f>
        <v/>
      </c>
      <c r="F20" s="15">
        <f>IF(OR(D20="",E20=""),"",D20-E20)</f>
        <v/>
      </c>
      <c r="G20" s="16">
        <f>IFERROR(F20/E20,"")</f>
        <v/>
      </c>
      <c r="H20" s="13" t="n">
        <v>1764</v>
      </c>
      <c r="I20" s="13">
        <f>IF($H20="","",IFERROR(IF(ISBLANK(INDIRECT("'"&amp;$Q$2&amp;"'!H"&amp;ROW())),"",INDIRECT("'"&amp;$Q$2&amp;"'!H"&amp;ROW())),""))</f>
        <v/>
      </c>
      <c r="J20" s="15">
        <f>IF(OR(H20="",I20=""),"",H20-I20)</f>
        <v/>
      </c>
      <c r="K20" s="16">
        <f>IFERROR(J20/I20,"")</f>
        <v/>
      </c>
      <c r="L20" s="13">
        <f>IFERROR(D20/C20,"")</f>
        <v/>
      </c>
      <c r="M20" s="13">
        <f>IFERROR(H20/D20*1000,"")</f>
        <v/>
      </c>
      <c r="N20" s="13" t="n">
        <v>14561</v>
      </c>
      <c r="O20" s="15">
        <f>IFERROR(IF(OR(N20="",ISBLANK(INDIRECT("'"&amp;$Q$2&amp;"'!N"&amp;ROW()))),"",N20-INDIRECT("'"&amp;$Q$2&amp;"'!N"&amp;ROW())),"")</f>
        <v/>
      </c>
      <c r="P20" s="2" t="n"/>
      <c r="Q20" s="2" t="n"/>
      <c r="R20" s="2" t="n"/>
      <c r="S20" s="18">
        <f>IFERROR(IF(ISBLANK(INDIRECT("'"&amp;$Q$2&amp;"'!G"&amp;ROW())),"",INDIRECT("'"&amp;$Q$2&amp;"'!G"&amp;ROW())),"")</f>
        <v/>
      </c>
      <c r="T20" s="20">
        <f>IF(OR($G20="",$S20=""),"",$G20-$S20)</f>
        <v/>
      </c>
      <c r="U20" s="18">
        <f>IFERROR(IF(ISBLANK(INDIRECT("'"&amp;$Q$2&amp;"'!K"&amp;ROW())),"",INDIRECT("'"&amp;$Q$2&amp;"'!K"&amp;ROW())),"")</f>
        <v/>
      </c>
      <c r="V20" s="20">
        <f>IF(OR($K20="",$U20=""),"",$K20-$U20)</f>
        <v/>
      </c>
      <c r="W20" s="21">
        <f>IFERROR(IF(ISBLANK(INDIRECT("'"&amp;$Q$2&amp;"'!O"&amp;ROW())),"",INDIRECT("'"&amp;$Q$2&amp;"'!O"&amp;ROW())),"")</f>
        <v/>
      </c>
      <c r="X20" s="21">
        <f>IF(OR($O20="",$W20=""),"",$O20-$W20)</f>
        <v/>
      </c>
      <c r="Y20" s="2" t="n"/>
      <c r="Z20" s="2" t="n"/>
    </row>
    <row r="21" ht="14.25" customHeight="1" s="58">
      <c r="A21" s="12" t="inlineStr">
        <is>
          <t>ВКонтакте</t>
        </is>
      </c>
      <c r="B21" s="12" t="inlineStr">
        <is>
          <t>Этноарктика</t>
        </is>
      </c>
      <c r="C21" s="13" t="n">
        <v>8</v>
      </c>
      <c r="D21" s="13" t="n">
        <v>10664</v>
      </c>
      <c r="E21" s="13">
        <f>IF($D21="","",IFERROR(IF(ISBLANK(INDIRECT("'"&amp;$Q$2&amp;"'!D"&amp;ROW())),"",INDIRECT("'"&amp;$Q$2&amp;"'!D"&amp;ROW())),""))</f>
        <v/>
      </c>
      <c r="F21" s="15">
        <f>IF(OR(D21="",E21=""),"",D21-E21)</f>
        <v/>
      </c>
      <c r="G21" s="16">
        <f>IFERROR(F21/E21,"")</f>
        <v/>
      </c>
      <c r="H21" s="13" t="n">
        <v>392</v>
      </c>
      <c r="I21" s="13">
        <f>IF($H21="","",IFERROR(IF(ISBLANK(INDIRECT("'"&amp;$Q$2&amp;"'!H"&amp;ROW())),"",INDIRECT("'"&amp;$Q$2&amp;"'!H"&amp;ROW())),""))</f>
        <v/>
      </c>
      <c r="J21" s="15">
        <f>IF(OR(H21="",I21=""),"",H21-I21)</f>
        <v/>
      </c>
      <c r="K21" s="16">
        <f>IFERROR(J21/I21,"")</f>
        <v/>
      </c>
      <c r="L21" s="13">
        <f>IFERROR(D21/C21,"")</f>
        <v/>
      </c>
      <c r="M21" s="13">
        <f>IFERROR(H21/D21*1000,"")</f>
        <v/>
      </c>
      <c r="N21" s="13" t="n">
        <v>10601</v>
      </c>
      <c r="O21" s="15">
        <f>IFERROR(IF(OR(N21="",ISBLANK(INDIRECT("'"&amp;$Q$2&amp;"'!N"&amp;ROW()))),"",N21-INDIRECT("'"&amp;$Q$2&amp;"'!N"&amp;ROW())),"")</f>
        <v/>
      </c>
      <c r="P21" s="2" t="n"/>
      <c r="Q21" s="2" t="n"/>
      <c r="R21" s="2" t="n"/>
      <c r="S21" s="18">
        <f>IFERROR(IF(ISBLANK(INDIRECT("'"&amp;$Q$2&amp;"'!G"&amp;ROW())),"",INDIRECT("'"&amp;$Q$2&amp;"'!G"&amp;ROW())),"")</f>
        <v/>
      </c>
      <c r="T21" s="20">
        <f>IF(OR($G21="",$S21=""),"",$G21-$S21)</f>
        <v/>
      </c>
      <c r="U21" s="18">
        <f>IFERROR(IF(ISBLANK(INDIRECT("'"&amp;$Q$2&amp;"'!K"&amp;ROW())),"",INDIRECT("'"&amp;$Q$2&amp;"'!K"&amp;ROW())),"")</f>
        <v/>
      </c>
      <c r="V21" s="20">
        <f>IF(OR($K21="",$U21=""),"",$K21-$U21)</f>
        <v/>
      </c>
      <c r="W21" s="21">
        <f>IFERROR(IF(ISBLANK(INDIRECT("'"&amp;$Q$2&amp;"'!O"&amp;ROW())),"",INDIRECT("'"&amp;$Q$2&amp;"'!O"&amp;ROW())),"")</f>
        <v/>
      </c>
      <c r="X21" s="21">
        <f>IF(OR($O21="",$W21=""),"",$O21-$W21)</f>
        <v/>
      </c>
      <c r="Y21" s="2" t="n"/>
      <c r="Z21" s="2" t="n"/>
    </row>
    <row r="22" ht="14.25" customHeight="1" s="58">
      <c r="A22" s="12" t="inlineStr">
        <is>
          <t>ВКонтакте</t>
        </is>
      </c>
      <c r="B22" s="12" t="inlineStr">
        <is>
          <t>ЗажгиФакел</t>
        </is>
      </c>
      <c r="C22" s="13" t="n">
        <v>24</v>
      </c>
      <c r="D22" s="13" t="n">
        <v>8406</v>
      </c>
      <c r="E22" s="13">
        <f>IF($D22="","",IFERROR(IF(ISBLANK(INDIRECT("'"&amp;$Q$2&amp;"'!D"&amp;ROW())),"",INDIRECT("'"&amp;$Q$2&amp;"'!D"&amp;ROW())),""))</f>
        <v/>
      </c>
      <c r="F22" s="15">
        <f>IF(OR(D22="",E22=""),"",D22-E22)</f>
        <v/>
      </c>
      <c r="G22" s="16">
        <f>IFERROR(F22/E22,"")</f>
        <v/>
      </c>
      <c r="H22" s="13" t="n">
        <v>167</v>
      </c>
      <c r="I22" s="13">
        <f>IF($H22="","",IFERROR(IF(ISBLANK(INDIRECT("'"&amp;$Q$2&amp;"'!H"&amp;ROW())),"",INDIRECT("'"&amp;$Q$2&amp;"'!H"&amp;ROW())),""))</f>
        <v/>
      </c>
      <c r="J22" s="15">
        <f>IF(OR(H22="",I22=""),"",H22-I22)</f>
        <v/>
      </c>
      <c r="K22" s="16">
        <f>IFERROR(J22/I22,"")</f>
        <v/>
      </c>
      <c r="L22" s="13">
        <f>IFERROR(D22/C22,"")</f>
        <v/>
      </c>
      <c r="M22" s="13">
        <f>IFERROR(H22/D22*1000,"")</f>
        <v/>
      </c>
      <c r="N22" s="13" t="n">
        <v>7378</v>
      </c>
      <c r="O22" s="15">
        <f>IFERROR(IF(OR(N22="",ISBLANK(INDIRECT("'"&amp;$Q$2&amp;"'!N"&amp;ROW()))),"",N22-INDIRECT("'"&amp;$Q$2&amp;"'!N"&amp;ROW())),"")</f>
        <v/>
      </c>
      <c r="P22" s="2" t="n"/>
      <c r="Q22" s="2" t="n"/>
      <c r="R22" s="2" t="n"/>
      <c r="S22" s="18">
        <f>IFERROR(IF(ISBLANK(INDIRECT("'"&amp;$Q$2&amp;"'!G"&amp;ROW())),"",INDIRECT("'"&amp;$Q$2&amp;"'!G"&amp;ROW())),"")</f>
        <v/>
      </c>
      <c r="T22" s="20">
        <f>IF(OR($G22="",$S22=""),"",$G22-$S22)</f>
        <v/>
      </c>
      <c r="U22" s="18">
        <f>IFERROR(IF(ISBLANK(INDIRECT("'"&amp;$Q$2&amp;"'!K"&amp;ROW())),"",INDIRECT("'"&amp;$Q$2&amp;"'!K"&amp;ROW())),"")</f>
        <v/>
      </c>
      <c r="V22" s="20">
        <f>IF(OR($K22="",$U22=""),"",$K22-$U22)</f>
        <v/>
      </c>
      <c r="W22" s="21">
        <f>IFERROR(IF(ISBLANK(INDIRECT("'"&amp;$Q$2&amp;"'!O"&amp;ROW())),"",INDIRECT("'"&amp;$Q$2&amp;"'!O"&amp;ROW())),"")</f>
        <v/>
      </c>
      <c r="X22" s="21">
        <f>IF(OR($O22="",$W22=""),"",$O22-$W22)</f>
        <v/>
      </c>
      <c r="Y22" s="2" t="n"/>
      <c r="Z22" s="2" t="n"/>
    </row>
    <row r="23" ht="14.25" customHeight="1" s="58">
      <c r="A23" s="12" t="inlineStr">
        <is>
          <t>ВКонтакте</t>
        </is>
      </c>
      <c r="B23" s="12" t="inlineStr">
        <is>
          <t>Нярьяна Нгэрм</t>
        </is>
      </c>
      <c r="C23" s="13" t="n">
        <v>9</v>
      </c>
      <c r="D23" s="13" t="n">
        <v>15529</v>
      </c>
      <c r="E23" s="13">
        <f>IF($D23="","",IFERROR(IF(ISBLANK(INDIRECT("'"&amp;$Q$2&amp;"'!D"&amp;ROW())),"",INDIRECT("'"&amp;$Q$2&amp;"'!D"&amp;ROW())),""))</f>
        <v/>
      </c>
      <c r="F23" s="15">
        <f>IF(OR(D23="",E23=""),"",D23-E23)</f>
        <v/>
      </c>
      <c r="G23" s="16">
        <f>IFERROR(F23/E23,"")</f>
        <v/>
      </c>
      <c r="H23" s="13" t="n">
        <v>0</v>
      </c>
      <c r="I23" s="13">
        <f>IF($H23="","",IFERROR(IF(ISBLANK(INDIRECT("'"&amp;$Q$2&amp;"'!H"&amp;ROW())),"",INDIRECT("'"&amp;$Q$2&amp;"'!H"&amp;ROW())),""))</f>
        <v/>
      </c>
      <c r="J23" s="15">
        <f>IF(OR(H23="",I23=""),"",H23-I23)</f>
        <v/>
      </c>
      <c r="K23" s="16">
        <f>IFERROR(J23/I23,"")</f>
        <v/>
      </c>
      <c r="L23" s="13">
        <f>IFERROR(D23/C23,"")</f>
        <v/>
      </c>
      <c r="M23" s="13">
        <f>IFERROR(H23/D23*1000,"")</f>
        <v/>
      </c>
      <c r="N23" s="13" t="n">
        <v>5621</v>
      </c>
      <c r="O23" s="15">
        <f>IFERROR(IF(OR(N23="",ISBLANK(INDIRECT("'"&amp;$Q$2&amp;"'!N"&amp;ROW()))),"",N23-INDIRECT("'"&amp;$Q$2&amp;"'!N"&amp;ROW())),"")</f>
        <v/>
      </c>
      <c r="P23" s="2" t="n"/>
      <c r="Q23" s="2" t="n"/>
      <c r="R23" s="2" t="n"/>
      <c r="S23" s="18">
        <f>IFERROR(IF(ISBLANK(INDIRECT("'"&amp;$Q$2&amp;"'!G"&amp;ROW())),"",INDIRECT("'"&amp;$Q$2&amp;"'!G"&amp;ROW())),"")</f>
        <v/>
      </c>
      <c r="T23" s="20">
        <f>IF(OR($G23="",$S23=""),"",$G23-$S23)</f>
        <v/>
      </c>
      <c r="U23" s="18">
        <f>IFERROR(IF(ISBLANK(INDIRECT("'"&amp;$Q$2&amp;"'!K"&amp;ROW())),"",INDIRECT("'"&amp;$Q$2&amp;"'!K"&amp;ROW())),"")</f>
        <v/>
      </c>
      <c r="V23" s="20">
        <f>IF(OR($K23="",$U23=""),"",$K23-$U23)</f>
        <v/>
      </c>
      <c r="W23" s="21">
        <f>IFERROR(IF(ISBLANK(INDIRECT("'"&amp;$Q$2&amp;"'!O"&amp;ROW())),"",INDIRECT("'"&amp;$Q$2&amp;"'!O"&amp;ROW())),"")</f>
        <v/>
      </c>
      <c r="X23" s="21">
        <f>IF(OR($O23="",$W23=""),"",$O23-$W23)</f>
        <v/>
      </c>
      <c r="Y23" s="2" t="n"/>
      <c r="Z23" s="2" t="n"/>
    </row>
    <row r="24" ht="14.25" customHeight="1" s="58">
      <c r="A24" s="12" t="inlineStr">
        <is>
          <t>ВКонтакте</t>
        </is>
      </c>
      <c r="B24" s="12" t="inlineStr">
        <is>
          <t>Лух Авт</t>
        </is>
      </c>
      <c r="C24" s="13" t="n">
        <v>7</v>
      </c>
      <c r="D24" s="13" t="n">
        <v>9932</v>
      </c>
      <c r="E24" s="13">
        <f>IF($D24="","",IFERROR(IF(ISBLANK(INDIRECT("'"&amp;$Q$2&amp;"'!D"&amp;ROW())),"",INDIRECT("'"&amp;$Q$2&amp;"'!D"&amp;ROW())),""))</f>
        <v/>
      </c>
      <c r="F24" s="15">
        <f>IF(OR(D24="",E24=""),"",D24-E24)</f>
        <v/>
      </c>
      <c r="G24" s="16">
        <f>IFERROR(F24/E24,"")</f>
        <v/>
      </c>
      <c r="H24" s="13" t="n">
        <v>301</v>
      </c>
      <c r="I24" s="13">
        <f>IF($H24="","",IFERROR(IF(ISBLANK(INDIRECT("'"&amp;$Q$2&amp;"'!H"&amp;ROW())),"",INDIRECT("'"&amp;$Q$2&amp;"'!H"&amp;ROW())),""))</f>
        <v/>
      </c>
      <c r="J24" s="15">
        <f>IF(OR(H24="",I24=""),"",H24-I24)</f>
        <v/>
      </c>
      <c r="K24" s="16">
        <f>IFERROR(J24/I24,"")</f>
        <v/>
      </c>
      <c r="L24" s="13">
        <f>IFERROR(D24/C24,"")</f>
        <v/>
      </c>
      <c r="M24" s="13">
        <f>IFERROR(H24/D24*1000,"")</f>
        <v/>
      </c>
      <c r="N24" s="13" t="n">
        <v>2323</v>
      </c>
      <c r="O24" s="15">
        <f>IFERROR(IF(OR(N24="",ISBLANK(INDIRECT("'"&amp;$Q$2&amp;"'!N"&amp;ROW()))),"",N24-INDIRECT("'"&amp;$Q$2&amp;"'!N"&amp;ROW())),"")</f>
        <v/>
      </c>
      <c r="P24" s="2" t="n"/>
      <c r="Q24" s="2" t="n"/>
      <c r="R24" s="2" t="n"/>
      <c r="S24" s="18">
        <f>IFERROR(IF(ISBLANK(INDIRECT("'"&amp;$Q$2&amp;"'!G"&amp;ROW())),"",INDIRECT("'"&amp;$Q$2&amp;"'!G"&amp;ROW())),"")</f>
        <v/>
      </c>
      <c r="T24" s="20">
        <f>IF(OR($G24="",$S24=""),"",$G24-$S24)</f>
        <v/>
      </c>
      <c r="U24" s="18">
        <f>IFERROR(IF(ISBLANK(INDIRECT("'"&amp;$Q$2&amp;"'!K"&amp;ROW())),"",INDIRECT("'"&amp;$Q$2&amp;"'!K"&amp;ROW())),"")</f>
        <v/>
      </c>
      <c r="V24" s="20">
        <f>IF(OR($K24="",$U24=""),"",$K24-$U24)</f>
        <v/>
      </c>
      <c r="W24" s="21">
        <f>IFERROR(IF(ISBLANK(INDIRECT("'"&amp;$Q$2&amp;"'!O"&amp;ROW())),"",INDIRECT("'"&amp;$Q$2&amp;"'!O"&amp;ROW())),"")</f>
        <v/>
      </c>
      <c r="X24" s="21">
        <f>IF(OR($O24="",$W24=""),"",$O24-$W24)</f>
        <v/>
      </c>
      <c r="Y24" s="2" t="n"/>
      <c r="Z24" s="2" t="n"/>
    </row>
    <row r="25" ht="14.25" customHeight="1" s="58">
      <c r="A25" s="12" t="inlineStr">
        <is>
          <t>ВКонтакте</t>
        </is>
      </c>
      <c r="B25" s="12" t="inlineStr">
        <is>
          <t>Ямальский меридиан</t>
        </is>
      </c>
      <c r="C25" s="13" t="n">
        <v>7</v>
      </c>
      <c r="D25" s="13" t="n">
        <v>20821</v>
      </c>
      <c r="E25" s="13">
        <f>IF($D25="","",IFERROR(IF(ISBLANK(INDIRECT("'"&amp;$Q$2&amp;"'!D"&amp;ROW())),"",INDIRECT("'"&amp;$Q$2&amp;"'!D"&amp;ROW())),""))</f>
        <v/>
      </c>
      <c r="F25" s="15">
        <f>IF(OR(D25="",E25=""),"",D25-E25)</f>
        <v/>
      </c>
      <c r="G25" s="16">
        <f>IFERROR(F25/E25,"")</f>
        <v/>
      </c>
      <c r="H25" s="13" t="n">
        <v>179</v>
      </c>
      <c r="I25" s="13">
        <f>IF($H25="","",IFERROR(IF(ISBLANK(INDIRECT("'"&amp;$Q$2&amp;"'!H"&amp;ROW())),"",INDIRECT("'"&amp;$Q$2&amp;"'!H"&amp;ROW())),""))</f>
        <v/>
      </c>
      <c r="J25" s="15">
        <f>IF(OR(H25="",I25=""),"",H25-I25)</f>
        <v/>
      </c>
      <c r="K25" s="16">
        <f>IFERROR(J25/I25,"")</f>
        <v/>
      </c>
      <c r="L25" s="13">
        <f>IFERROR(D25/C25,"")</f>
        <v/>
      </c>
      <c r="M25" s="13">
        <f>IFERROR(H25/D25*1000,"")</f>
        <v/>
      </c>
      <c r="N25" s="13" t="n">
        <v>6186</v>
      </c>
      <c r="O25" s="15">
        <f>IFERROR(IF(OR(N25="",ISBLANK(INDIRECT("'"&amp;$Q$2&amp;"'!N"&amp;ROW()))),"",N25-INDIRECT("'"&amp;$Q$2&amp;"'!N"&amp;ROW())),"")</f>
        <v/>
      </c>
      <c r="P25" s="2" t="n"/>
      <c r="Q25" s="2" t="n"/>
      <c r="R25" s="2" t="n"/>
      <c r="S25" s="18">
        <f>IFERROR(IF(ISBLANK(INDIRECT("'"&amp;$Q$2&amp;"'!G"&amp;ROW())),"",INDIRECT("'"&amp;$Q$2&amp;"'!G"&amp;ROW())),"")</f>
        <v/>
      </c>
      <c r="T25" s="20">
        <f>IF(OR($G25="",$S25=""),"",$G25-$S25)</f>
        <v/>
      </c>
      <c r="U25" s="18">
        <f>IFERROR(IF(ISBLANK(INDIRECT("'"&amp;$Q$2&amp;"'!K"&amp;ROW())),"",INDIRECT("'"&amp;$Q$2&amp;"'!K"&amp;ROW())),"")</f>
        <v/>
      </c>
      <c r="V25" s="20">
        <f>IF(OR($K25="",$U25=""),"",$K25-$U25)</f>
        <v/>
      </c>
      <c r="W25" s="21">
        <f>IFERROR(IF(ISBLANK(INDIRECT("'"&amp;$Q$2&amp;"'!O"&amp;ROW())),"",INDIRECT("'"&amp;$Q$2&amp;"'!O"&amp;ROW())),"")</f>
        <v/>
      </c>
      <c r="X25" s="21">
        <f>IF(OR($O25="",$W25=""),"",$O25-$W25)</f>
        <v/>
      </c>
      <c r="Y25" s="2" t="n"/>
      <c r="Z25" s="2" t="n"/>
    </row>
    <row r="26" ht="14.25" customHeight="1" s="58">
      <c r="A26" s="12" t="inlineStr">
        <is>
          <t>ВКонтакте</t>
        </is>
      </c>
      <c r="B26" s="12" t="inlineStr">
        <is>
          <t>МК-Ямал</t>
        </is>
      </c>
      <c r="C26" s="13" t="n">
        <v>238</v>
      </c>
      <c r="D26" s="13" t="n">
        <v>98990</v>
      </c>
      <c r="E26" s="13">
        <f>IF($D26="","",IFERROR(IF(ISBLANK(INDIRECT("'"&amp;$Q$2&amp;"'!D"&amp;ROW())),"",INDIRECT("'"&amp;$Q$2&amp;"'!D"&amp;ROW())),""))</f>
        <v/>
      </c>
      <c r="F26" s="15">
        <f>IF(OR(D26="",E26=""),"",D26-E26)</f>
        <v/>
      </c>
      <c r="G26" s="16">
        <f>IFERROR(F26/E26,"")</f>
        <v/>
      </c>
      <c r="H26" s="13" t="n">
        <v>438</v>
      </c>
      <c r="I26" s="13">
        <f>IF($H26="","",IFERROR(IF(ISBLANK(INDIRECT("'"&amp;$Q$2&amp;"'!H"&amp;ROW())),"",INDIRECT("'"&amp;$Q$2&amp;"'!H"&amp;ROW())),""))</f>
        <v/>
      </c>
      <c r="J26" s="15">
        <f>IF(OR(H26="",I26=""),"",H26-I26)</f>
        <v/>
      </c>
      <c r="K26" s="16">
        <f>IFERROR(J26/I26,"")</f>
        <v/>
      </c>
      <c r="L26" s="13">
        <f>IFERROR(D26/C26,"")</f>
        <v/>
      </c>
      <c r="M26" s="13">
        <f>IFERROR(H26/D26*1000,"")</f>
        <v/>
      </c>
      <c r="N26" s="13" t="n">
        <v>7932</v>
      </c>
      <c r="O26" s="15">
        <f>IFERROR(IF(OR(N26="",ISBLANK(INDIRECT("'"&amp;$Q$2&amp;"'!N"&amp;ROW()))),"",N26-INDIRECT("'"&amp;$Q$2&amp;"'!N"&amp;ROW())),"")</f>
        <v/>
      </c>
      <c r="P26" s="2" t="n"/>
      <c r="Q26" s="2" t="n"/>
      <c r="R26" s="2" t="n"/>
      <c r="S26" s="18">
        <f>IFERROR(IF(ISBLANK(INDIRECT("'"&amp;$Q$2&amp;"'!G"&amp;ROW())),"",INDIRECT("'"&amp;$Q$2&amp;"'!G"&amp;ROW())),"")</f>
        <v/>
      </c>
      <c r="T26" s="20">
        <f>IF(OR($G26="",$S26=""),"",$G26-$S26)</f>
        <v/>
      </c>
      <c r="U26" s="18">
        <f>IFERROR(IF(ISBLANK(INDIRECT("'"&amp;$Q$2&amp;"'!K"&amp;ROW())),"",INDIRECT("'"&amp;$Q$2&amp;"'!K"&amp;ROW())),"")</f>
        <v/>
      </c>
      <c r="V26" s="20">
        <f>IF(OR($K26="",$U26=""),"",$K26-$U26)</f>
        <v/>
      </c>
      <c r="W26" s="21">
        <f>IFERROR(IF(ISBLANK(INDIRECT("'"&amp;$Q$2&amp;"'!O"&amp;ROW())),"",INDIRECT("'"&amp;$Q$2&amp;"'!O"&amp;ROW())),"")</f>
        <v/>
      </c>
      <c r="X26" s="21">
        <f>IF(OR($O26="",$W26=""),"",$O26-$W26)</f>
        <v/>
      </c>
      <c r="Y26" s="2" t="n"/>
      <c r="Z26" s="2" t="n"/>
    </row>
    <row r="27" ht="14.25" customHeight="1" s="58">
      <c r="A27" s="12" t="inlineStr">
        <is>
          <t>ВКонтакте</t>
        </is>
      </c>
      <c r="B27" s="12" t="inlineStr">
        <is>
          <t>Арктика Вконтакте</t>
        </is>
      </c>
      <c r="C27" s="13" t="n">
        <v>10</v>
      </c>
      <c r="D27" s="13" t="n">
        <v>1834</v>
      </c>
      <c r="E27" s="13">
        <f>IF($D27="","",IFERROR(IF(ISBLANK(INDIRECT("'"&amp;$Q$2&amp;"'!D"&amp;ROW())),"",INDIRECT("'"&amp;$Q$2&amp;"'!D"&amp;ROW())),""))</f>
        <v/>
      </c>
      <c r="F27" s="15">
        <f>IF(OR(D27="",E27=""),"",D27-E27)</f>
        <v/>
      </c>
      <c r="G27" s="16">
        <f>IFERROR(F27/E27,"")</f>
        <v/>
      </c>
      <c r="H27" s="13" t="n">
        <v>36</v>
      </c>
      <c r="I27" s="13">
        <f>IF($H27="","",IFERROR(IF(ISBLANK(INDIRECT("'"&amp;$Q$2&amp;"'!H"&amp;ROW())),"",INDIRECT("'"&amp;$Q$2&amp;"'!H"&amp;ROW())),""))</f>
        <v/>
      </c>
      <c r="J27" s="15">
        <f>IF(OR(H27="",I27=""),"",H27-I27)</f>
        <v/>
      </c>
      <c r="K27" s="16">
        <f>IFERROR(J27/I27,"")</f>
        <v/>
      </c>
      <c r="L27" s="13">
        <f>IFERROR(D27/C27,"")</f>
        <v/>
      </c>
      <c r="M27" s="13">
        <f>IFERROR(H27/D27*1000,"")</f>
        <v/>
      </c>
      <c r="N27" s="13" t="n">
        <v>16712</v>
      </c>
      <c r="O27" s="15">
        <f>IFERROR(IF(OR(N27="",ISBLANK(INDIRECT("'"&amp;$Q$2&amp;"'!N"&amp;ROW()))),"",N27-INDIRECT("'"&amp;$Q$2&amp;"'!N"&amp;ROW())),"")</f>
        <v/>
      </c>
      <c r="P27" s="2" t="n"/>
      <c r="Q27" s="2" t="n"/>
      <c r="R27" s="2" t="n"/>
      <c r="S27" s="18">
        <f>IFERROR(IF(ISBLANK(INDIRECT("'"&amp;$Q$2&amp;"'!G"&amp;ROW())),"",INDIRECT("'"&amp;$Q$2&amp;"'!G"&amp;ROW())),"")</f>
        <v/>
      </c>
      <c r="T27" s="20">
        <f>IF(OR($G27="",$S27=""),"",$G27-$S27)</f>
        <v/>
      </c>
      <c r="U27" s="18">
        <f>IFERROR(IF(ISBLANK(INDIRECT("'"&amp;$Q$2&amp;"'!K"&amp;ROW())),"",INDIRECT("'"&amp;$Q$2&amp;"'!K"&amp;ROW())),"")</f>
        <v/>
      </c>
      <c r="V27" s="20">
        <f>IF(OR($K27="",$U27=""),"",$K27-$U27)</f>
        <v/>
      </c>
      <c r="W27" s="21">
        <f>IFERROR(IF(ISBLANK(INDIRECT("'"&amp;$Q$2&amp;"'!O"&amp;ROW())),"",INDIRECT("'"&amp;$Q$2&amp;"'!O"&amp;ROW())),"")</f>
        <v/>
      </c>
      <c r="X27" s="21">
        <f>IF(OR($O27="",$W27=""),"",$O27-$W27)</f>
        <v/>
      </c>
      <c r="Y27" s="2" t="n"/>
      <c r="Z27" s="2" t="n"/>
    </row>
    <row r="28" ht="14.25" customHeight="1" s="58">
      <c r="A28" s="12" t="inlineStr">
        <is>
          <t>ВКонтакте</t>
        </is>
      </c>
      <c r="B28" s="12" t="inlineStr">
        <is>
          <t>Ямал Live</t>
        </is>
      </c>
      <c r="C28" s="13" t="n">
        <v>20</v>
      </c>
      <c r="D28" s="13" t="n">
        <v>5398</v>
      </c>
      <c r="E28" s="13">
        <f>IF($D28="","",IFERROR(IF(ISBLANK(INDIRECT("'"&amp;$Q$2&amp;"'!D"&amp;ROW())),"",INDIRECT("'"&amp;$Q$2&amp;"'!D"&amp;ROW())),""))</f>
        <v/>
      </c>
      <c r="F28" s="15">
        <f>IF(OR(D28="",E28=""),"",D28-E28)</f>
        <v/>
      </c>
      <c r="G28" s="16">
        <f>IFERROR(F28/E28,"")</f>
        <v/>
      </c>
      <c r="H28" s="13" t="n">
        <v>50</v>
      </c>
      <c r="I28" s="13">
        <f>IF($H28="","",IFERROR(IF(ISBLANK(INDIRECT("'"&amp;$Q$2&amp;"'!H"&amp;ROW())),"",INDIRECT("'"&amp;$Q$2&amp;"'!H"&amp;ROW())),""))</f>
        <v/>
      </c>
      <c r="J28" s="15">
        <f>IF(OR(H28="",I28=""),"",H28-I28)</f>
        <v/>
      </c>
      <c r="K28" s="16">
        <f>IFERROR(J28/I28,"")</f>
        <v/>
      </c>
      <c r="L28" s="13">
        <f>IFERROR(D28/C28,"")</f>
        <v/>
      </c>
      <c r="M28" s="13">
        <f>IFERROR(H28/D28*1000,"")</f>
        <v/>
      </c>
      <c r="N28" s="13" t="n">
        <v>21919</v>
      </c>
      <c r="O28" s="15">
        <f>IFERROR(IF(OR(N28="",ISBLANK(INDIRECT("'"&amp;$Q$2&amp;"'!N"&amp;ROW()))),"",N28-INDIRECT("'"&amp;$Q$2&amp;"'!N"&amp;ROW())),"")</f>
        <v/>
      </c>
      <c r="P28" s="2" t="n"/>
      <c r="Q28" s="2" t="n"/>
      <c r="R28" s="2" t="n"/>
      <c r="S28" s="18">
        <f>IFERROR(IF(ISBLANK(INDIRECT("'"&amp;$Q$2&amp;"'!G"&amp;ROW())),"",INDIRECT("'"&amp;$Q$2&amp;"'!G"&amp;ROW())),"")</f>
        <v/>
      </c>
      <c r="T28" s="20">
        <f>IF(OR($G28="",$S28=""),"",$G28-$S28)</f>
        <v/>
      </c>
      <c r="U28" s="18">
        <f>IFERROR(IF(ISBLANK(INDIRECT("'"&amp;$Q$2&amp;"'!K"&amp;ROW())),"",INDIRECT("'"&amp;$Q$2&amp;"'!K"&amp;ROW())),"")</f>
        <v/>
      </c>
      <c r="V28" s="20">
        <f>IF(OR($K28="",$U28=""),"",$K28-$U28)</f>
        <v/>
      </c>
      <c r="W28" s="21">
        <f>IFERROR(IF(ISBLANK(INDIRECT("'"&amp;$Q$2&amp;"'!O"&amp;ROW())),"",INDIRECT("'"&amp;$Q$2&amp;"'!O"&amp;ROW())),"")</f>
        <v/>
      </c>
      <c r="X28" s="21">
        <f>IF(OR($O28="",$W28=""),"",$O28-$W28)</f>
        <v/>
      </c>
      <c r="Y28" s="2" t="n"/>
      <c r="Z28" s="2" t="n"/>
    </row>
    <row r="29" ht="14.25" customHeight="1" s="58">
      <c r="A29" s="12" t="inlineStr">
        <is>
          <t>ВКонтакте</t>
        </is>
      </c>
      <c r="B29" s="12" t="inlineStr">
        <is>
          <t>Морошка</t>
        </is>
      </c>
      <c r="C29" s="13" t="n">
        <v>6</v>
      </c>
      <c r="D29" s="13" t="n">
        <v>3666</v>
      </c>
      <c r="E29" s="13">
        <f>IF($D29="","",IFERROR(IF(ISBLANK(INDIRECT("'"&amp;$Q$2&amp;"'!D"&amp;ROW())),"",INDIRECT("'"&amp;$Q$2&amp;"'!D"&amp;ROW())),""))</f>
        <v/>
      </c>
      <c r="F29" s="15">
        <f>IF(OR(D29="",E29=""),"",D29-E29)</f>
        <v/>
      </c>
      <c r="G29" s="16">
        <f>IFERROR(F29/E29,"")</f>
        <v/>
      </c>
      <c r="H29" s="13" t="n">
        <v>85</v>
      </c>
      <c r="I29" s="13">
        <f>IF($H29="","",IFERROR(IF(ISBLANK(INDIRECT("'"&amp;$Q$2&amp;"'!H"&amp;ROW())),"",INDIRECT("'"&amp;$Q$2&amp;"'!H"&amp;ROW())),""))</f>
        <v/>
      </c>
      <c r="J29" s="15">
        <f>IF(OR(H29="",I29=""),"",H29-I29)</f>
        <v/>
      </c>
      <c r="K29" s="16">
        <f>IFERROR(J29/I29,"")</f>
        <v/>
      </c>
      <c r="L29" s="13">
        <f>IFERROR(D29/C29,"")</f>
        <v/>
      </c>
      <c r="M29" s="13">
        <f>IFERROR(H29/D29*1000,"")</f>
        <v/>
      </c>
      <c r="N29" s="13" t="n">
        <v>9602</v>
      </c>
      <c r="O29" s="15">
        <f>IFERROR(IF(OR(N29="",ISBLANK(INDIRECT("'"&amp;$Q$2&amp;"'!N"&amp;ROW()))),"",N29-INDIRECT("'"&amp;$Q$2&amp;"'!N"&amp;ROW())),"")</f>
        <v/>
      </c>
      <c r="P29" s="2" t="n"/>
      <c r="Q29" s="2" t="n"/>
      <c r="R29" s="2" t="n"/>
      <c r="S29" s="18">
        <f>IFERROR(IF(ISBLANK(INDIRECT("'"&amp;$Q$2&amp;"'!G"&amp;ROW())),"",INDIRECT("'"&amp;$Q$2&amp;"'!G"&amp;ROW())),"")</f>
        <v/>
      </c>
      <c r="T29" s="20">
        <f>IF(OR($G29="",$S29=""),"",$G29-$S29)</f>
        <v/>
      </c>
      <c r="U29" s="18">
        <f>IFERROR(IF(ISBLANK(INDIRECT("'"&amp;$Q$2&amp;"'!K"&amp;ROW())),"",INDIRECT("'"&amp;$Q$2&amp;"'!K"&amp;ROW())),"")</f>
        <v/>
      </c>
      <c r="V29" s="20">
        <f>IF(OR($K29="",$U29=""),"",$K29-$U29)</f>
        <v/>
      </c>
      <c r="W29" s="21">
        <f>IFERROR(IF(ISBLANK(INDIRECT("'"&amp;$Q$2&amp;"'!O"&amp;ROW())),"",INDIRECT("'"&amp;$Q$2&amp;"'!O"&amp;ROW())),"")</f>
        <v/>
      </c>
      <c r="X29" s="21">
        <f>IF(OR($O29="",$W29=""),"",$O29-$W29)</f>
        <v/>
      </c>
      <c r="Y29" s="2" t="n"/>
      <c r="Z29" s="2" t="n"/>
    </row>
    <row r="30" ht="14.25" customHeight="1" s="58">
      <c r="A30" s="25" t="n"/>
      <c r="B30" s="25" t="inlineStr">
        <is>
          <t>Итого ВКонтакте</t>
        </is>
      </c>
      <c r="C30" s="26">
        <f>SUM(C3:C29)</f>
        <v/>
      </c>
      <c r="D30" s="26">
        <f>SUM(D3:D29)</f>
        <v/>
      </c>
      <c r="E30" s="26">
        <f>SUM(E3:E29)</f>
        <v/>
      </c>
      <c r="F30" s="27">
        <f>SUM(F3:F29)</f>
        <v/>
      </c>
      <c r="G30" s="28">
        <f>IF(C30=0,"",IFERROR(F30/E30,""))</f>
        <v/>
      </c>
      <c r="H30" s="26">
        <f>SUM(H3:H29)</f>
        <v/>
      </c>
      <c r="I30" s="26">
        <f>SUM(I3:I29)</f>
        <v/>
      </c>
      <c r="J30" s="27">
        <f>SUM(J3:J29)</f>
        <v/>
      </c>
      <c r="K30" s="28">
        <f>IF(C30=0,"",IFERROR(J30/I30,""))</f>
        <v/>
      </c>
      <c r="L30" s="26">
        <f>IFERROR(D30/C30,"")</f>
        <v/>
      </c>
      <c r="M30" s="26">
        <f>IFERROR(H30/D30*1000,"")</f>
        <v/>
      </c>
      <c r="N30" s="26">
        <f>SUM(N3:N29)</f>
        <v/>
      </c>
      <c r="O30" s="27">
        <f>SUM(O3:O29)</f>
        <v/>
      </c>
      <c r="P30" s="2" t="n"/>
      <c r="Q30" s="2" t="n"/>
      <c r="R30" s="2" t="n"/>
      <c r="S30" s="29">
        <f>IFERROR(IF(ISBLANK(INDIRECT("'"&amp;$Q$2&amp;"'!G"&amp;ROW())),"",INDIRECT("'"&amp;$Q$2&amp;"'!G"&amp;ROW())),"")</f>
        <v/>
      </c>
      <c r="T30" s="30">
        <f>IF(OR($G30="",$S30=""),"",$G30-$S30)</f>
        <v/>
      </c>
      <c r="U30" s="29">
        <f>IFERROR(IF(ISBLANK(INDIRECT("'"&amp;$Q$2&amp;"'!K"&amp;ROW())),"",INDIRECT("'"&amp;$Q$2&amp;"'!K"&amp;ROW())),"")</f>
        <v/>
      </c>
      <c r="V30" s="30">
        <f>IF(OR($K30="",$U30=""),"",$K30-$U30)</f>
        <v/>
      </c>
      <c r="W30" s="31">
        <f>IFERROR(IF(ISBLANK(INDIRECT("'"&amp;$Q$2&amp;"'!O"&amp;ROW())),"",INDIRECT("'"&amp;$Q$2&amp;"'!O"&amp;ROW())),"")</f>
        <v/>
      </c>
      <c r="X30" s="31">
        <f>IF(OR(C30=0,$O30="",$W30=""),"",$O30-$W30)</f>
        <v/>
      </c>
      <c r="Y30" s="2" t="n"/>
      <c r="Z30" s="2" t="n"/>
    </row>
    <row r="31" ht="14.25" customHeight="1" s="58">
      <c r="A31" s="12" t="inlineStr">
        <is>
          <t>Одноклассники</t>
        </is>
      </c>
      <c r="B31" s="12" t="inlineStr">
        <is>
          <t>Ямал-Медиа</t>
        </is>
      </c>
      <c r="C31" s="13" t="n">
        <v>156</v>
      </c>
      <c r="D31" s="13" t="n">
        <v>36700</v>
      </c>
      <c r="E31" s="13">
        <f>IF($D31="","",IFERROR(IF(ISBLANK(INDIRECT("'"&amp;$Q$2&amp;"'!D"&amp;ROW())),"",INDIRECT("'"&amp;$Q$2&amp;"'!D"&amp;ROW())),""))</f>
        <v/>
      </c>
      <c r="F31" s="15">
        <f>IF(OR(D31="",E31=""),"",D31-E31)</f>
        <v/>
      </c>
      <c r="G31" s="16">
        <f>IFERROR(F31/E31,"")</f>
        <v/>
      </c>
      <c r="H31" s="13" t="n">
        <v>116</v>
      </c>
      <c r="I31" s="13">
        <f>IF($H31="","",IFERROR(IF(ISBLANK(INDIRECT("'"&amp;$Q$2&amp;"'!H"&amp;ROW())),"",INDIRECT("'"&amp;$Q$2&amp;"'!H"&amp;ROW())),""))</f>
        <v/>
      </c>
      <c r="J31" s="15">
        <f>IF(OR(H31="",I31=""),"",H31-I31)</f>
        <v/>
      </c>
      <c r="K31" s="16">
        <f>IFERROR(J31/I31,"")</f>
        <v/>
      </c>
      <c r="L31" s="13">
        <f>IFERROR(D31/C31,"")</f>
        <v/>
      </c>
      <c r="M31" s="13">
        <f>IFERROR(H31/D31*1000,"")</f>
        <v/>
      </c>
      <c r="N31" s="13" t="n">
        <v>32488</v>
      </c>
      <c r="O31" s="15">
        <f>IFERROR(IF(OR(N31="",ISBLANK(INDIRECT("'"&amp;$Q$2&amp;"'!N"&amp;ROW()))),"",N31-INDIRECT("'"&amp;$Q$2&amp;"'!N"&amp;ROW())),"")</f>
        <v/>
      </c>
      <c r="P31" s="2" t="n"/>
      <c r="Q31" s="2" t="n"/>
      <c r="R31" s="2" t="n"/>
      <c r="S31" s="18">
        <f>IFERROR(IF(ISBLANK(INDIRECT("'"&amp;$Q$2&amp;"'!G"&amp;ROW())),"",INDIRECT("'"&amp;$Q$2&amp;"'!G"&amp;ROW())),"")</f>
        <v/>
      </c>
      <c r="T31" s="20">
        <f>IF(OR($G31="",$S31=""),"",$G31-$S31)</f>
        <v/>
      </c>
      <c r="U31" s="18">
        <f>IFERROR(IF(ISBLANK(INDIRECT("'"&amp;$Q$2&amp;"'!K"&amp;ROW())),"",INDIRECT("'"&amp;$Q$2&amp;"'!K"&amp;ROW())),"")</f>
        <v/>
      </c>
      <c r="V31" s="20">
        <f>IF(OR($K31="",$U31=""),"",$K31-$U31)</f>
        <v/>
      </c>
      <c r="W31" s="21">
        <f>IFERROR(IF(ISBLANK(INDIRECT("'"&amp;$Q$2&amp;"'!O"&amp;ROW())),"",INDIRECT("'"&amp;$Q$2&amp;"'!O"&amp;ROW())),"")</f>
        <v/>
      </c>
      <c r="X31" s="21">
        <f>IF(OR($O31="",$W31=""),"",$O31-$W31)</f>
        <v/>
      </c>
      <c r="Y31" s="2" t="n"/>
      <c r="Z31" s="2" t="n"/>
    </row>
    <row r="32" ht="14.25" customHeight="1" s="58">
      <c r="A32" s="12" t="inlineStr">
        <is>
          <t>Одноклассники</t>
        </is>
      </c>
      <c r="B32" s="12" t="inlineStr">
        <is>
          <t>Север-Пресс</t>
        </is>
      </c>
      <c r="C32" s="13" t="n">
        <v>155</v>
      </c>
      <c r="D32" s="13" t="n">
        <v>42212</v>
      </c>
      <c r="E32" s="13">
        <f>IF($D32="","",IFERROR(IF(ISBLANK(INDIRECT("'"&amp;$Q$2&amp;"'!D"&amp;ROW())),"",INDIRECT("'"&amp;$Q$2&amp;"'!D"&amp;ROW())),""))</f>
        <v/>
      </c>
      <c r="F32" s="15">
        <f>IF(OR(D32="",E32=""),"",D32-E32)</f>
        <v/>
      </c>
      <c r="G32" s="16">
        <f>IFERROR(F32/E32,"")</f>
        <v/>
      </c>
      <c r="H32" s="13" t="n">
        <v>92</v>
      </c>
      <c r="I32" s="13">
        <f>IF($H32="","",IFERROR(IF(ISBLANK(INDIRECT("'"&amp;$Q$2&amp;"'!H"&amp;ROW())),"",INDIRECT("'"&amp;$Q$2&amp;"'!H"&amp;ROW())),""))</f>
        <v/>
      </c>
      <c r="J32" s="15">
        <f>IF(OR(H32="",I32=""),"",H32-I32)</f>
        <v/>
      </c>
      <c r="K32" s="16">
        <f>IFERROR(J32/I32,"")</f>
        <v/>
      </c>
      <c r="L32" s="13">
        <f>IFERROR(D32/C32,"")</f>
        <v/>
      </c>
      <c r="M32" s="13">
        <f>IFERROR(H32/D32*1000,"")</f>
        <v/>
      </c>
      <c r="N32" s="13" t="n">
        <v>21737</v>
      </c>
      <c r="O32" s="15">
        <f>IFERROR(IF(OR(N32="",ISBLANK(INDIRECT("'"&amp;$Q$2&amp;"'!N"&amp;ROW()))),"",N32-INDIRECT("'"&amp;$Q$2&amp;"'!N"&amp;ROW())),"")</f>
        <v/>
      </c>
      <c r="P32" s="2" t="n"/>
      <c r="Q32" s="2" t="n"/>
      <c r="R32" s="2" t="n"/>
      <c r="S32" s="18">
        <f>IFERROR(IF(ISBLANK(INDIRECT("'"&amp;$Q$2&amp;"'!G"&amp;ROW())),"",INDIRECT("'"&amp;$Q$2&amp;"'!G"&amp;ROW())),"")</f>
        <v/>
      </c>
      <c r="T32" s="20">
        <f>IF(OR($G32="",$S32=""),"",$G32-$S32)</f>
        <v/>
      </c>
      <c r="U32" s="18">
        <f>IFERROR(IF(ISBLANK(INDIRECT("'"&amp;$Q$2&amp;"'!K"&amp;ROW())),"",INDIRECT("'"&amp;$Q$2&amp;"'!K"&amp;ROW())),"")</f>
        <v/>
      </c>
      <c r="V32" s="20">
        <f>IF(OR($K32="",$U32=""),"",$K32-$U32)</f>
        <v/>
      </c>
      <c r="W32" s="21">
        <f>IFERROR(IF(ISBLANK(INDIRECT("'"&amp;$Q$2&amp;"'!O"&amp;ROW())),"",INDIRECT("'"&amp;$Q$2&amp;"'!O"&amp;ROW())),"")</f>
        <v/>
      </c>
      <c r="X32" s="21">
        <f>IF(OR($O32="",$W32=""),"",$O32-$W32)</f>
        <v/>
      </c>
      <c r="Y32" s="2" t="n"/>
      <c r="Z32" s="2" t="n"/>
    </row>
    <row r="33" ht="14.25" customHeight="1" s="58">
      <c r="A33" s="12" t="inlineStr">
        <is>
          <t>Одноклассники</t>
        </is>
      </c>
      <c r="B33" s="12" t="inlineStr">
        <is>
          <t>Красный Север</t>
        </is>
      </c>
      <c r="C33" s="13" t="n">
        <v>98</v>
      </c>
      <c r="D33" s="13" t="n">
        <v>16771</v>
      </c>
      <c r="E33" s="13">
        <f>IF($D33="","",IFERROR(IF(ISBLANK(INDIRECT("'"&amp;$Q$2&amp;"'!D"&amp;ROW())),"",INDIRECT("'"&amp;$Q$2&amp;"'!D"&amp;ROW())),""))</f>
        <v/>
      </c>
      <c r="F33" s="15">
        <f>IF(OR(D33="",E33=""),"",D33-E33)</f>
        <v/>
      </c>
      <c r="G33" s="16">
        <f>IFERROR(F33/E33,"")</f>
        <v/>
      </c>
      <c r="H33" s="13" t="n">
        <v>5</v>
      </c>
      <c r="I33" s="13">
        <f>IF($H33="","",IFERROR(IF(ISBLANK(INDIRECT("'"&amp;$Q$2&amp;"'!H"&amp;ROW())),"",INDIRECT("'"&amp;$Q$2&amp;"'!H"&amp;ROW())),""))</f>
        <v/>
      </c>
      <c r="J33" s="15">
        <f>IF(OR(H33="",I33=""),"",H33-I33)</f>
        <v/>
      </c>
      <c r="K33" s="16">
        <f>IFERROR(J33/I33,"")</f>
        <v/>
      </c>
      <c r="L33" s="13">
        <f>IFERROR(D33/C33,"")</f>
        <v/>
      </c>
      <c r="M33" s="13">
        <f>IFERROR(H33/D33*1000,"")</f>
        <v/>
      </c>
      <c r="N33" s="13" t="n">
        <v>8957</v>
      </c>
      <c r="O33" s="15">
        <f>IFERROR(IF(OR(N33="",ISBLANK(INDIRECT("'"&amp;$Q$2&amp;"'!N"&amp;ROW()))),"",N33-INDIRECT("'"&amp;$Q$2&amp;"'!N"&amp;ROW())),"")</f>
        <v/>
      </c>
      <c r="P33" s="2" t="n"/>
      <c r="Q33" s="2" t="n"/>
      <c r="R33" s="2" t="n"/>
      <c r="S33" s="18">
        <f>IFERROR(IF(ISBLANK(INDIRECT("'"&amp;$Q$2&amp;"'!G"&amp;ROW())),"",INDIRECT("'"&amp;$Q$2&amp;"'!G"&amp;ROW())),"")</f>
        <v/>
      </c>
      <c r="T33" s="20">
        <f>IF(OR($G33="",$S33=""),"",$G33-$S33)</f>
        <v/>
      </c>
      <c r="U33" s="18">
        <f>IFERROR(IF(ISBLANK(INDIRECT("'"&amp;$Q$2&amp;"'!K"&amp;ROW())),"",INDIRECT("'"&amp;$Q$2&amp;"'!K"&amp;ROW())),"")</f>
        <v/>
      </c>
      <c r="V33" s="20">
        <f>IF(OR($K33="",$U33=""),"",$K33-$U33)</f>
        <v/>
      </c>
      <c r="W33" s="21">
        <f>IFERROR(IF(ISBLANK(INDIRECT("'"&amp;$Q$2&amp;"'!O"&amp;ROW())),"",INDIRECT("'"&amp;$Q$2&amp;"'!O"&amp;ROW())),"")</f>
        <v/>
      </c>
      <c r="X33" s="21">
        <f>IF(OR($O33="",$W33=""),"",$O33-$W33)</f>
        <v/>
      </c>
      <c r="Y33" s="2" t="n"/>
      <c r="Z33" s="2" t="n"/>
    </row>
    <row r="34" ht="14.25" customHeight="1" s="58">
      <c r="A34" s="12" t="inlineStr">
        <is>
          <t>Одноклассники</t>
        </is>
      </c>
      <c r="B34" s="12" t="inlineStr">
        <is>
          <t>Новый Уренгой</t>
        </is>
      </c>
      <c r="C34" s="13" t="n">
        <v>121</v>
      </c>
      <c r="D34" s="13" t="n">
        <v>721</v>
      </c>
      <c r="E34" s="13">
        <f>IF($D34="","",IFERROR(IF(ISBLANK(INDIRECT("'"&amp;$Q$2&amp;"'!D"&amp;ROW())),"",INDIRECT("'"&amp;$Q$2&amp;"'!D"&amp;ROW())),""))</f>
        <v/>
      </c>
      <c r="F34" s="15">
        <f>IF(OR(D34="",E34=""),"",D34-E34)</f>
        <v/>
      </c>
      <c r="G34" s="16">
        <f>IFERROR(F34/E34,"")</f>
        <v/>
      </c>
      <c r="H34" s="13" t="n">
        <v>0</v>
      </c>
      <c r="I34" s="13">
        <f>IF($H34="","",IFERROR(IF(ISBLANK(INDIRECT("'"&amp;$Q$2&amp;"'!H"&amp;ROW())),"",INDIRECT("'"&amp;$Q$2&amp;"'!H"&amp;ROW())),""))</f>
        <v/>
      </c>
      <c r="J34" s="15">
        <f>IF(OR(H34="",I34=""),"",H34-I34)</f>
        <v/>
      </c>
      <c r="K34" s="16">
        <f>IFERROR(J34/I34,"")</f>
        <v/>
      </c>
      <c r="L34" s="13">
        <f>IFERROR(D34/C34,"")</f>
        <v/>
      </c>
      <c r="M34" s="13">
        <f>IFERROR(H34/D34*1000,"")</f>
        <v/>
      </c>
      <c r="N34" s="13" t="n">
        <v>6</v>
      </c>
      <c r="O34" s="15">
        <f>IFERROR(IF(OR(N34="",ISBLANK(INDIRECT("'"&amp;$Q$2&amp;"'!N"&amp;ROW()))),"",N34-INDIRECT("'"&amp;$Q$2&amp;"'!N"&amp;ROW())),"")</f>
        <v/>
      </c>
      <c r="P34" s="2" t="n"/>
      <c r="Q34" s="2" t="n"/>
      <c r="R34" s="2" t="n"/>
      <c r="S34" s="18">
        <f>IFERROR(IF(ISBLANK(INDIRECT("'"&amp;$Q$2&amp;"'!G"&amp;ROW())),"",INDIRECT("'"&amp;$Q$2&amp;"'!G"&amp;ROW())),"")</f>
        <v/>
      </c>
      <c r="T34" s="20">
        <f>IF(OR($G34="",$S34=""),"",$G34-$S34)</f>
        <v/>
      </c>
      <c r="U34" s="18">
        <f>IFERROR(IF(ISBLANK(INDIRECT("'"&amp;$Q$2&amp;"'!K"&amp;ROW())),"",INDIRECT("'"&amp;$Q$2&amp;"'!K"&amp;ROW())),"")</f>
        <v/>
      </c>
      <c r="V34" s="20">
        <f>IF(OR($K34="",$U34=""),"",$K34-$U34)</f>
        <v/>
      </c>
      <c r="W34" s="21">
        <f>IFERROR(IF(ISBLANK(INDIRECT("'"&amp;$Q$2&amp;"'!O"&amp;ROW())),"",INDIRECT("'"&amp;$Q$2&amp;"'!O"&amp;ROW())),"")</f>
        <v/>
      </c>
      <c r="X34" s="21">
        <f>IF(OR($O34="",$W34=""),"",$O34-$W34)</f>
        <v/>
      </c>
      <c r="Y34" s="2" t="n"/>
      <c r="Z34" s="2" t="n"/>
    </row>
    <row r="35" ht="14.25" customHeight="1" s="58">
      <c r="A35" s="12" t="inlineStr">
        <is>
          <t>Одноклассники</t>
        </is>
      </c>
      <c r="B35" s="12" t="inlineStr">
        <is>
          <t>Надым</t>
        </is>
      </c>
      <c r="C35" s="13" t="n">
        <v>138</v>
      </c>
      <c r="D35" s="13" t="n">
        <v>9472</v>
      </c>
      <c r="E35" s="13">
        <f>IF($D35="","",IFERROR(IF(ISBLANK(INDIRECT("'"&amp;$Q$2&amp;"'!D"&amp;ROW())),"",INDIRECT("'"&amp;$Q$2&amp;"'!D"&amp;ROW())),""))</f>
        <v/>
      </c>
      <c r="F35" s="15">
        <f>IF(OR(D35="",E35=""),"",D35-E35)</f>
        <v/>
      </c>
      <c r="G35" s="16">
        <f>IFERROR(F35/E35,"")</f>
        <v/>
      </c>
      <c r="H35" s="13" t="n">
        <v>48</v>
      </c>
      <c r="I35" s="13">
        <f>IF($H35="","",IFERROR(IF(ISBLANK(INDIRECT("'"&amp;$Q$2&amp;"'!H"&amp;ROW())),"",INDIRECT("'"&amp;$Q$2&amp;"'!H"&amp;ROW())),""))</f>
        <v/>
      </c>
      <c r="J35" s="15">
        <f>IF(OR(H35="",I35=""),"",H35-I35)</f>
        <v/>
      </c>
      <c r="K35" s="16">
        <f>IFERROR(J35/I35,"")</f>
        <v/>
      </c>
      <c r="L35" s="13">
        <f>IFERROR(D35/C35,"")</f>
        <v/>
      </c>
      <c r="M35" s="13">
        <f>IFERROR(H35/D35*1000,"")</f>
        <v/>
      </c>
      <c r="N35" s="13" t="n">
        <v>1941</v>
      </c>
      <c r="O35" s="15">
        <f>IFERROR(IF(OR(N35="",ISBLANK(INDIRECT("'"&amp;$Q$2&amp;"'!N"&amp;ROW()))),"",N35-INDIRECT("'"&amp;$Q$2&amp;"'!N"&amp;ROW())),"")</f>
        <v/>
      </c>
      <c r="P35" s="2" t="n"/>
      <c r="Q35" s="2" t="n"/>
      <c r="R35" s="2" t="n"/>
      <c r="S35" s="18">
        <f>IFERROR(IF(ISBLANK(INDIRECT("'"&amp;$Q$2&amp;"'!G"&amp;ROW())),"",INDIRECT("'"&amp;$Q$2&amp;"'!G"&amp;ROW())),"")</f>
        <v/>
      </c>
      <c r="T35" s="20">
        <f>IF(OR($G35="",$S35=""),"",$G35-$S35)</f>
        <v/>
      </c>
      <c r="U35" s="18">
        <f>IFERROR(IF(ISBLANK(INDIRECT("'"&amp;$Q$2&amp;"'!K"&amp;ROW())),"",INDIRECT("'"&amp;$Q$2&amp;"'!K"&amp;ROW())),"")</f>
        <v/>
      </c>
      <c r="V35" s="20">
        <f>IF(OR($K35="",$U35=""),"",$K35-$U35)</f>
        <v/>
      </c>
      <c r="W35" s="21">
        <f>IFERROR(IF(ISBLANK(INDIRECT("'"&amp;$Q$2&amp;"'!O"&amp;ROW())),"",INDIRECT("'"&amp;$Q$2&amp;"'!O"&amp;ROW())),"")</f>
        <v/>
      </c>
      <c r="X35" s="21">
        <f>IF(OR($O35="",$W35=""),"",$O35-$W35)</f>
        <v/>
      </c>
      <c r="Y35" s="2" t="n"/>
      <c r="Z35" s="2" t="n"/>
    </row>
    <row r="36" ht="14.25" customHeight="1" s="58">
      <c r="A36" s="12" t="inlineStr">
        <is>
          <t>Одноклассники</t>
        </is>
      </c>
      <c r="B36" s="12" t="inlineStr">
        <is>
          <t>Ноябрьск</t>
        </is>
      </c>
      <c r="C36" s="13" t="n">
        <v>120</v>
      </c>
      <c r="D36" s="13" t="n">
        <v>39135</v>
      </c>
      <c r="E36" s="13">
        <f>IF($D36="","",IFERROR(IF(ISBLANK(INDIRECT("'"&amp;$Q$2&amp;"'!D"&amp;ROW())),"",INDIRECT("'"&amp;$Q$2&amp;"'!D"&amp;ROW())),""))</f>
        <v/>
      </c>
      <c r="F36" s="15">
        <f>IF(OR(D36="",E36=""),"",D36-E36)</f>
        <v/>
      </c>
      <c r="G36" s="16">
        <f>IFERROR(F36/E36,"")</f>
        <v/>
      </c>
      <c r="H36" s="13" t="n">
        <v>552</v>
      </c>
      <c r="I36" s="13">
        <f>IF($H36="","",IFERROR(IF(ISBLANK(INDIRECT("'"&amp;$Q$2&amp;"'!H"&amp;ROW())),"",INDIRECT("'"&amp;$Q$2&amp;"'!H"&amp;ROW())),""))</f>
        <v/>
      </c>
      <c r="J36" s="15">
        <f>IF(OR(H36="",I36=""),"",H36-I36)</f>
        <v/>
      </c>
      <c r="K36" s="16">
        <f>IFERROR(J36/I36,"")</f>
        <v/>
      </c>
      <c r="L36" s="13">
        <f>IFERROR(D36/C36,"")</f>
        <v/>
      </c>
      <c r="M36" s="13">
        <f>IFERROR(H36/D36*1000,"")</f>
        <v/>
      </c>
      <c r="N36" s="13" t="n">
        <v>5888</v>
      </c>
      <c r="O36" s="15">
        <f>IFERROR(IF(OR(N36="",ISBLANK(INDIRECT("'"&amp;$Q$2&amp;"'!N"&amp;ROW()))),"",N36-INDIRECT("'"&amp;$Q$2&amp;"'!N"&amp;ROW())),"")</f>
        <v/>
      </c>
      <c r="P36" s="2" t="n"/>
      <c r="Q36" s="2" t="n"/>
      <c r="R36" s="2" t="n"/>
      <c r="S36" s="18">
        <f>IFERROR(IF(ISBLANK(INDIRECT("'"&amp;$Q$2&amp;"'!G"&amp;ROW())),"",INDIRECT("'"&amp;$Q$2&amp;"'!G"&amp;ROW())),"")</f>
        <v/>
      </c>
      <c r="T36" s="20">
        <f>IF(OR($G36="",$S36=""),"",$G36-$S36)</f>
        <v/>
      </c>
      <c r="U36" s="18">
        <f>IFERROR(IF(ISBLANK(INDIRECT("'"&amp;$Q$2&amp;"'!K"&amp;ROW())),"",INDIRECT("'"&amp;$Q$2&amp;"'!K"&amp;ROW())),"")</f>
        <v/>
      </c>
      <c r="V36" s="20">
        <f>IF(OR($K36="",$U36=""),"",$K36-$U36)</f>
        <v/>
      </c>
      <c r="W36" s="21">
        <f>IFERROR(IF(ISBLANK(INDIRECT("'"&amp;$Q$2&amp;"'!O"&amp;ROW())),"",INDIRECT("'"&amp;$Q$2&amp;"'!O"&amp;ROW())),"")</f>
        <v/>
      </c>
      <c r="X36" s="21">
        <f>IF(OR($O36="",$W36=""),"",$O36-$W36)</f>
        <v/>
      </c>
      <c r="Y36" s="2" t="n"/>
      <c r="Z36" s="2" t="n"/>
    </row>
    <row r="37" ht="14.25" customHeight="1" s="58">
      <c r="A37" s="12" t="inlineStr">
        <is>
          <t>Одноклассники</t>
        </is>
      </c>
      <c r="B37" s="12" t="inlineStr">
        <is>
          <t>Салехард</t>
        </is>
      </c>
      <c r="C37" s="13" t="n">
        <v>160</v>
      </c>
      <c r="D37" s="13" t="n">
        <v>6504</v>
      </c>
      <c r="E37" s="13">
        <f>IF($D37="","",IFERROR(IF(ISBLANK(INDIRECT("'"&amp;$Q$2&amp;"'!D"&amp;ROW())),"",INDIRECT("'"&amp;$Q$2&amp;"'!D"&amp;ROW())),""))</f>
        <v/>
      </c>
      <c r="F37" s="15">
        <f>IF(OR(D37="",E37=""),"",D37-E37)</f>
        <v/>
      </c>
      <c r="G37" s="16">
        <f>IFERROR(F37/E37,"")</f>
        <v/>
      </c>
      <c r="H37" s="13" t="n">
        <v>48</v>
      </c>
      <c r="I37" s="13">
        <f>IF($H37="","",IFERROR(IF(ISBLANK(INDIRECT("'"&amp;$Q$2&amp;"'!H"&amp;ROW())),"",INDIRECT("'"&amp;$Q$2&amp;"'!H"&amp;ROW())),""))</f>
        <v/>
      </c>
      <c r="J37" s="15">
        <f>IF(OR(H37="",I37=""),"",H37-I37)</f>
        <v/>
      </c>
      <c r="K37" s="16">
        <f>IFERROR(J37/I37,"")</f>
        <v/>
      </c>
      <c r="L37" s="13">
        <f>IFERROR(D37/C37,"")</f>
        <v/>
      </c>
      <c r="M37" s="13">
        <f>IFERROR(H37/D37*1000,"")</f>
        <v/>
      </c>
      <c r="N37" s="13" t="n">
        <v>3237</v>
      </c>
      <c r="O37" s="15">
        <f>IFERROR(IF(OR(N37="",ISBLANK(INDIRECT("'"&amp;$Q$2&amp;"'!N"&amp;ROW()))),"",N37-INDIRECT("'"&amp;$Q$2&amp;"'!N"&amp;ROW())),"")</f>
        <v/>
      </c>
      <c r="P37" s="2" t="n"/>
      <c r="Q37" s="2" t="n"/>
      <c r="R37" s="2" t="n"/>
      <c r="S37" s="18">
        <f>IFERROR(IF(ISBLANK(INDIRECT("'"&amp;$Q$2&amp;"'!G"&amp;ROW())),"",INDIRECT("'"&amp;$Q$2&amp;"'!G"&amp;ROW())),"")</f>
        <v/>
      </c>
      <c r="T37" s="20">
        <f>IF(OR($G37="",$S37=""),"",$G37-$S37)</f>
        <v/>
      </c>
      <c r="U37" s="18">
        <f>IFERROR(IF(ISBLANK(INDIRECT("'"&amp;$Q$2&amp;"'!K"&amp;ROW())),"",INDIRECT("'"&amp;$Q$2&amp;"'!K"&amp;ROW())),"")</f>
        <v/>
      </c>
      <c r="V37" s="20">
        <f>IF(OR($K37="",$U37=""),"",$K37-$U37)</f>
        <v/>
      </c>
      <c r="W37" s="21">
        <f>IFERROR(IF(ISBLANK(INDIRECT("'"&amp;$Q$2&amp;"'!O"&amp;ROW())),"",INDIRECT("'"&amp;$Q$2&amp;"'!O"&amp;ROW())),"")</f>
        <v/>
      </c>
      <c r="X37" s="21">
        <f>IF(OR($O37="",$W37=""),"",$O37-$W37)</f>
        <v/>
      </c>
      <c r="Y37" s="2" t="n"/>
      <c r="Z37" s="2" t="n"/>
    </row>
    <row r="38" ht="14.25" customHeight="1" s="58">
      <c r="A38" s="12" t="inlineStr">
        <is>
          <t>Одноклассники</t>
        </is>
      </c>
      <c r="B38" s="12" t="inlineStr">
        <is>
          <t>Приуралье</t>
        </is>
      </c>
      <c r="C38" s="13" t="n">
        <v>197</v>
      </c>
      <c r="D38" s="13" t="n">
        <v>10887</v>
      </c>
      <c r="E38" s="13">
        <f>IF($D38="","",IFERROR(IF(ISBLANK(INDIRECT("'"&amp;$Q$2&amp;"'!D"&amp;ROW())),"",INDIRECT("'"&amp;$Q$2&amp;"'!D"&amp;ROW())),""))</f>
        <v/>
      </c>
      <c r="F38" s="15">
        <f>IF(OR(D38="",E38=""),"",D38-E38)</f>
        <v/>
      </c>
      <c r="G38" s="16">
        <f>IFERROR(F38/E38,"")</f>
        <v/>
      </c>
      <c r="H38" s="13" t="n">
        <v>183</v>
      </c>
      <c r="I38" s="13">
        <f>IF($H38="","",IFERROR(IF(ISBLANK(INDIRECT("'"&amp;$Q$2&amp;"'!H"&amp;ROW())),"",INDIRECT("'"&amp;$Q$2&amp;"'!H"&amp;ROW())),""))</f>
        <v/>
      </c>
      <c r="J38" s="15">
        <f>IF(OR(H38="",I38=""),"",H38-I38)</f>
        <v/>
      </c>
      <c r="K38" s="16">
        <f>IFERROR(J38/I38,"")</f>
        <v/>
      </c>
      <c r="L38" s="13">
        <f>IFERROR(D38/C38,"")</f>
        <v/>
      </c>
      <c r="M38" s="13">
        <f>IFERROR(H38/D38*1000,"")</f>
        <v/>
      </c>
      <c r="N38" s="13" t="n">
        <v>1711</v>
      </c>
      <c r="O38" s="15">
        <f>IFERROR(IF(OR(N38="",ISBLANK(INDIRECT("'"&amp;$Q$2&amp;"'!N"&amp;ROW()))),"",N38-INDIRECT("'"&amp;$Q$2&amp;"'!N"&amp;ROW())),"")</f>
        <v/>
      </c>
      <c r="P38" s="2" t="n"/>
      <c r="Q38" s="2" t="n"/>
      <c r="R38" s="2" t="n"/>
      <c r="S38" s="18">
        <f>IFERROR(IF(ISBLANK(INDIRECT("'"&amp;$Q$2&amp;"'!G"&amp;ROW())),"",INDIRECT("'"&amp;$Q$2&amp;"'!G"&amp;ROW())),"")</f>
        <v/>
      </c>
      <c r="T38" s="20">
        <f>IF(OR($G38="",$S38=""),"",$G38-$S38)</f>
        <v/>
      </c>
      <c r="U38" s="18">
        <f>IFERROR(IF(ISBLANK(INDIRECT("'"&amp;$Q$2&amp;"'!K"&amp;ROW())),"",INDIRECT("'"&amp;$Q$2&amp;"'!K"&amp;ROW())),"")</f>
        <v/>
      </c>
      <c r="V38" s="20">
        <f>IF(OR($K38="",$U38=""),"",$K38-$U38)</f>
        <v/>
      </c>
      <c r="W38" s="21">
        <f>IFERROR(IF(ISBLANK(INDIRECT("'"&amp;$Q$2&amp;"'!O"&amp;ROW())),"",INDIRECT("'"&amp;$Q$2&amp;"'!O"&amp;ROW())),"")</f>
        <v/>
      </c>
      <c r="X38" s="21">
        <f>IF(OR($O38="",$W38=""),"",$O38-$W38)</f>
        <v/>
      </c>
      <c r="Y38" s="2" t="n"/>
      <c r="Z38" s="2" t="n"/>
    </row>
    <row r="39" ht="14.25" customHeight="1" s="58">
      <c r="A39" s="12" t="inlineStr">
        <is>
          <t>Одноклассники</t>
        </is>
      </c>
      <c r="B39" s="12" t="inlineStr">
        <is>
          <t>Лабытнанги</t>
        </is>
      </c>
      <c r="C39" s="13" t="n">
        <v>81</v>
      </c>
      <c r="D39" s="13" t="n">
        <v>4212</v>
      </c>
      <c r="E39" s="13">
        <f>IF($D39="","",IFERROR(IF(ISBLANK(INDIRECT("'"&amp;$Q$2&amp;"'!D"&amp;ROW())),"",INDIRECT("'"&amp;$Q$2&amp;"'!D"&amp;ROW())),""))</f>
        <v/>
      </c>
      <c r="F39" s="15">
        <f>IF(OR(D39="",E39=""),"",D39-E39)</f>
        <v/>
      </c>
      <c r="G39" s="16">
        <f>IFERROR(F39/E39,"")</f>
        <v/>
      </c>
      <c r="H39" s="13" t="n">
        <v>8</v>
      </c>
      <c r="I39" s="13">
        <f>IF($H39="","",IFERROR(IF(ISBLANK(INDIRECT("'"&amp;$Q$2&amp;"'!H"&amp;ROW())),"",INDIRECT("'"&amp;$Q$2&amp;"'!H"&amp;ROW())),""))</f>
        <v/>
      </c>
      <c r="J39" s="15">
        <f>IF(OR(H39="",I39=""),"",H39-I39)</f>
        <v/>
      </c>
      <c r="K39" s="16">
        <f>IFERROR(J39/I39,"")</f>
        <v/>
      </c>
      <c r="L39" s="13">
        <f>IFERROR(D39/C39,"")</f>
        <v/>
      </c>
      <c r="M39" s="13">
        <f>IFERROR(H39/D39*1000,"")</f>
        <v/>
      </c>
      <c r="N39" s="13" t="n">
        <v>225</v>
      </c>
      <c r="O39" s="15">
        <f>IFERROR(IF(OR(N39="",ISBLANK(INDIRECT("'"&amp;$Q$2&amp;"'!N"&amp;ROW()))),"",N39-INDIRECT("'"&amp;$Q$2&amp;"'!N"&amp;ROW())),"")</f>
        <v/>
      </c>
      <c r="P39" s="2" t="n"/>
      <c r="Q39" s="2" t="n"/>
      <c r="R39" s="2" t="n"/>
      <c r="S39" s="18">
        <f>IFERROR(IF(ISBLANK(INDIRECT("'"&amp;$Q$2&amp;"'!G"&amp;ROW())),"",INDIRECT("'"&amp;$Q$2&amp;"'!G"&amp;ROW())),"")</f>
        <v/>
      </c>
      <c r="T39" s="20">
        <f>IF(OR($G39="",$S39=""),"",$G39-$S39)</f>
        <v/>
      </c>
      <c r="U39" s="18">
        <f>IFERROR(IF(ISBLANK(INDIRECT("'"&amp;$Q$2&amp;"'!K"&amp;ROW())),"",INDIRECT("'"&amp;$Q$2&amp;"'!K"&amp;ROW())),"")</f>
        <v/>
      </c>
      <c r="V39" s="20">
        <f>IF(OR($K39="",$U39=""),"",$K39-$U39)</f>
        <v/>
      </c>
      <c r="W39" s="21">
        <f>IFERROR(IF(ISBLANK(INDIRECT("'"&amp;$Q$2&amp;"'!O"&amp;ROW())),"",INDIRECT("'"&amp;$Q$2&amp;"'!O"&amp;ROW())),"")</f>
        <v/>
      </c>
      <c r="X39" s="21">
        <f>IF(OR($O39="",$W39=""),"",$O39-$W39)</f>
        <v/>
      </c>
      <c r="Y39" s="2" t="n"/>
      <c r="Z39" s="2" t="n"/>
    </row>
    <row r="40" ht="14.25" customHeight="1" s="58">
      <c r="A40" s="12" t="inlineStr">
        <is>
          <t>Одноклассники</t>
        </is>
      </c>
      <c r="B40" s="12" t="inlineStr">
        <is>
          <t>Пуровский</t>
        </is>
      </c>
      <c r="C40" s="13" t="n">
        <v>83</v>
      </c>
      <c r="D40" s="13" t="n">
        <v>6832</v>
      </c>
      <c r="E40" s="13">
        <f>IF($D40="","",IFERROR(IF(ISBLANK(INDIRECT("'"&amp;$Q$2&amp;"'!D"&amp;ROW())),"",INDIRECT("'"&amp;$Q$2&amp;"'!D"&amp;ROW())),""))</f>
        <v/>
      </c>
      <c r="F40" s="15">
        <f>IF(OR(D40="",E40=""),"",D40-E40)</f>
        <v/>
      </c>
      <c r="G40" s="16">
        <f>IFERROR(F40/E40,"")</f>
        <v/>
      </c>
      <c r="H40" s="13" t="n">
        <v>54</v>
      </c>
      <c r="I40" s="13">
        <f>IF($H40="","",IFERROR(IF(ISBLANK(INDIRECT("'"&amp;$Q$2&amp;"'!H"&amp;ROW())),"",INDIRECT("'"&amp;$Q$2&amp;"'!H"&amp;ROW())),""))</f>
        <v/>
      </c>
      <c r="J40" s="15">
        <f>IF(OR(H40="",I40=""),"",H40-I40)</f>
        <v/>
      </c>
      <c r="K40" s="16">
        <f>IFERROR(J40/I40,"")</f>
        <v/>
      </c>
      <c r="L40" s="13">
        <f>IFERROR(D40/C40,"")</f>
        <v/>
      </c>
      <c r="M40" s="13">
        <f>IFERROR(H40/D40*1000,"")</f>
        <v/>
      </c>
      <c r="N40" s="13" t="n">
        <v>4958</v>
      </c>
      <c r="O40" s="15">
        <f>IFERROR(IF(OR(N40="",ISBLANK(INDIRECT("'"&amp;$Q$2&amp;"'!N"&amp;ROW()))),"",N40-INDIRECT("'"&amp;$Q$2&amp;"'!N"&amp;ROW())),"")</f>
        <v/>
      </c>
      <c r="P40" s="2" t="n"/>
      <c r="Q40" s="2" t="n"/>
      <c r="R40" s="2" t="n"/>
      <c r="S40" s="18">
        <f>IFERROR(IF(ISBLANK(INDIRECT("'"&amp;$Q$2&amp;"'!G"&amp;ROW())),"",INDIRECT("'"&amp;$Q$2&amp;"'!G"&amp;ROW())),"")</f>
        <v/>
      </c>
      <c r="T40" s="20">
        <f>IF(OR($G40="",$S40=""),"",$G40-$S40)</f>
        <v/>
      </c>
      <c r="U40" s="18">
        <f>IFERROR(IF(ISBLANK(INDIRECT("'"&amp;$Q$2&amp;"'!K"&amp;ROW())),"",INDIRECT("'"&amp;$Q$2&amp;"'!K"&amp;ROW())),"")</f>
        <v/>
      </c>
      <c r="V40" s="20">
        <f>IF(OR($K40="",$U40=""),"",$K40-$U40)</f>
        <v/>
      </c>
      <c r="W40" s="21">
        <f>IFERROR(IF(ISBLANK(INDIRECT("'"&amp;$Q$2&amp;"'!O"&amp;ROW())),"",INDIRECT("'"&amp;$Q$2&amp;"'!O"&amp;ROW())),"")</f>
        <v/>
      </c>
      <c r="X40" s="21">
        <f>IF(OR($O40="",$W40=""),"",$O40-$W40)</f>
        <v/>
      </c>
      <c r="Y40" s="2" t="n"/>
      <c r="Z40" s="2" t="n"/>
    </row>
    <row r="41" ht="14.25" customHeight="1" s="58">
      <c r="A41" s="12" t="inlineStr">
        <is>
          <t>Одноклассники</t>
        </is>
      </c>
      <c r="B41" s="12" t="inlineStr">
        <is>
          <t>Тазовский</t>
        </is>
      </c>
      <c r="C41" s="13" t="n">
        <v>77</v>
      </c>
      <c r="D41" s="13" t="n">
        <v>12790</v>
      </c>
      <c r="E41" s="13">
        <f>IF($D41="","",IFERROR(IF(ISBLANK(INDIRECT("'"&amp;$Q$2&amp;"'!D"&amp;ROW())),"",INDIRECT("'"&amp;$Q$2&amp;"'!D"&amp;ROW())),""))</f>
        <v/>
      </c>
      <c r="F41" s="15">
        <f>IF(OR(D41="",E41=""),"",D41-E41)</f>
        <v/>
      </c>
      <c r="G41" s="16">
        <f>IFERROR(F41/E41,"")</f>
        <v/>
      </c>
      <c r="H41" s="13" t="n">
        <v>102</v>
      </c>
      <c r="I41" s="13">
        <f>IF($H41="","",IFERROR(IF(ISBLANK(INDIRECT("'"&amp;$Q$2&amp;"'!H"&amp;ROW())),"",INDIRECT("'"&amp;$Q$2&amp;"'!H"&amp;ROW())),""))</f>
        <v/>
      </c>
      <c r="J41" s="15">
        <f>IF(OR(H41="",I41=""),"",H41-I41)</f>
        <v/>
      </c>
      <c r="K41" s="16">
        <f>IFERROR(J41/I41,"")</f>
        <v/>
      </c>
      <c r="L41" s="13">
        <f>IFERROR(D41/C41,"")</f>
        <v/>
      </c>
      <c r="M41" s="13">
        <f>IFERROR(H41/D41*1000,"")</f>
        <v/>
      </c>
      <c r="N41" s="13" t="n">
        <v>3529</v>
      </c>
      <c r="O41" s="15">
        <f>IFERROR(IF(OR(N41="",ISBLANK(INDIRECT("'"&amp;$Q$2&amp;"'!N"&amp;ROW()))),"",N41-INDIRECT("'"&amp;$Q$2&amp;"'!N"&amp;ROW())),"")</f>
        <v/>
      </c>
      <c r="P41" s="2" t="n"/>
      <c r="Q41" s="2" t="n"/>
      <c r="R41" s="2" t="n"/>
      <c r="S41" s="18">
        <f>IFERROR(IF(ISBLANK(INDIRECT("'"&amp;$Q$2&amp;"'!G"&amp;ROW())),"",INDIRECT("'"&amp;$Q$2&amp;"'!G"&amp;ROW())),"")</f>
        <v/>
      </c>
      <c r="T41" s="20">
        <f>IF(OR($G41="",$S41=""),"",$G41-$S41)</f>
        <v/>
      </c>
      <c r="U41" s="18">
        <f>IFERROR(IF(ISBLANK(INDIRECT("'"&amp;$Q$2&amp;"'!K"&amp;ROW())),"",INDIRECT("'"&amp;$Q$2&amp;"'!K"&amp;ROW())),"")</f>
        <v/>
      </c>
      <c r="V41" s="20">
        <f>IF(OR($K41="",$U41=""),"",$K41-$U41)</f>
        <v/>
      </c>
      <c r="W41" s="21">
        <f>IFERROR(IF(ISBLANK(INDIRECT("'"&amp;$Q$2&amp;"'!O"&amp;ROW())),"",INDIRECT("'"&amp;$Q$2&amp;"'!O"&amp;ROW())),"")</f>
        <v/>
      </c>
      <c r="X41" s="21">
        <f>IF(OR($O41="",$W41=""),"",$O41-$W41)</f>
        <v/>
      </c>
      <c r="Y41" s="2" t="n"/>
      <c r="Z41" s="2" t="n"/>
    </row>
    <row r="42" ht="14.25" customHeight="1" s="58">
      <c r="A42" s="12" t="inlineStr">
        <is>
          <t>Одноклассники</t>
        </is>
      </c>
      <c r="B42" s="12" t="inlineStr">
        <is>
          <t>Красноселькуп</t>
        </is>
      </c>
      <c r="C42" s="13" t="n">
        <v>41</v>
      </c>
      <c r="D42" s="13" t="n">
        <v>7517</v>
      </c>
      <c r="E42" s="13">
        <f>IF($D42="","",IFERROR(IF(ISBLANK(INDIRECT("'"&amp;$Q$2&amp;"'!D"&amp;ROW())),"",INDIRECT("'"&amp;$Q$2&amp;"'!D"&amp;ROW())),""))</f>
        <v/>
      </c>
      <c r="F42" s="15">
        <f>IF(OR(D42="",E42=""),"",D42-E42)</f>
        <v/>
      </c>
      <c r="G42" s="16">
        <f>IFERROR(F42/E42,"")</f>
        <v/>
      </c>
      <c r="H42" s="13" t="n">
        <v>133</v>
      </c>
      <c r="I42" s="13">
        <f>IF($H42="","",IFERROR(IF(ISBLANK(INDIRECT("'"&amp;$Q$2&amp;"'!H"&amp;ROW())),"",INDIRECT("'"&amp;$Q$2&amp;"'!H"&amp;ROW())),""))</f>
        <v/>
      </c>
      <c r="J42" s="15">
        <f>IF(OR(H42="",I42=""),"",H42-I42)</f>
        <v/>
      </c>
      <c r="K42" s="16">
        <f>IFERROR(J42/I42,"")</f>
        <v/>
      </c>
      <c r="L42" s="13">
        <f>IFERROR(D42/C42,"")</f>
        <v/>
      </c>
      <c r="M42" s="13">
        <f>IFERROR(H42/D42*1000,"")</f>
        <v/>
      </c>
      <c r="N42" s="13" t="n">
        <v>651</v>
      </c>
      <c r="O42" s="15">
        <f>IFERROR(IF(OR(N42="",ISBLANK(INDIRECT("'"&amp;$Q$2&amp;"'!N"&amp;ROW()))),"",N42-INDIRECT("'"&amp;$Q$2&amp;"'!N"&amp;ROW())),"")</f>
        <v/>
      </c>
      <c r="P42" s="2" t="n"/>
      <c r="Q42" s="2" t="n"/>
      <c r="R42" s="2" t="n"/>
      <c r="S42" s="18">
        <f>IFERROR(IF(ISBLANK(INDIRECT("'"&amp;$Q$2&amp;"'!G"&amp;ROW())),"",INDIRECT("'"&amp;$Q$2&amp;"'!G"&amp;ROW())),"")</f>
        <v/>
      </c>
      <c r="T42" s="20">
        <f>IF(OR($G42="",$S42=""),"",$G42-$S42)</f>
        <v/>
      </c>
      <c r="U42" s="18">
        <f>IFERROR(IF(ISBLANK(INDIRECT("'"&amp;$Q$2&amp;"'!K"&amp;ROW())),"",INDIRECT("'"&amp;$Q$2&amp;"'!K"&amp;ROW())),"")</f>
        <v/>
      </c>
      <c r="V42" s="20">
        <f>IF(OR($K42="",$U42=""),"",$K42-$U42)</f>
        <v/>
      </c>
      <c r="W42" s="21">
        <f>IFERROR(IF(ISBLANK(INDIRECT("'"&amp;$Q$2&amp;"'!O"&amp;ROW())),"",INDIRECT("'"&amp;$Q$2&amp;"'!O"&amp;ROW())),"")</f>
        <v/>
      </c>
      <c r="X42" s="21">
        <f>IF(OR($O42="",$W42=""),"",$O42-$W42)</f>
        <v/>
      </c>
      <c r="Y42" s="2" t="n"/>
      <c r="Z42" s="2" t="n"/>
    </row>
    <row r="43" ht="14.25" customHeight="1" s="58">
      <c r="A43" s="12" t="inlineStr">
        <is>
          <t>Одноклассники</t>
        </is>
      </c>
      <c r="B43" s="12" t="inlineStr">
        <is>
          <t>Ямальский</t>
        </is>
      </c>
      <c r="C43" s="13" t="n">
        <v>75</v>
      </c>
      <c r="D43" s="13" t="n">
        <v>3667</v>
      </c>
      <c r="E43" s="13">
        <f>IF($D43="","",IFERROR(IF(ISBLANK(INDIRECT("'"&amp;$Q$2&amp;"'!D"&amp;ROW())),"",INDIRECT("'"&amp;$Q$2&amp;"'!D"&amp;ROW())),""))</f>
        <v/>
      </c>
      <c r="F43" s="15">
        <f>IF(OR(D43="",E43=""),"",D43-E43)</f>
        <v/>
      </c>
      <c r="G43" s="16">
        <f>IFERROR(F43/E43,"")</f>
        <v/>
      </c>
      <c r="H43" s="13" t="n">
        <v>25</v>
      </c>
      <c r="I43" s="13">
        <f>IF($H43="","",IFERROR(IF(ISBLANK(INDIRECT("'"&amp;$Q$2&amp;"'!H"&amp;ROW())),"",INDIRECT("'"&amp;$Q$2&amp;"'!H"&amp;ROW())),""))</f>
        <v/>
      </c>
      <c r="J43" s="15">
        <f>IF(OR(H43="",I43=""),"",H43-I43)</f>
        <v/>
      </c>
      <c r="K43" s="16">
        <f>IFERROR(J43/I43,"")</f>
        <v/>
      </c>
      <c r="L43" s="13">
        <f>IFERROR(D43/C43,"")</f>
        <v/>
      </c>
      <c r="M43" s="13">
        <f>IFERROR(H43/D43*1000,"")</f>
        <v/>
      </c>
      <c r="N43" s="13" t="n">
        <v>1952</v>
      </c>
      <c r="O43" s="15">
        <f>IFERROR(IF(OR(N43="",ISBLANK(INDIRECT("'"&amp;$Q$2&amp;"'!N"&amp;ROW()))),"",N43-INDIRECT("'"&amp;$Q$2&amp;"'!N"&amp;ROW())),"")</f>
        <v/>
      </c>
      <c r="P43" s="2" t="n"/>
      <c r="Q43" s="2" t="n"/>
      <c r="R43" s="2" t="n"/>
      <c r="S43" s="18">
        <f>IFERROR(IF(ISBLANK(INDIRECT("'"&amp;$Q$2&amp;"'!G"&amp;ROW())),"",INDIRECT("'"&amp;$Q$2&amp;"'!G"&amp;ROW())),"")</f>
        <v/>
      </c>
      <c r="T43" s="20">
        <f>IF(OR($G43="",$S43=""),"",$G43-$S43)</f>
        <v/>
      </c>
      <c r="U43" s="18">
        <f>IFERROR(IF(ISBLANK(INDIRECT("'"&amp;$Q$2&amp;"'!K"&amp;ROW())),"",INDIRECT("'"&amp;$Q$2&amp;"'!K"&amp;ROW())),"")</f>
        <v/>
      </c>
      <c r="V43" s="20">
        <f>IF(OR($K43="",$U43=""),"",$K43-$U43)</f>
        <v/>
      </c>
      <c r="W43" s="21">
        <f>IFERROR(IF(ISBLANK(INDIRECT("'"&amp;$Q$2&amp;"'!O"&amp;ROW())),"",INDIRECT("'"&amp;$Q$2&amp;"'!O"&amp;ROW())),"")</f>
        <v/>
      </c>
      <c r="X43" s="21">
        <f>IF(OR($O43="",$W43=""),"",$O43-$W43)</f>
        <v/>
      </c>
      <c r="Y43" s="2" t="n"/>
      <c r="Z43" s="2" t="n"/>
    </row>
    <row r="44" ht="14.25" customHeight="1" s="58">
      <c r="A44" s="12" t="inlineStr">
        <is>
          <t>Одноклассники</t>
        </is>
      </c>
      <c r="B44" s="12" t="inlineStr">
        <is>
          <t>Шурышкарский</t>
        </is>
      </c>
      <c r="C44" s="13" t="n">
        <v>59</v>
      </c>
      <c r="D44" s="13" t="n">
        <v>10889</v>
      </c>
      <c r="E44" s="13">
        <f>IF($D44="","",IFERROR(IF(ISBLANK(INDIRECT("'"&amp;$Q$2&amp;"'!D"&amp;ROW())),"",INDIRECT("'"&amp;$Q$2&amp;"'!D"&amp;ROW())),""))</f>
        <v/>
      </c>
      <c r="F44" s="15">
        <f>IF(OR(D44="",E44=""),"",D44-E44)</f>
        <v/>
      </c>
      <c r="G44" s="16">
        <f>IFERROR(F44/E44,"")</f>
        <v/>
      </c>
      <c r="H44" s="13" t="n">
        <v>337</v>
      </c>
      <c r="I44" s="13">
        <f>IF($H44="","",IFERROR(IF(ISBLANK(INDIRECT("'"&amp;$Q$2&amp;"'!H"&amp;ROW())),"",INDIRECT("'"&amp;$Q$2&amp;"'!H"&amp;ROW())),""))</f>
        <v/>
      </c>
      <c r="J44" s="15">
        <f>IF(OR(H44="",I44=""),"",H44-I44)</f>
        <v/>
      </c>
      <c r="K44" s="16">
        <f>IFERROR(J44/I44,"")</f>
        <v/>
      </c>
      <c r="L44" s="13">
        <f>IFERROR(D44/C44,"")</f>
        <v/>
      </c>
      <c r="M44" s="13">
        <f>IFERROR(H44/D44*1000,"")</f>
        <v/>
      </c>
      <c r="N44" s="13" t="n">
        <v>4895</v>
      </c>
      <c r="O44" s="15">
        <f>IFERROR(IF(OR(N44="",ISBLANK(INDIRECT("'"&amp;$Q$2&amp;"'!N"&amp;ROW()))),"",N44-INDIRECT("'"&amp;$Q$2&amp;"'!N"&amp;ROW())),"")</f>
        <v/>
      </c>
      <c r="P44" s="2" t="n"/>
      <c r="Q44" s="2" t="n"/>
      <c r="R44" s="2" t="n"/>
      <c r="S44" s="18">
        <f>IFERROR(IF(ISBLANK(INDIRECT("'"&amp;$Q$2&amp;"'!G"&amp;ROW())),"",INDIRECT("'"&amp;$Q$2&amp;"'!G"&amp;ROW())),"")</f>
        <v/>
      </c>
      <c r="T44" s="20">
        <f>IF(OR($G44="",$S44=""),"",$G44-$S44)</f>
        <v/>
      </c>
      <c r="U44" s="18">
        <f>IFERROR(IF(ISBLANK(INDIRECT("'"&amp;$Q$2&amp;"'!K"&amp;ROW())),"",INDIRECT("'"&amp;$Q$2&amp;"'!K"&amp;ROW())),"")</f>
        <v/>
      </c>
      <c r="V44" s="20">
        <f>IF(OR($K44="",$U44=""),"",$K44-$U44)</f>
        <v/>
      </c>
      <c r="W44" s="21">
        <f>IFERROR(IF(ISBLANK(INDIRECT("'"&amp;$Q$2&amp;"'!O"&amp;ROW())),"",INDIRECT("'"&amp;$Q$2&amp;"'!O"&amp;ROW())),"")</f>
        <v/>
      </c>
      <c r="X44" s="21">
        <f>IF(OR($O44="",$W44=""),"",$O44-$W44)</f>
        <v/>
      </c>
      <c r="Y44" s="2" t="n"/>
      <c r="Z44" s="2" t="n"/>
    </row>
    <row r="45" ht="14.25" customHeight="1" s="58">
      <c r="A45" s="12" t="inlineStr">
        <is>
          <t>Одноклассники</t>
        </is>
      </c>
      <c r="B45" s="12" t="inlineStr">
        <is>
          <t>Муравленко</t>
        </is>
      </c>
      <c r="C45" s="13" t="n">
        <v>95</v>
      </c>
      <c r="D45" s="13" t="n">
        <v>21536</v>
      </c>
      <c r="E45" s="13">
        <f>IF($D45="","",IFERROR(IF(ISBLANK(INDIRECT("'"&amp;$Q$2&amp;"'!D"&amp;ROW())),"",INDIRECT("'"&amp;$Q$2&amp;"'!D"&amp;ROW())),""))</f>
        <v/>
      </c>
      <c r="F45" s="15">
        <f>IF(OR(D45="",E45=""),"",D45-E45)</f>
        <v/>
      </c>
      <c r="G45" s="16">
        <f>IFERROR(F45/E45,"")</f>
        <v/>
      </c>
      <c r="H45" s="13" t="n">
        <v>308</v>
      </c>
      <c r="I45" s="13">
        <f>IF($H45="","",IFERROR(IF(ISBLANK(INDIRECT("'"&amp;$Q$2&amp;"'!H"&amp;ROW())),"",INDIRECT("'"&amp;$Q$2&amp;"'!H"&amp;ROW())),""))</f>
        <v/>
      </c>
      <c r="J45" s="15">
        <f>IF(OR(H45="",I45=""),"",H45-I45)</f>
        <v/>
      </c>
      <c r="K45" s="16">
        <f>IFERROR(J45/I45,"")</f>
        <v/>
      </c>
      <c r="L45" s="13">
        <f>IFERROR(D45/C45,"")</f>
        <v/>
      </c>
      <c r="M45" s="13">
        <f>IFERROR(H45/D45*1000,"")</f>
        <v/>
      </c>
      <c r="N45" s="13" t="n">
        <v>3746</v>
      </c>
      <c r="O45" s="15">
        <f>IFERROR(IF(OR(N45="",ISBLANK(INDIRECT("'"&amp;$Q$2&amp;"'!N"&amp;ROW()))),"",N45-INDIRECT("'"&amp;$Q$2&amp;"'!N"&amp;ROW())),"")</f>
        <v/>
      </c>
      <c r="P45" s="2" t="n"/>
      <c r="Q45" s="2" t="n"/>
      <c r="R45" s="2" t="n"/>
      <c r="S45" s="18">
        <f>IFERROR(IF(ISBLANK(INDIRECT("'"&amp;$Q$2&amp;"'!G"&amp;ROW())),"",INDIRECT("'"&amp;$Q$2&amp;"'!G"&amp;ROW())),"")</f>
        <v/>
      </c>
      <c r="T45" s="20">
        <f>IF(OR($G45="",$S45=""),"",$G45-$S45)</f>
        <v/>
      </c>
      <c r="U45" s="18">
        <f>IFERROR(IF(ISBLANK(INDIRECT("'"&amp;$Q$2&amp;"'!K"&amp;ROW())),"",INDIRECT("'"&amp;$Q$2&amp;"'!K"&amp;ROW())),"")</f>
        <v/>
      </c>
      <c r="V45" s="20">
        <f>IF(OR($K45="",$U45=""),"",$K45-$U45)</f>
        <v/>
      </c>
      <c r="W45" s="21">
        <f>IFERROR(IF(ISBLANK(INDIRECT("'"&amp;$Q$2&amp;"'!O"&amp;ROW())),"",INDIRECT("'"&amp;$Q$2&amp;"'!O"&amp;ROW())),"")</f>
        <v/>
      </c>
      <c r="X45" s="21">
        <f>IF(OR($O45="",$W45=""),"",$O45-$W45)</f>
        <v/>
      </c>
      <c r="Y45" s="2" t="n"/>
      <c r="Z45" s="2" t="n"/>
    </row>
    <row r="46" ht="14.25" customHeight="1" s="58">
      <c r="A46" s="12" t="inlineStr">
        <is>
          <t>Одноклассники</t>
        </is>
      </c>
      <c r="B46" s="12" t="inlineStr">
        <is>
          <t>Губкинский</t>
        </is>
      </c>
      <c r="C46" s="13" t="n">
        <v>105</v>
      </c>
      <c r="D46" s="13" t="n">
        <v>29521</v>
      </c>
      <c r="E46" s="13">
        <f>IF($D46="","",IFERROR(IF(ISBLANK(INDIRECT("'"&amp;$Q$2&amp;"'!D"&amp;ROW())),"",INDIRECT("'"&amp;$Q$2&amp;"'!D"&amp;ROW())),""))</f>
        <v/>
      </c>
      <c r="F46" s="15">
        <f>IF(OR(D46="",E46=""),"",D46-E46)</f>
        <v/>
      </c>
      <c r="G46" s="16">
        <f>IFERROR(F46/E46,"")</f>
        <v/>
      </c>
      <c r="H46" s="13" t="n">
        <v>351</v>
      </c>
      <c r="I46" s="13">
        <f>IF($H46="","",IFERROR(IF(ISBLANK(INDIRECT("'"&amp;$Q$2&amp;"'!H"&amp;ROW())),"",INDIRECT("'"&amp;$Q$2&amp;"'!H"&amp;ROW())),""))</f>
        <v/>
      </c>
      <c r="J46" s="15">
        <f>IF(OR(H46="",I46=""),"",H46-I46)</f>
        <v/>
      </c>
      <c r="K46" s="16">
        <f>IFERROR(J46/I46,"")</f>
        <v/>
      </c>
      <c r="L46" s="13">
        <f>IFERROR(D46/C46,"")</f>
        <v/>
      </c>
      <c r="M46" s="13">
        <f>IFERROR(H46/D46*1000,"")</f>
        <v/>
      </c>
      <c r="N46" s="13" t="n">
        <v>4504</v>
      </c>
      <c r="O46" s="15">
        <f>IFERROR(IF(OR(N46="",ISBLANK(INDIRECT("'"&amp;$Q$2&amp;"'!N"&amp;ROW()))),"",N46-INDIRECT("'"&amp;$Q$2&amp;"'!N"&amp;ROW())),"")</f>
        <v/>
      </c>
      <c r="P46" s="2" t="n"/>
      <c r="Q46" s="2" t="n"/>
      <c r="R46" s="2" t="n"/>
      <c r="S46" s="18">
        <f>IFERROR(IF(ISBLANK(INDIRECT("'"&amp;$Q$2&amp;"'!G"&amp;ROW())),"",INDIRECT("'"&amp;$Q$2&amp;"'!G"&amp;ROW())),"")</f>
        <v/>
      </c>
      <c r="T46" s="20">
        <f>IF(OR($G46="",$S46=""),"",$G46-$S46)</f>
        <v/>
      </c>
      <c r="U46" s="18">
        <f>IFERROR(IF(ISBLANK(INDIRECT("'"&amp;$Q$2&amp;"'!K"&amp;ROW())),"",INDIRECT("'"&amp;$Q$2&amp;"'!K"&amp;ROW())),"")</f>
        <v/>
      </c>
      <c r="V46" s="20">
        <f>IF(OR($K46="",$U46=""),"",$K46-$U46)</f>
        <v/>
      </c>
      <c r="W46" s="21">
        <f>IFERROR(IF(ISBLANK(INDIRECT("'"&amp;$Q$2&amp;"'!O"&amp;ROW())),"",INDIRECT("'"&amp;$Q$2&amp;"'!O"&amp;ROW())),"")</f>
        <v/>
      </c>
      <c r="X46" s="21">
        <f>IF(OR($O46="",$W46=""),"",$O46-$W46)</f>
        <v/>
      </c>
      <c r="Y46" s="2" t="n"/>
      <c r="Z46" s="2" t="n"/>
    </row>
    <row r="47" ht="14.25" customHeight="1" s="58">
      <c r="A47" s="12" t="inlineStr">
        <is>
          <t>Одноклассники</t>
        </is>
      </c>
      <c r="B47" s="12" t="inlineStr">
        <is>
          <t>Нярьяна Нгэрм</t>
        </is>
      </c>
      <c r="C47" s="13" t="n">
        <v>6</v>
      </c>
      <c r="D47" s="13" t="n">
        <v>1002</v>
      </c>
      <c r="E47" s="13">
        <f>IF($D47="","",IFERROR(IF(ISBLANK(INDIRECT("'"&amp;$Q$2&amp;"'!D"&amp;ROW())),"",INDIRECT("'"&amp;$Q$2&amp;"'!D"&amp;ROW())),""))</f>
        <v/>
      </c>
      <c r="F47" s="15">
        <f>IF(OR(D47="",E47=""),"",D47-E47)</f>
        <v/>
      </c>
      <c r="G47" s="16">
        <f>IFERROR(F47/E47,"")</f>
        <v/>
      </c>
      <c r="H47" s="13" t="n">
        <v>30</v>
      </c>
      <c r="I47" s="13">
        <f>IF($H47="","",IFERROR(IF(ISBLANK(INDIRECT("'"&amp;$Q$2&amp;"'!H"&amp;ROW())),"",INDIRECT("'"&amp;$Q$2&amp;"'!H"&amp;ROW())),""))</f>
        <v/>
      </c>
      <c r="J47" s="15">
        <f>IF(OR(H47="",I47=""),"",H47-I47)</f>
        <v/>
      </c>
      <c r="K47" s="16">
        <f>IFERROR(J47/I47,"")</f>
        <v/>
      </c>
      <c r="L47" s="13">
        <f>IFERROR(D47/C47,"")</f>
        <v/>
      </c>
      <c r="M47" s="13">
        <f>IFERROR(H47/D47*1000,"")</f>
        <v/>
      </c>
      <c r="N47" s="13" t="n">
        <v>855</v>
      </c>
      <c r="O47" s="15">
        <f>IFERROR(IF(OR(N47="",ISBLANK(INDIRECT("'"&amp;$Q$2&amp;"'!N"&amp;ROW()))),"",N47-INDIRECT("'"&amp;$Q$2&amp;"'!N"&amp;ROW())),"")</f>
        <v/>
      </c>
      <c r="P47" s="2" t="n"/>
      <c r="Q47" s="2" t="n"/>
      <c r="R47" s="2" t="n"/>
      <c r="S47" s="18">
        <f>IFERROR(IF(ISBLANK(INDIRECT("'"&amp;$Q$2&amp;"'!G"&amp;ROW())),"",INDIRECT("'"&amp;$Q$2&amp;"'!G"&amp;ROW())),"")</f>
        <v/>
      </c>
      <c r="T47" s="20">
        <f>IF(OR($G47="",$S47=""),"",$G47-$S47)</f>
        <v/>
      </c>
      <c r="U47" s="18">
        <f>IFERROR(IF(ISBLANK(INDIRECT("'"&amp;$Q$2&amp;"'!K"&amp;ROW())),"",INDIRECT("'"&amp;$Q$2&amp;"'!K"&amp;ROW())),"")</f>
        <v/>
      </c>
      <c r="V47" s="20">
        <f>IF(OR($K47="",$U47=""),"",$K47-$U47)</f>
        <v/>
      </c>
      <c r="W47" s="21">
        <f>IFERROR(IF(ISBLANK(INDIRECT("'"&amp;$Q$2&amp;"'!O"&amp;ROW())),"",INDIRECT("'"&amp;$Q$2&amp;"'!O"&amp;ROW())),"")</f>
        <v/>
      </c>
      <c r="X47" s="21">
        <f>IF(OR($O47="",$W47=""),"",$O47-$W47)</f>
        <v/>
      </c>
      <c r="Y47" s="2" t="n"/>
      <c r="Z47" s="2" t="n"/>
    </row>
    <row r="48" ht="14.25" customHeight="1" s="58">
      <c r="A48" s="12" t="inlineStr">
        <is>
          <t>Одноклассники</t>
        </is>
      </c>
      <c r="B48" s="12" t="inlineStr">
        <is>
          <t>Лух Авт</t>
        </is>
      </c>
      <c r="C48" s="13" t="n">
        <v>7</v>
      </c>
      <c r="D48" s="13" t="n">
        <v>2356</v>
      </c>
      <c r="E48" s="13">
        <f>IF($D48="","",IFERROR(IF(ISBLANK(INDIRECT("'"&amp;$Q$2&amp;"'!D"&amp;ROW())),"",INDIRECT("'"&amp;$Q$2&amp;"'!D"&amp;ROW())),""))</f>
        <v/>
      </c>
      <c r="F48" s="15">
        <f>IF(OR(D48="",E48=""),"",D48-E48)</f>
        <v/>
      </c>
      <c r="G48" s="16">
        <f>IFERROR(F48/E48,"")</f>
        <v/>
      </c>
      <c r="H48" s="13" t="n">
        <v>282</v>
      </c>
      <c r="I48" s="13">
        <f>IF($H48="","",IFERROR(IF(ISBLANK(INDIRECT("'"&amp;$Q$2&amp;"'!H"&amp;ROW())),"",INDIRECT("'"&amp;$Q$2&amp;"'!H"&amp;ROW())),""))</f>
        <v/>
      </c>
      <c r="J48" s="15">
        <f>IF(OR(H48="",I48=""),"",H48-I48)</f>
        <v/>
      </c>
      <c r="K48" s="16">
        <f>IFERROR(J48/I48,"")</f>
        <v/>
      </c>
      <c r="L48" s="13">
        <f>IFERROR(D48/C48,"")</f>
        <v/>
      </c>
      <c r="M48" s="13">
        <f>IFERROR(H48/D48*1000,"")</f>
        <v/>
      </c>
      <c r="N48" s="13" t="n">
        <v>862</v>
      </c>
      <c r="O48" s="15">
        <f>IFERROR(IF(OR(N48="",ISBLANK(INDIRECT("'"&amp;$Q$2&amp;"'!N"&amp;ROW()))),"",N48-INDIRECT("'"&amp;$Q$2&amp;"'!N"&amp;ROW())),"")</f>
        <v/>
      </c>
      <c r="P48" s="2" t="n"/>
      <c r="Q48" s="2" t="n"/>
      <c r="R48" s="2" t="n"/>
      <c r="S48" s="18">
        <f>IFERROR(IF(ISBLANK(INDIRECT("'"&amp;$Q$2&amp;"'!G"&amp;ROW())),"",INDIRECT("'"&amp;$Q$2&amp;"'!G"&amp;ROW())),"")</f>
        <v/>
      </c>
      <c r="T48" s="20">
        <f>IF(OR($G48="",$S48=""),"",$G48-$S48)</f>
        <v/>
      </c>
      <c r="U48" s="18">
        <f>IFERROR(IF(ISBLANK(INDIRECT("'"&amp;$Q$2&amp;"'!K"&amp;ROW())),"",INDIRECT("'"&amp;$Q$2&amp;"'!K"&amp;ROW())),"")</f>
        <v/>
      </c>
      <c r="V48" s="20">
        <f>IF(OR($K48="",$U48=""),"",$K48-$U48)</f>
        <v/>
      </c>
      <c r="W48" s="21">
        <f>IFERROR(IF(ISBLANK(INDIRECT("'"&amp;$Q$2&amp;"'!O"&amp;ROW())),"",INDIRECT("'"&amp;$Q$2&amp;"'!O"&amp;ROW())),"")</f>
        <v/>
      </c>
      <c r="X48" s="21">
        <f>IF(OR($O48="",$W48=""),"",$O48-$W48)</f>
        <v/>
      </c>
      <c r="Y48" s="2" t="n"/>
      <c r="Z48" s="2" t="n"/>
    </row>
    <row r="49" ht="14.25" customHeight="1" s="58">
      <c r="A49" s="12" t="inlineStr">
        <is>
          <t>Одноклассники</t>
        </is>
      </c>
      <c r="B49" s="12" t="inlineStr">
        <is>
          <t>МК-Ямал</t>
        </is>
      </c>
      <c r="C49" s="13" t="n">
        <v>228</v>
      </c>
      <c r="D49" s="13" t="n">
        <v>7973</v>
      </c>
      <c r="E49" s="13">
        <f>IF($D49="","",IFERROR(IF(ISBLANK(INDIRECT("'"&amp;$Q$2&amp;"'!D"&amp;ROW())),"",INDIRECT("'"&amp;$Q$2&amp;"'!D"&amp;ROW())),""))</f>
        <v/>
      </c>
      <c r="F49" s="15">
        <f>IF(OR(D49="",E49=""),"",D49-E49)</f>
        <v/>
      </c>
      <c r="G49" s="16">
        <f>IFERROR(F49/E49,"")</f>
        <v/>
      </c>
      <c r="H49" s="13" t="n">
        <v>2</v>
      </c>
      <c r="I49" s="13">
        <f>IF($H49="","",IFERROR(IF(ISBLANK(INDIRECT("'"&amp;$Q$2&amp;"'!H"&amp;ROW())),"",INDIRECT("'"&amp;$Q$2&amp;"'!H"&amp;ROW())),""))</f>
        <v/>
      </c>
      <c r="J49" s="15">
        <f>IF(OR(H49="",I49=""),"",H49-I49)</f>
        <v/>
      </c>
      <c r="K49" s="16">
        <f>IFERROR(J49/I49,"")</f>
        <v/>
      </c>
      <c r="L49" s="13">
        <f>IFERROR(D49/C49,"")</f>
        <v/>
      </c>
      <c r="M49" s="13">
        <f>IFERROR(H49/D49*1000,"")</f>
        <v/>
      </c>
      <c r="N49" s="13" t="n">
        <v>4820</v>
      </c>
      <c r="O49" s="15">
        <f>IFERROR(IF(OR(N49="",ISBLANK(INDIRECT("'"&amp;$Q$2&amp;"'!N"&amp;ROW()))),"",N49-INDIRECT("'"&amp;$Q$2&amp;"'!N"&amp;ROW())),"")</f>
        <v/>
      </c>
      <c r="P49" s="2" t="n"/>
      <c r="Q49" s="2" t="n"/>
      <c r="R49" s="2" t="n"/>
      <c r="S49" s="18">
        <f>IFERROR(IF(ISBLANK(INDIRECT("'"&amp;$Q$2&amp;"'!G"&amp;ROW())),"",INDIRECT("'"&amp;$Q$2&amp;"'!G"&amp;ROW())),"")</f>
        <v/>
      </c>
      <c r="T49" s="20">
        <f>IF(OR($G49="",$S49=""),"",$G49-$S49)</f>
        <v/>
      </c>
      <c r="U49" s="18">
        <f>IFERROR(IF(ISBLANK(INDIRECT("'"&amp;$Q$2&amp;"'!K"&amp;ROW())),"",INDIRECT("'"&amp;$Q$2&amp;"'!K"&amp;ROW())),"")</f>
        <v/>
      </c>
      <c r="V49" s="20">
        <f>IF(OR($K49="",$U49=""),"",$K49-$U49)</f>
        <v/>
      </c>
      <c r="W49" s="21">
        <f>IFERROR(IF(ISBLANK(INDIRECT("'"&amp;$Q$2&amp;"'!O"&amp;ROW())),"",INDIRECT("'"&amp;$Q$2&amp;"'!O"&amp;ROW())),"")</f>
        <v/>
      </c>
      <c r="X49" s="21">
        <f>IF(OR($O49="",$W49=""),"",$O49-$W49)</f>
        <v/>
      </c>
      <c r="Y49" s="2" t="n"/>
      <c r="Z49" s="2" t="n"/>
    </row>
    <row r="50" ht="14.25" customHeight="1" s="58">
      <c r="A50" s="12" t="inlineStr">
        <is>
          <t>Одноклассники</t>
        </is>
      </c>
      <c r="B50" s="12" t="inlineStr">
        <is>
          <t>Морошка</t>
        </is>
      </c>
      <c r="C50" s="13" t="n">
        <v>6</v>
      </c>
      <c r="D50" s="13" t="n">
        <v>327</v>
      </c>
      <c r="E50" s="13">
        <f>IF($D50="","",IFERROR(IF(ISBLANK(INDIRECT("'"&amp;$Q$2&amp;"'!D"&amp;ROW())),"",INDIRECT("'"&amp;$Q$2&amp;"'!D"&amp;ROW())),""))</f>
        <v/>
      </c>
      <c r="F50" s="15">
        <f>IF(OR(D50="",E50=""),"",D50-E50)</f>
        <v/>
      </c>
      <c r="G50" s="16">
        <f>IFERROR(F50/E50,"")</f>
        <v/>
      </c>
      <c r="H50" s="13" t="n">
        <v>3</v>
      </c>
      <c r="I50" s="13">
        <f>IF($H50="","",IFERROR(IF(ISBLANK(INDIRECT("'"&amp;$Q$2&amp;"'!H"&amp;ROW())),"",INDIRECT("'"&amp;$Q$2&amp;"'!H"&amp;ROW())),""))</f>
        <v/>
      </c>
      <c r="J50" s="15">
        <f>IF(OR(H50="",I50=""),"",H50-I50)</f>
        <v/>
      </c>
      <c r="K50" s="16">
        <f>IFERROR(J50/I50,"")</f>
        <v/>
      </c>
      <c r="L50" s="13">
        <f>IFERROR(D50/C50,"")</f>
        <v/>
      </c>
      <c r="M50" s="13">
        <f>IFERROR(H50/D50*1000,"")</f>
        <v/>
      </c>
      <c r="N50" s="13" t="n">
        <v>42</v>
      </c>
      <c r="O50" s="15">
        <f>IFERROR(IF(OR(N50="",ISBLANK(INDIRECT("'"&amp;$Q$2&amp;"'!N"&amp;ROW()))),"",N50-INDIRECT("'"&amp;$Q$2&amp;"'!N"&amp;ROW())),"")</f>
        <v/>
      </c>
      <c r="P50" s="2" t="n"/>
      <c r="Q50" s="2" t="n"/>
      <c r="R50" s="2" t="n"/>
      <c r="S50" s="18">
        <f>IFERROR(IF(ISBLANK(INDIRECT("'"&amp;$Q$2&amp;"'!G"&amp;ROW())),"",INDIRECT("'"&amp;$Q$2&amp;"'!G"&amp;ROW())),"")</f>
        <v/>
      </c>
      <c r="T50" s="20">
        <f>IF(OR($G50="",$S50=""),"",$G50-$S50)</f>
        <v/>
      </c>
      <c r="U50" s="18">
        <f>IFERROR(IF(ISBLANK(INDIRECT("'"&amp;$Q$2&amp;"'!K"&amp;ROW())),"",INDIRECT("'"&amp;$Q$2&amp;"'!K"&amp;ROW())),"")</f>
        <v/>
      </c>
      <c r="V50" s="20">
        <f>IF(OR($K50="",$U50=""),"",$K50-$U50)</f>
        <v/>
      </c>
      <c r="W50" s="21">
        <f>IFERROR(IF(ISBLANK(INDIRECT("'"&amp;$Q$2&amp;"'!O"&amp;ROW())),"",INDIRECT("'"&amp;$Q$2&amp;"'!O"&amp;ROW())),"")</f>
        <v/>
      </c>
      <c r="X50" s="21">
        <f>IF(OR($O50="",$W50=""),"",$O50-$W50)</f>
        <v/>
      </c>
      <c r="Y50" s="2" t="n"/>
      <c r="Z50" s="2" t="n"/>
    </row>
    <row r="51" ht="14.25" customHeight="1" s="58">
      <c r="A51" s="25" t="n"/>
      <c r="B51" s="25" t="inlineStr">
        <is>
          <t>Итого Одноклассники</t>
        </is>
      </c>
      <c r="C51" s="26">
        <f>SUM(C31:C50)</f>
        <v/>
      </c>
      <c r="D51" s="26">
        <f>SUM(D31:D50)</f>
        <v/>
      </c>
      <c r="E51" s="26">
        <f>SUM(E31:E50)</f>
        <v/>
      </c>
      <c r="F51" s="27">
        <f>SUM(F31:F50)</f>
        <v/>
      </c>
      <c r="G51" s="28">
        <f>IF(C51=0,"",IFERROR(F51/E51,""))</f>
        <v/>
      </c>
      <c r="H51" s="26">
        <f>SUM(H31:H50)</f>
        <v/>
      </c>
      <c r="I51" s="26">
        <f>SUM(I31:I50)</f>
        <v/>
      </c>
      <c r="J51" s="27">
        <f>SUM(J31:J50)</f>
        <v/>
      </c>
      <c r="K51" s="28">
        <f>IF(C51=0,"",IFERROR(J51/I51,""))</f>
        <v/>
      </c>
      <c r="L51" s="26">
        <f>IFERROR(D51/C51,"")</f>
        <v/>
      </c>
      <c r="M51" s="26">
        <f>IFERROR(H51/D51*1000,"")</f>
        <v/>
      </c>
      <c r="N51" s="26">
        <f>SUM(N31:N50)</f>
        <v/>
      </c>
      <c r="O51" s="27">
        <f>SUM(O31:O50)</f>
        <v/>
      </c>
      <c r="P51" s="2" t="n"/>
      <c r="Q51" s="2" t="n"/>
      <c r="R51" s="2" t="n"/>
      <c r="S51" s="29">
        <f>IFERROR(IF(ISBLANK(INDIRECT("'"&amp;$Q$2&amp;"'!G"&amp;ROW())),"",INDIRECT("'"&amp;$Q$2&amp;"'!G"&amp;ROW())),"")</f>
        <v/>
      </c>
      <c r="T51" s="30">
        <f>IF(OR($G51="",$S51=""),"",$G51-$S51)</f>
        <v/>
      </c>
      <c r="U51" s="29">
        <f>IFERROR(IF(ISBLANK(INDIRECT("'"&amp;$Q$2&amp;"'!K"&amp;ROW())),"",INDIRECT("'"&amp;$Q$2&amp;"'!K"&amp;ROW())),"")</f>
        <v/>
      </c>
      <c r="V51" s="30">
        <f>IF(OR($K51="",$U51=""),"",$K51-$U51)</f>
        <v/>
      </c>
      <c r="W51" s="31">
        <f>IFERROR(IF(ISBLANK(INDIRECT("'"&amp;$Q$2&amp;"'!O"&amp;ROW())),"",INDIRECT("'"&amp;$Q$2&amp;"'!O"&amp;ROW())),"")</f>
        <v/>
      </c>
      <c r="X51" s="31">
        <f>IF(OR(C51=0,$O51="",$W51=""),"",$O51-$W51)</f>
        <v/>
      </c>
      <c r="Y51" s="2" t="n"/>
      <c r="Z51" s="2" t="n"/>
    </row>
    <row r="52" ht="14.25" customHeight="1" s="58">
      <c r="A52" s="12" t="inlineStr">
        <is>
          <t>Telegram</t>
        </is>
      </c>
      <c r="B52" s="12" t="inlineStr">
        <is>
          <t>Ямал-Медиа</t>
        </is>
      </c>
      <c r="C52" s="13" t="n">
        <v>149</v>
      </c>
      <c r="D52" s="13" t="n">
        <v>41618</v>
      </c>
      <c r="E52" s="13">
        <f>IF($D52="","",IFERROR(IF(ISBLANK(INDIRECT("'"&amp;$Q$2&amp;"'!D"&amp;ROW())),"",INDIRECT("'"&amp;$Q$2&amp;"'!D"&amp;ROW())),""))</f>
        <v/>
      </c>
      <c r="F52" s="15">
        <f>IF(OR(D52="",E52=""),"",D52-E52)</f>
        <v/>
      </c>
      <c r="G52" s="16">
        <f>IFERROR(F52/E52,"")</f>
        <v/>
      </c>
      <c r="H52" s="13" t="n">
        <v>257</v>
      </c>
      <c r="I52" s="13">
        <f>IF($H52="","",IFERROR(IF(ISBLANK(INDIRECT("'"&amp;$Q$2&amp;"'!H"&amp;ROW())),"",INDIRECT("'"&amp;$Q$2&amp;"'!H"&amp;ROW())),""))</f>
        <v/>
      </c>
      <c r="J52" s="15">
        <f>IF(OR(H52="",I52=""),"",H52-I52)</f>
        <v/>
      </c>
      <c r="K52" s="16">
        <f>IFERROR(J52/I52,"")</f>
        <v/>
      </c>
      <c r="L52" s="13">
        <f>IFERROR(D52/C52,"")</f>
        <v/>
      </c>
      <c r="M52" s="13">
        <f>IFERROR(H52/D52*1000,"")</f>
        <v/>
      </c>
      <c r="N52" s="13" t="n">
        <v>11789</v>
      </c>
      <c r="O52" s="15">
        <f>IFERROR(IF(OR(N52="",ISBLANK(INDIRECT("'"&amp;$Q$2&amp;"'!N"&amp;ROW()))),"",N52-INDIRECT("'"&amp;$Q$2&amp;"'!N"&amp;ROW())),"")</f>
        <v/>
      </c>
      <c r="P52" s="2" t="n"/>
      <c r="Q52" s="2" t="n"/>
      <c r="R52" s="2" t="n"/>
      <c r="S52" s="18">
        <f>IFERROR(IF(ISBLANK(INDIRECT("'"&amp;$Q$2&amp;"'!G"&amp;ROW())),"",INDIRECT("'"&amp;$Q$2&amp;"'!G"&amp;ROW())),"")</f>
        <v/>
      </c>
      <c r="T52" s="20">
        <f>IF(OR($G52="",$S52=""),"",$G52-$S52)</f>
        <v/>
      </c>
      <c r="U52" s="18">
        <f>IFERROR(IF(ISBLANK(INDIRECT("'"&amp;$Q$2&amp;"'!K"&amp;ROW())),"",INDIRECT("'"&amp;$Q$2&amp;"'!K"&amp;ROW())),"")</f>
        <v/>
      </c>
      <c r="V52" s="20">
        <f>IF(OR($K52="",$U52=""),"",$K52-$U52)</f>
        <v/>
      </c>
      <c r="W52" s="21">
        <f>IFERROR(IF(ISBLANK(INDIRECT("'"&amp;$Q$2&amp;"'!O"&amp;ROW())),"",INDIRECT("'"&amp;$Q$2&amp;"'!O"&amp;ROW())),"")</f>
        <v/>
      </c>
      <c r="X52" s="21">
        <f>IF(OR($O52="",$W52=""),"",$O52-$W52)</f>
        <v/>
      </c>
      <c r="Y52" s="2" t="n"/>
      <c r="Z52" s="2" t="n"/>
    </row>
    <row r="53" ht="14.25" customHeight="1" s="58">
      <c r="A53" s="12" t="inlineStr">
        <is>
          <t>Telegram</t>
        </is>
      </c>
      <c r="B53" s="12" t="inlineStr">
        <is>
          <t>Север-Пресс</t>
        </is>
      </c>
      <c r="C53" s="13" t="n">
        <v>149</v>
      </c>
      <c r="D53" s="13" t="n">
        <v>34910</v>
      </c>
      <c r="E53" s="13">
        <f>IF($D53="","",IFERROR(IF(ISBLANK(INDIRECT("'"&amp;$Q$2&amp;"'!D"&amp;ROW())),"",INDIRECT("'"&amp;$Q$2&amp;"'!D"&amp;ROW())),""))</f>
        <v/>
      </c>
      <c r="F53" s="15">
        <f>IF(OR(D53="",E53=""),"",D53-E53)</f>
        <v/>
      </c>
      <c r="G53" s="16">
        <f>IFERROR(F53/E53,"")</f>
        <v/>
      </c>
      <c r="H53" s="13" t="n">
        <v>41</v>
      </c>
      <c r="I53" s="13">
        <f>IF($H53="","",IFERROR(IF(ISBLANK(INDIRECT("'"&amp;$Q$2&amp;"'!H"&amp;ROW())),"",INDIRECT("'"&amp;$Q$2&amp;"'!H"&amp;ROW())),""))</f>
        <v/>
      </c>
      <c r="J53" s="15">
        <f>IF(OR(H53="",I53=""),"",H53-I53)</f>
        <v/>
      </c>
      <c r="K53" s="16">
        <f>IFERROR(J53/I53,"")</f>
        <v/>
      </c>
      <c r="L53" s="13">
        <f>IFERROR(D53/C53,"")</f>
        <v/>
      </c>
      <c r="M53" s="13">
        <f>IFERROR(H53/D53*1000,"")</f>
        <v/>
      </c>
      <c r="N53" s="13" t="n">
        <v>4817</v>
      </c>
      <c r="O53" s="15">
        <f>IFERROR(IF(OR(N53="",ISBLANK(INDIRECT("'"&amp;$Q$2&amp;"'!N"&amp;ROW()))),"",N53-INDIRECT("'"&amp;$Q$2&amp;"'!N"&amp;ROW())),"")</f>
        <v/>
      </c>
      <c r="P53" s="2" t="n"/>
      <c r="Q53" s="2" t="n"/>
      <c r="R53" s="2" t="n"/>
      <c r="S53" s="18">
        <f>IFERROR(IF(ISBLANK(INDIRECT("'"&amp;$Q$2&amp;"'!G"&amp;ROW())),"",INDIRECT("'"&amp;$Q$2&amp;"'!G"&amp;ROW())),"")</f>
        <v/>
      </c>
      <c r="T53" s="20">
        <f>IF(OR($G53="",$S53=""),"",$G53-$S53)</f>
        <v/>
      </c>
      <c r="U53" s="18">
        <f>IFERROR(IF(ISBLANK(INDIRECT("'"&amp;$Q$2&amp;"'!K"&amp;ROW())),"",INDIRECT("'"&amp;$Q$2&amp;"'!K"&amp;ROW())),"")</f>
        <v/>
      </c>
      <c r="V53" s="20">
        <f>IF(OR($K53="",$U53=""),"",$K53-$U53)</f>
        <v/>
      </c>
      <c r="W53" s="21">
        <f>IFERROR(IF(ISBLANK(INDIRECT("'"&amp;$Q$2&amp;"'!O"&amp;ROW())),"",INDIRECT("'"&amp;$Q$2&amp;"'!O"&amp;ROW())),"")</f>
        <v/>
      </c>
      <c r="X53" s="21">
        <f>IF(OR($O53="",$W53=""),"",$O53-$W53)</f>
        <v/>
      </c>
      <c r="Y53" s="2" t="n"/>
      <c r="Z53" s="2" t="n"/>
    </row>
    <row r="54" ht="14.25" customHeight="1" s="58">
      <c r="A54" s="12" t="inlineStr">
        <is>
          <t>Telegram</t>
        </is>
      </c>
      <c r="B54" s="12" t="inlineStr">
        <is>
          <t>Красный Север</t>
        </is>
      </c>
      <c r="C54" s="13" t="n">
        <v>101</v>
      </c>
      <c r="D54" s="13" t="n">
        <v>2614</v>
      </c>
      <c r="E54" s="13">
        <f>IF($D54="","",IFERROR(IF(ISBLANK(INDIRECT("'"&amp;$Q$2&amp;"'!D"&amp;ROW())),"",INDIRECT("'"&amp;$Q$2&amp;"'!D"&amp;ROW())),""))</f>
        <v/>
      </c>
      <c r="F54" s="15">
        <f>IF(OR(D54="",E54=""),"",D54-E54)</f>
        <v/>
      </c>
      <c r="G54" s="16">
        <f>IFERROR(F54/E54,"")</f>
        <v/>
      </c>
      <c r="H54" s="13" t="n">
        <v>1</v>
      </c>
      <c r="I54" s="13">
        <f>IF($H54="","",IFERROR(IF(ISBLANK(INDIRECT("'"&amp;$Q$2&amp;"'!H"&amp;ROW())),"",INDIRECT("'"&amp;$Q$2&amp;"'!H"&amp;ROW())),""))</f>
        <v/>
      </c>
      <c r="J54" s="15">
        <f>IF(OR(H54="",I54=""),"",H54-I54)</f>
        <v/>
      </c>
      <c r="K54" s="16">
        <f>IFERROR(J54/I54,"")</f>
        <v/>
      </c>
      <c r="L54" s="13">
        <f>IFERROR(D54/C54,"")</f>
        <v/>
      </c>
      <c r="M54" s="13">
        <f>IFERROR(H54/D54*1000,"")</f>
        <v/>
      </c>
      <c r="N54" s="13" t="n">
        <v>873</v>
      </c>
      <c r="O54" s="15">
        <f>IFERROR(IF(OR(N54="",ISBLANK(INDIRECT("'"&amp;$Q$2&amp;"'!N"&amp;ROW()))),"",N54-INDIRECT("'"&amp;$Q$2&amp;"'!N"&amp;ROW())),"")</f>
        <v/>
      </c>
      <c r="P54" s="2" t="n"/>
      <c r="Q54" s="2" t="n"/>
      <c r="R54" s="2" t="n"/>
      <c r="S54" s="18">
        <f>IFERROR(IF(ISBLANK(INDIRECT("'"&amp;$Q$2&amp;"'!G"&amp;ROW())),"",INDIRECT("'"&amp;$Q$2&amp;"'!G"&amp;ROW())),"")</f>
        <v/>
      </c>
      <c r="T54" s="20">
        <f>IF(OR($G54="",$S54=""),"",$G54-$S54)</f>
        <v/>
      </c>
      <c r="U54" s="18">
        <f>IFERROR(IF(ISBLANK(INDIRECT("'"&amp;$Q$2&amp;"'!K"&amp;ROW())),"",INDIRECT("'"&amp;$Q$2&amp;"'!K"&amp;ROW())),"")</f>
        <v/>
      </c>
      <c r="V54" s="20">
        <f>IF(OR($K54="",$U54=""),"",$K54-$U54)</f>
        <v/>
      </c>
      <c r="W54" s="21">
        <f>IFERROR(IF(ISBLANK(INDIRECT("'"&amp;$Q$2&amp;"'!O"&amp;ROW())),"",INDIRECT("'"&amp;$Q$2&amp;"'!O"&amp;ROW())),"")</f>
        <v/>
      </c>
      <c r="X54" s="21">
        <f>IF(OR($O54="",$W54=""),"",$O54-$W54)</f>
        <v/>
      </c>
      <c r="Y54" s="2" t="n"/>
      <c r="Z54" s="2" t="n"/>
    </row>
    <row r="55" ht="14.25" customHeight="1" s="58">
      <c r="A55" s="12" t="inlineStr">
        <is>
          <t>Telegram</t>
        </is>
      </c>
      <c r="B55" s="12" t="inlineStr">
        <is>
          <t>СМП</t>
        </is>
      </c>
      <c r="C55" s="13" t="n">
        <v>10</v>
      </c>
      <c r="D55" s="13" t="n">
        <v>34446</v>
      </c>
      <c r="E55" s="13">
        <f>IF($D55="","",IFERROR(IF(ISBLANK(INDIRECT("'"&amp;$Q$2&amp;"'!D"&amp;ROW())),"",INDIRECT("'"&amp;$Q$2&amp;"'!D"&amp;ROW())),""))</f>
        <v/>
      </c>
      <c r="F55" s="15">
        <f>IF(OR(D55="",E55=""),"",D55-E55)</f>
        <v/>
      </c>
      <c r="G55" s="16">
        <f>IFERROR(F55/E55,"")</f>
        <v/>
      </c>
      <c r="H55" s="13" t="n">
        <v>28</v>
      </c>
      <c r="I55" s="13">
        <f>IF($H55="","",IFERROR(IF(ISBLANK(INDIRECT("'"&amp;$Q$2&amp;"'!H"&amp;ROW())),"",INDIRECT("'"&amp;$Q$2&amp;"'!H"&amp;ROW())),""))</f>
        <v/>
      </c>
      <c r="J55" s="15">
        <f>IF(OR(H55="",I55=""),"",H55-I55)</f>
        <v/>
      </c>
      <c r="K55" s="16">
        <f>IFERROR(J55/I55,"")</f>
        <v/>
      </c>
      <c r="L55" s="13">
        <f>IFERROR(D55/C55,"")</f>
        <v/>
      </c>
      <c r="M55" s="13">
        <f>IFERROR(H55/D55*1000,"")</f>
        <v/>
      </c>
      <c r="N55" s="13" t="n">
        <v>13819</v>
      </c>
      <c r="O55" s="15">
        <f>IFERROR(IF(OR(N55="",ISBLANK(INDIRECT("'"&amp;$Q$2&amp;"'!N"&amp;ROW()))),"",N55-INDIRECT("'"&amp;$Q$2&amp;"'!N"&amp;ROW())),"")</f>
        <v/>
      </c>
      <c r="P55" s="2" t="n"/>
      <c r="Q55" s="2" t="n"/>
      <c r="R55" s="2" t="n"/>
      <c r="S55" s="18">
        <f>IFERROR(IF(ISBLANK(INDIRECT("'"&amp;$Q$2&amp;"'!G"&amp;ROW())),"",INDIRECT("'"&amp;$Q$2&amp;"'!G"&amp;ROW())),"")</f>
        <v/>
      </c>
      <c r="T55" s="20">
        <f>IF(OR($G55="",$S55=""),"",$G55-$S55)</f>
        <v/>
      </c>
      <c r="U55" s="18">
        <f>IFERROR(IF(ISBLANK(INDIRECT("'"&amp;$Q$2&amp;"'!K"&amp;ROW())),"",INDIRECT("'"&amp;$Q$2&amp;"'!K"&amp;ROW())),"")</f>
        <v/>
      </c>
      <c r="V55" s="20">
        <f>IF(OR($K55="",$U55=""),"",$K55-$U55)</f>
        <v/>
      </c>
      <c r="W55" s="21">
        <f>IFERROR(IF(ISBLANK(INDIRECT("'"&amp;$Q$2&amp;"'!O"&amp;ROW())),"",INDIRECT("'"&amp;$Q$2&amp;"'!O"&amp;ROW())),"")</f>
        <v/>
      </c>
      <c r="X55" s="21">
        <f>IF(OR($O55="",$W55=""),"",$O55-$W55)</f>
        <v/>
      </c>
      <c r="Y55" s="2" t="n"/>
      <c r="Z55" s="2" t="n"/>
    </row>
    <row r="56" ht="14.25" customHeight="1" s="58">
      <c r="A56" s="12" t="inlineStr">
        <is>
          <t>Telegram</t>
        </is>
      </c>
      <c r="B56" s="12" t="inlineStr">
        <is>
          <t>СШХ</t>
        </is>
      </c>
      <c r="C56" s="13" t="n">
        <v>8</v>
      </c>
      <c r="D56" s="13" t="n">
        <v>1684</v>
      </c>
      <c r="E56" s="13">
        <f>IF($D56="","",IFERROR(IF(ISBLANK(INDIRECT("'"&amp;$Q$2&amp;"'!D"&amp;ROW())),"",INDIRECT("'"&amp;$Q$2&amp;"'!D"&amp;ROW())),""))</f>
        <v/>
      </c>
      <c r="F56" s="15">
        <f>IF(OR(D56="",E56=""),"",D56-E56)</f>
        <v/>
      </c>
      <c r="G56" s="16">
        <f>IFERROR(F56/E56,"")</f>
        <v/>
      </c>
      <c r="H56" s="13" t="n">
        <v>10</v>
      </c>
      <c r="I56" s="13">
        <f>IF($H56="","",IFERROR(IF(ISBLANK(INDIRECT("'"&amp;$Q$2&amp;"'!H"&amp;ROW())),"",INDIRECT("'"&amp;$Q$2&amp;"'!H"&amp;ROW())),""))</f>
        <v/>
      </c>
      <c r="J56" s="15">
        <f>IF(OR(H56="",I56=""),"",H56-I56)</f>
        <v/>
      </c>
      <c r="K56" s="16">
        <f>IFERROR(J56/I56,"")</f>
        <v/>
      </c>
      <c r="L56" s="13">
        <f>IFERROR(D56/C56,"")</f>
        <v/>
      </c>
      <c r="M56" s="13">
        <f>IFERROR(H56/D56*1000,"")</f>
        <v/>
      </c>
      <c r="N56" s="13" t="n">
        <v>8660</v>
      </c>
      <c r="O56" s="15">
        <f>IFERROR(IF(OR(N56="",ISBLANK(INDIRECT("'"&amp;$Q$2&amp;"'!N"&amp;ROW()))),"",N56-INDIRECT("'"&amp;$Q$2&amp;"'!N"&amp;ROW())),"")</f>
        <v/>
      </c>
      <c r="P56" s="2" t="n"/>
      <c r="Q56" s="2" t="n"/>
      <c r="R56" s="2" t="n"/>
      <c r="S56" s="18">
        <f>IFERROR(IF(ISBLANK(INDIRECT("'"&amp;$Q$2&amp;"'!G"&amp;ROW())),"",INDIRECT("'"&amp;$Q$2&amp;"'!G"&amp;ROW())),"")</f>
        <v/>
      </c>
      <c r="T56" s="20">
        <f>IF(OR($G56="",$S56=""),"",$G56-$S56)</f>
        <v/>
      </c>
      <c r="U56" s="18">
        <f>IFERROR(IF(ISBLANK(INDIRECT("'"&amp;$Q$2&amp;"'!K"&amp;ROW())),"",INDIRECT("'"&amp;$Q$2&amp;"'!K"&amp;ROW())),"")</f>
        <v/>
      </c>
      <c r="V56" s="20">
        <f>IF(OR($K56="",$U56=""),"",$K56-$U56)</f>
        <v/>
      </c>
      <c r="W56" s="21">
        <f>IFERROR(IF(ISBLANK(INDIRECT("'"&amp;$Q$2&amp;"'!O"&amp;ROW())),"",INDIRECT("'"&amp;$Q$2&amp;"'!O"&amp;ROW())),"")</f>
        <v/>
      </c>
      <c r="X56" s="21">
        <f>IF(OR($O56="",$W56=""),"",$O56-$W56)</f>
        <v/>
      </c>
      <c r="Y56" s="2" t="n"/>
      <c r="Z56" s="2" t="n"/>
    </row>
    <row r="57" ht="14.25" customHeight="1" s="58">
      <c r="A57" s="12" t="inlineStr">
        <is>
          <t>Telegram</t>
        </is>
      </c>
      <c r="B57" s="12" t="inlineStr">
        <is>
          <t>Новый Уренгой</t>
        </is>
      </c>
      <c r="C57" s="13" t="n">
        <v>128</v>
      </c>
      <c r="D57" s="13" t="n">
        <v>80456</v>
      </c>
      <c r="E57" s="13">
        <f>IF($D57="","",IFERROR(IF(ISBLANK(INDIRECT("'"&amp;$Q$2&amp;"'!D"&amp;ROW())),"",INDIRECT("'"&amp;$Q$2&amp;"'!D"&amp;ROW())),""))</f>
        <v/>
      </c>
      <c r="F57" s="15">
        <f>IF(OR(D57="",E57=""),"",D57-E57)</f>
        <v/>
      </c>
      <c r="G57" s="16">
        <f>IFERROR(F57/E57,"")</f>
        <v/>
      </c>
      <c r="H57" s="13" t="n">
        <v>347</v>
      </c>
      <c r="I57" s="13">
        <f>IF($H57="","",IFERROR(IF(ISBLANK(INDIRECT("'"&amp;$Q$2&amp;"'!H"&amp;ROW())),"",INDIRECT("'"&amp;$Q$2&amp;"'!H"&amp;ROW())),""))</f>
        <v/>
      </c>
      <c r="J57" s="15">
        <f>IF(OR(H57="",I57=""),"",H57-I57)</f>
        <v/>
      </c>
      <c r="K57" s="16">
        <f>IFERROR(J57/I57,"")</f>
        <v/>
      </c>
      <c r="L57" s="13">
        <f>IFERROR(D57/C57,"")</f>
        <v/>
      </c>
      <c r="M57" s="13">
        <f>IFERROR(H57/D57*1000,"")</f>
        <v/>
      </c>
      <c r="N57" s="13" t="n">
        <v>10912</v>
      </c>
      <c r="O57" s="15">
        <f>IFERROR(IF(OR(N57="",ISBLANK(INDIRECT("'"&amp;$Q$2&amp;"'!N"&amp;ROW()))),"",N57-INDIRECT("'"&amp;$Q$2&amp;"'!N"&amp;ROW())),"")</f>
        <v/>
      </c>
      <c r="P57" s="2" t="n"/>
      <c r="Q57" s="2" t="n"/>
      <c r="R57" s="2" t="n"/>
      <c r="S57" s="18">
        <f>IFERROR(IF(ISBLANK(INDIRECT("'"&amp;$Q$2&amp;"'!G"&amp;ROW())),"",INDIRECT("'"&amp;$Q$2&amp;"'!G"&amp;ROW())),"")</f>
        <v/>
      </c>
      <c r="T57" s="20">
        <f>IF(OR($G57="",$S57=""),"",$G57-$S57)</f>
        <v/>
      </c>
      <c r="U57" s="18">
        <f>IFERROR(IF(ISBLANK(INDIRECT("'"&amp;$Q$2&amp;"'!K"&amp;ROW())),"",INDIRECT("'"&amp;$Q$2&amp;"'!K"&amp;ROW())),"")</f>
        <v/>
      </c>
      <c r="V57" s="20">
        <f>IF(OR($K57="",$U57=""),"",$K57-$U57)</f>
        <v/>
      </c>
      <c r="W57" s="21">
        <f>IFERROR(IF(ISBLANK(INDIRECT("'"&amp;$Q$2&amp;"'!O"&amp;ROW())),"",INDIRECT("'"&amp;$Q$2&amp;"'!O"&amp;ROW())),"")</f>
        <v/>
      </c>
      <c r="X57" s="21">
        <f>IF(OR($O57="",$W57=""),"",$O57-$W57)</f>
        <v/>
      </c>
      <c r="Y57" s="2" t="n"/>
      <c r="Z57" s="2" t="n"/>
    </row>
    <row r="58" ht="14.25" customHeight="1" s="58">
      <c r="A58" s="12" t="inlineStr">
        <is>
          <t>Telegram</t>
        </is>
      </c>
      <c r="B58" s="12" t="inlineStr">
        <is>
          <t>Надым</t>
        </is>
      </c>
      <c r="C58" s="13" t="n">
        <v>124</v>
      </c>
      <c r="D58" s="13" t="n">
        <v>24487</v>
      </c>
      <c r="E58" s="13">
        <f>IF($D58="","",IFERROR(IF(ISBLANK(INDIRECT("'"&amp;$Q$2&amp;"'!D"&amp;ROW())),"",INDIRECT("'"&amp;$Q$2&amp;"'!D"&amp;ROW())),""))</f>
        <v/>
      </c>
      <c r="F58" s="15">
        <f>IF(OR(D58="",E58=""),"",D58-E58)</f>
        <v/>
      </c>
      <c r="G58" s="16">
        <f>IFERROR(F58/E58,"")</f>
        <v/>
      </c>
      <c r="H58" s="13" t="n">
        <v>280</v>
      </c>
      <c r="I58" s="13">
        <f>IF($H58="","",IFERROR(IF(ISBLANK(INDIRECT("'"&amp;$Q$2&amp;"'!H"&amp;ROW())),"",INDIRECT("'"&amp;$Q$2&amp;"'!H"&amp;ROW())),""))</f>
        <v/>
      </c>
      <c r="J58" s="15">
        <f>IF(OR(H58="",I58=""),"",H58-I58)</f>
        <v/>
      </c>
      <c r="K58" s="16">
        <f>IFERROR(J58/I58,"")</f>
        <v/>
      </c>
      <c r="L58" s="13">
        <f>IFERROR(D58/C58,"")</f>
        <v/>
      </c>
      <c r="M58" s="13">
        <f>IFERROR(H58/D58*1000,"")</f>
        <v/>
      </c>
      <c r="N58" s="13" t="n">
        <v>4109</v>
      </c>
      <c r="O58" s="15">
        <f>IFERROR(IF(OR(N58="",ISBLANK(INDIRECT("'"&amp;$Q$2&amp;"'!N"&amp;ROW()))),"",N58-INDIRECT("'"&amp;$Q$2&amp;"'!N"&amp;ROW())),"")</f>
        <v/>
      </c>
      <c r="P58" s="2" t="n"/>
      <c r="Q58" s="2" t="n"/>
      <c r="R58" s="2" t="n"/>
      <c r="S58" s="18">
        <f>IFERROR(IF(ISBLANK(INDIRECT("'"&amp;$Q$2&amp;"'!G"&amp;ROW())),"",INDIRECT("'"&amp;$Q$2&amp;"'!G"&amp;ROW())),"")</f>
        <v/>
      </c>
      <c r="T58" s="20">
        <f>IF(OR($G58="",$S58=""),"",$G58-$S58)</f>
        <v/>
      </c>
      <c r="U58" s="18">
        <f>IFERROR(IF(ISBLANK(INDIRECT("'"&amp;$Q$2&amp;"'!K"&amp;ROW())),"",INDIRECT("'"&amp;$Q$2&amp;"'!K"&amp;ROW())),"")</f>
        <v/>
      </c>
      <c r="V58" s="20">
        <f>IF(OR($K58="",$U58=""),"",$K58-$U58)</f>
        <v/>
      </c>
      <c r="W58" s="21">
        <f>IFERROR(IF(ISBLANK(INDIRECT("'"&amp;$Q$2&amp;"'!O"&amp;ROW())),"",INDIRECT("'"&amp;$Q$2&amp;"'!O"&amp;ROW())),"")</f>
        <v/>
      </c>
      <c r="X58" s="21">
        <f>IF(OR($O58="",$W58=""),"",$O58-$W58)</f>
        <v/>
      </c>
      <c r="Y58" s="2" t="n"/>
      <c r="Z58" s="2" t="n"/>
    </row>
    <row r="59" ht="14.25" customHeight="1" s="58">
      <c r="A59" s="12" t="inlineStr">
        <is>
          <t>Telegram</t>
        </is>
      </c>
      <c r="B59" s="12" t="inlineStr">
        <is>
          <t>Ноябрьск</t>
        </is>
      </c>
      <c r="C59" s="13" t="n">
        <v>119</v>
      </c>
      <c r="D59" s="13" t="n">
        <v>37935</v>
      </c>
      <c r="E59" s="13">
        <f>IF($D59="","",IFERROR(IF(ISBLANK(INDIRECT("'"&amp;$Q$2&amp;"'!D"&amp;ROW())),"",INDIRECT("'"&amp;$Q$2&amp;"'!D"&amp;ROW())),""))</f>
        <v/>
      </c>
      <c r="F59" s="15">
        <f>IF(OR(D59="",E59=""),"",D59-E59)</f>
        <v/>
      </c>
      <c r="G59" s="16">
        <f>IFERROR(F59/E59,"")</f>
        <v/>
      </c>
      <c r="H59" s="13" t="n">
        <v>235</v>
      </c>
      <c r="I59" s="13">
        <f>IF($H59="","",IFERROR(IF(ISBLANK(INDIRECT("'"&amp;$Q$2&amp;"'!H"&amp;ROW())),"",INDIRECT("'"&amp;$Q$2&amp;"'!H"&amp;ROW())),""))</f>
        <v/>
      </c>
      <c r="J59" s="15">
        <f>IF(OR(H59="",I59=""),"",H59-I59)</f>
        <v/>
      </c>
      <c r="K59" s="16">
        <f>IFERROR(J59/I59,"")</f>
        <v/>
      </c>
      <c r="L59" s="13">
        <f>IFERROR(D59/C59,"")</f>
        <v/>
      </c>
      <c r="M59" s="13">
        <f>IFERROR(H59/D59*1000,"")</f>
        <v/>
      </c>
      <c r="N59" s="13" t="n">
        <v>5527</v>
      </c>
      <c r="O59" s="15">
        <f>IFERROR(IF(OR(N59="",ISBLANK(INDIRECT("'"&amp;$Q$2&amp;"'!N"&amp;ROW()))),"",N59-INDIRECT("'"&amp;$Q$2&amp;"'!N"&amp;ROW())),"")</f>
        <v/>
      </c>
      <c r="P59" s="2" t="n"/>
      <c r="Q59" s="2" t="n"/>
      <c r="R59" s="2" t="n"/>
      <c r="S59" s="18">
        <f>IFERROR(IF(ISBLANK(INDIRECT("'"&amp;$Q$2&amp;"'!G"&amp;ROW())),"",INDIRECT("'"&amp;$Q$2&amp;"'!G"&amp;ROW())),"")</f>
        <v/>
      </c>
      <c r="T59" s="20">
        <f>IF(OR($G59="",$S59=""),"",$G59-$S59)</f>
        <v/>
      </c>
      <c r="U59" s="18">
        <f>IFERROR(IF(ISBLANK(INDIRECT("'"&amp;$Q$2&amp;"'!K"&amp;ROW())),"",INDIRECT("'"&amp;$Q$2&amp;"'!K"&amp;ROW())),"")</f>
        <v/>
      </c>
      <c r="V59" s="20">
        <f>IF(OR($K59="",$U59=""),"",$K59-$U59)</f>
        <v/>
      </c>
      <c r="W59" s="21">
        <f>IFERROR(IF(ISBLANK(INDIRECT("'"&amp;$Q$2&amp;"'!O"&amp;ROW())),"",INDIRECT("'"&amp;$Q$2&amp;"'!O"&amp;ROW())),"")</f>
        <v/>
      </c>
      <c r="X59" s="21">
        <f>IF(OR($O59="",$W59=""),"",$O59-$W59)</f>
        <v/>
      </c>
      <c r="Y59" s="2" t="n"/>
      <c r="Z59" s="2" t="n"/>
    </row>
    <row r="60" ht="14.25" customHeight="1" s="58">
      <c r="A60" s="12" t="inlineStr">
        <is>
          <t>Telegram</t>
        </is>
      </c>
      <c r="B60" s="12" t="inlineStr">
        <is>
          <t>Салехард</t>
        </is>
      </c>
      <c r="C60" s="13" t="n">
        <v>155</v>
      </c>
      <c r="D60" s="13" t="n">
        <v>65888</v>
      </c>
      <c r="E60" s="13">
        <f>IF($D60="","",IFERROR(IF(ISBLANK(INDIRECT("'"&amp;$Q$2&amp;"'!D"&amp;ROW())),"",INDIRECT("'"&amp;$Q$2&amp;"'!D"&amp;ROW())),""))</f>
        <v/>
      </c>
      <c r="F60" s="15">
        <f>IF(OR(D60="",E60=""),"",D60-E60)</f>
        <v/>
      </c>
      <c r="G60" s="16">
        <f>IFERROR(F60/E60,"")</f>
        <v/>
      </c>
      <c r="H60" s="13" t="n">
        <v>167</v>
      </c>
      <c r="I60" s="13">
        <f>IF($H60="","",IFERROR(IF(ISBLANK(INDIRECT("'"&amp;$Q$2&amp;"'!H"&amp;ROW())),"",INDIRECT("'"&amp;$Q$2&amp;"'!H"&amp;ROW())),""))</f>
        <v/>
      </c>
      <c r="J60" s="15">
        <f>IF(OR(H60="",I60=""),"",H60-I60)</f>
        <v/>
      </c>
      <c r="K60" s="16">
        <f>IFERROR(J60/I60,"")</f>
        <v/>
      </c>
      <c r="L60" s="13">
        <f>IFERROR(D60/C60,"")</f>
        <v/>
      </c>
      <c r="M60" s="13">
        <f>IFERROR(H60/D60*1000,"")</f>
        <v/>
      </c>
      <c r="N60" s="13" t="n">
        <v>10422</v>
      </c>
      <c r="O60" s="15">
        <f>IFERROR(IF(OR(N60="",ISBLANK(INDIRECT("'"&amp;$Q$2&amp;"'!N"&amp;ROW()))),"",N60-INDIRECT("'"&amp;$Q$2&amp;"'!N"&amp;ROW())),"")</f>
        <v/>
      </c>
      <c r="P60" s="2" t="n"/>
      <c r="Q60" s="2" t="n"/>
      <c r="R60" s="2" t="n"/>
      <c r="S60" s="18">
        <f>IFERROR(IF(ISBLANK(INDIRECT("'"&amp;$Q$2&amp;"'!G"&amp;ROW())),"",INDIRECT("'"&amp;$Q$2&amp;"'!G"&amp;ROW())),"")</f>
        <v/>
      </c>
      <c r="T60" s="20">
        <f>IF(OR($G60="",$S60=""),"",$G60-$S60)</f>
        <v/>
      </c>
      <c r="U60" s="18">
        <f>IFERROR(IF(ISBLANK(INDIRECT("'"&amp;$Q$2&amp;"'!K"&amp;ROW())),"",INDIRECT("'"&amp;$Q$2&amp;"'!K"&amp;ROW())),"")</f>
        <v/>
      </c>
      <c r="V60" s="20">
        <f>IF(OR($K60="",$U60=""),"",$K60-$U60)</f>
        <v/>
      </c>
      <c r="W60" s="21">
        <f>IFERROR(IF(ISBLANK(INDIRECT("'"&amp;$Q$2&amp;"'!O"&amp;ROW())),"",INDIRECT("'"&amp;$Q$2&amp;"'!O"&amp;ROW())),"")</f>
        <v/>
      </c>
      <c r="X60" s="21">
        <f>IF(OR($O60="",$W60=""),"",$O60-$W60)</f>
        <v/>
      </c>
      <c r="Y60" s="2" t="n"/>
      <c r="Z60" s="2" t="n"/>
    </row>
    <row r="61" ht="14.25" customHeight="1" s="58">
      <c r="A61" s="12" t="inlineStr">
        <is>
          <t>Telegram</t>
        </is>
      </c>
      <c r="B61" s="12" t="inlineStr">
        <is>
          <t>Приуралье</t>
        </is>
      </c>
      <c r="C61" s="13" t="n">
        <v>114</v>
      </c>
      <c r="D61" s="13" t="n">
        <v>42793</v>
      </c>
      <c r="E61" s="13">
        <f>IF($D61="","",IFERROR(IF(ISBLANK(INDIRECT("'"&amp;$Q$2&amp;"'!D"&amp;ROW())),"",INDIRECT("'"&amp;$Q$2&amp;"'!D"&amp;ROW())),""))</f>
        <v/>
      </c>
      <c r="F61" s="15">
        <f>IF(OR(D61="",E61=""),"",D61-E61)</f>
        <v/>
      </c>
      <c r="G61" s="16">
        <f>IFERROR(F61/E61,"")</f>
        <v/>
      </c>
      <c r="H61" s="13" t="n">
        <v>131</v>
      </c>
      <c r="I61" s="13">
        <f>IF($H61="","",IFERROR(IF(ISBLANK(INDIRECT("'"&amp;$Q$2&amp;"'!H"&amp;ROW())),"",INDIRECT("'"&amp;$Q$2&amp;"'!H"&amp;ROW())),""))</f>
        <v/>
      </c>
      <c r="J61" s="15">
        <f>IF(OR(H61="",I61=""),"",H61-I61)</f>
        <v/>
      </c>
      <c r="K61" s="16">
        <f>IFERROR(J61/I61,"")</f>
        <v/>
      </c>
      <c r="L61" s="13">
        <f>IFERROR(D61/C61,"")</f>
        <v/>
      </c>
      <c r="M61" s="13">
        <f>IFERROR(H61/D61*1000,"")</f>
        <v/>
      </c>
      <c r="N61" s="13" t="n">
        <v>2317</v>
      </c>
      <c r="O61" s="15">
        <f>IFERROR(IF(OR(N61="",ISBLANK(INDIRECT("'"&amp;$Q$2&amp;"'!N"&amp;ROW()))),"",N61-INDIRECT("'"&amp;$Q$2&amp;"'!N"&amp;ROW())),"")</f>
        <v/>
      </c>
      <c r="P61" s="2" t="n"/>
      <c r="Q61" s="2" t="n"/>
      <c r="R61" s="2" t="n"/>
      <c r="S61" s="18">
        <f>IFERROR(IF(ISBLANK(INDIRECT("'"&amp;$Q$2&amp;"'!G"&amp;ROW())),"",INDIRECT("'"&amp;$Q$2&amp;"'!G"&amp;ROW())),"")</f>
        <v/>
      </c>
      <c r="T61" s="20">
        <f>IF(OR($G61="",$S61=""),"",$G61-$S61)</f>
        <v/>
      </c>
      <c r="U61" s="18">
        <f>IFERROR(IF(ISBLANK(INDIRECT("'"&amp;$Q$2&amp;"'!K"&amp;ROW())),"",INDIRECT("'"&amp;$Q$2&amp;"'!K"&amp;ROW())),"")</f>
        <v/>
      </c>
      <c r="V61" s="20">
        <f>IF(OR($K61="",$U61=""),"",$K61-$U61)</f>
        <v/>
      </c>
      <c r="W61" s="21">
        <f>IFERROR(IF(ISBLANK(INDIRECT("'"&amp;$Q$2&amp;"'!O"&amp;ROW())),"",INDIRECT("'"&amp;$Q$2&amp;"'!O"&amp;ROW())),"")</f>
        <v/>
      </c>
      <c r="X61" s="21">
        <f>IF(OR($O61="",$W61=""),"",$O61-$W61)</f>
        <v/>
      </c>
      <c r="Y61" s="2" t="n"/>
      <c r="Z61" s="2" t="n"/>
    </row>
    <row r="62" ht="14.25" customHeight="1" s="58">
      <c r="A62" s="12" t="inlineStr">
        <is>
          <t>Telegram</t>
        </is>
      </c>
      <c r="B62" s="12" t="inlineStr">
        <is>
          <t>Лабытнанги</t>
        </is>
      </c>
      <c r="C62" s="13" t="n">
        <v>77</v>
      </c>
      <c r="D62" s="13" t="n">
        <v>6106</v>
      </c>
      <c r="E62" s="13">
        <f>IF($D62="","",IFERROR(IF(ISBLANK(INDIRECT("'"&amp;$Q$2&amp;"'!D"&amp;ROW())),"",INDIRECT("'"&amp;$Q$2&amp;"'!D"&amp;ROW())),""))</f>
        <v/>
      </c>
      <c r="F62" s="15">
        <f>IF(OR(D62="",E62=""),"",D62-E62)</f>
        <v/>
      </c>
      <c r="G62" s="16">
        <f>IFERROR(F62/E62,"")</f>
        <v/>
      </c>
      <c r="H62" s="13" t="n">
        <v>43</v>
      </c>
      <c r="I62" s="13">
        <f>IF($H62="","",IFERROR(IF(ISBLANK(INDIRECT("'"&amp;$Q$2&amp;"'!H"&amp;ROW())),"",INDIRECT("'"&amp;$Q$2&amp;"'!H"&amp;ROW())),""))</f>
        <v/>
      </c>
      <c r="J62" s="15">
        <f>IF(OR(H62="",I62=""),"",H62-I62)</f>
        <v/>
      </c>
      <c r="K62" s="16">
        <f>IFERROR(J62/I62,"")</f>
        <v/>
      </c>
      <c r="L62" s="13">
        <f>IFERROR(D62/C62,"")</f>
        <v/>
      </c>
      <c r="M62" s="13">
        <f>IFERROR(H62/D62*1000,"")</f>
        <v/>
      </c>
      <c r="N62" s="13" t="n">
        <v>1376</v>
      </c>
      <c r="O62" s="15">
        <f>IFERROR(IF(OR(N62="",ISBLANK(INDIRECT("'"&amp;$Q$2&amp;"'!N"&amp;ROW()))),"",N62-INDIRECT("'"&amp;$Q$2&amp;"'!N"&amp;ROW())),"")</f>
        <v/>
      </c>
      <c r="P62" s="2" t="n"/>
      <c r="Q62" s="2" t="n"/>
      <c r="R62" s="2" t="n"/>
      <c r="S62" s="18">
        <f>IFERROR(IF(ISBLANK(INDIRECT("'"&amp;$Q$2&amp;"'!G"&amp;ROW())),"",INDIRECT("'"&amp;$Q$2&amp;"'!G"&amp;ROW())),"")</f>
        <v/>
      </c>
      <c r="T62" s="20">
        <f>IF(OR($G62="",$S62=""),"",$G62-$S62)</f>
        <v/>
      </c>
      <c r="U62" s="18">
        <f>IFERROR(IF(ISBLANK(INDIRECT("'"&amp;$Q$2&amp;"'!K"&amp;ROW())),"",INDIRECT("'"&amp;$Q$2&amp;"'!K"&amp;ROW())),"")</f>
        <v/>
      </c>
      <c r="V62" s="20">
        <f>IF(OR($K62="",$U62=""),"",$K62-$U62)</f>
        <v/>
      </c>
      <c r="W62" s="21">
        <f>IFERROR(IF(ISBLANK(INDIRECT("'"&amp;$Q$2&amp;"'!O"&amp;ROW())),"",INDIRECT("'"&amp;$Q$2&amp;"'!O"&amp;ROW())),"")</f>
        <v/>
      </c>
      <c r="X62" s="21">
        <f>IF(OR($O62="",$W62=""),"",$O62-$W62)</f>
        <v/>
      </c>
      <c r="Y62" s="2" t="n"/>
      <c r="Z62" s="2" t="n"/>
    </row>
    <row r="63" ht="14.25" customHeight="1" s="58">
      <c r="A63" s="12" t="inlineStr">
        <is>
          <t>Telegram</t>
        </is>
      </c>
      <c r="B63" s="12" t="inlineStr">
        <is>
          <t>Пуровский</t>
        </is>
      </c>
      <c r="C63" s="13" t="n">
        <v>90</v>
      </c>
      <c r="D63" s="13" t="n">
        <v>26252</v>
      </c>
      <c r="E63" s="13">
        <f>IF($D63="","",IFERROR(IF(ISBLANK(INDIRECT("'"&amp;$Q$2&amp;"'!D"&amp;ROW())),"",INDIRECT("'"&amp;$Q$2&amp;"'!D"&amp;ROW())),""))</f>
        <v/>
      </c>
      <c r="F63" s="15">
        <f>IF(OR(D63="",E63=""),"",D63-E63)</f>
        <v/>
      </c>
      <c r="G63" s="16">
        <f>IFERROR(F63/E63,"")</f>
        <v/>
      </c>
      <c r="H63" s="13" t="n">
        <v>80</v>
      </c>
      <c r="I63" s="13">
        <f>IF($H63="","",IFERROR(IF(ISBLANK(INDIRECT("'"&amp;$Q$2&amp;"'!H"&amp;ROW())),"",INDIRECT("'"&amp;$Q$2&amp;"'!H"&amp;ROW())),""))</f>
        <v/>
      </c>
      <c r="J63" s="15">
        <f>IF(OR(H63="",I63=""),"",H63-I63)</f>
        <v/>
      </c>
      <c r="K63" s="16">
        <f>IFERROR(J63/I63,"")</f>
        <v/>
      </c>
      <c r="L63" s="13">
        <f>IFERROR(D63/C63,"")</f>
        <v/>
      </c>
      <c r="M63" s="13">
        <f>IFERROR(H63/D63*1000,"")</f>
        <v/>
      </c>
      <c r="N63" s="13" t="n">
        <v>5657</v>
      </c>
      <c r="O63" s="15">
        <f>IFERROR(IF(OR(N63="",ISBLANK(INDIRECT("'"&amp;$Q$2&amp;"'!N"&amp;ROW()))),"",N63-INDIRECT("'"&amp;$Q$2&amp;"'!N"&amp;ROW())),"")</f>
        <v/>
      </c>
      <c r="P63" s="2" t="n"/>
      <c r="Q63" s="2" t="n"/>
      <c r="R63" s="2" t="n"/>
      <c r="S63" s="18">
        <f>IFERROR(IF(ISBLANK(INDIRECT("'"&amp;$Q$2&amp;"'!G"&amp;ROW())),"",INDIRECT("'"&amp;$Q$2&amp;"'!G"&amp;ROW())),"")</f>
        <v/>
      </c>
      <c r="T63" s="20">
        <f>IF(OR($G63="",$S63=""),"",$G63-$S63)</f>
        <v/>
      </c>
      <c r="U63" s="18">
        <f>IFERROR(IF(ISBLANK(INDIRECT("'"&amp;$Q$2&amp;"'!K"&amp;ROW())),"",INDIRECT("'"&amp;$Q$2&amp;"'!K"&amp;ROW())),"")</f>
        <v/>
      </c>
      <c r="V63" s="20">
        <f>IF(OR($K63="",$U63=""),"",$K63-$U63)</f>
        <v/>
      </c>
      <c r="W63" s="21">
        <f>IFERROR(IF(ISBLANK(INDIRECT("'"&amp;$Q$2&amp;"'!O"&amp;ROW())),"",INDIRECT("'"&amp;$Q$2&amp;"'!O"&amp;ROW())),"")</f>
        <v/>
      </c>
      <c r="X63" s="21">
        <f>IF(OR($O63="",$W63=""),"",$O63-$W63)</f>
        <v/>
      </c>
      <c r="Y63" s="2" t="n"/>
      <c r="Z63" s="2" t="n"/>
    </row>
    <row r="64" ht="14.25" customHeight="1" s="58">
      <c r="A64" s="12" t="inlineStr">
        <is>
          <t>Telegram</t>
        </is>
      </c>
      <c r="B64" s="12" t="inlineStr">
        <is>
          <t>Тазовский</t>
        </is>
      </c>
      <c r="C64" s="13" t="n">
        <v>53</v>
      </c>
      <c r="D64" s="13" t="n">
        <v>5588</v>
      </c>
      <c r="E64" s="13">
        <f>IF($D64="","",IFERROR(IF(ISBLANK(INDIRECT("'"&amp;$Q$2&amp;"'!D"&amp;ROW())),"",INDIRECT("'"&amp;$Q$2&amp;"'!D"&amp;ROW())),""))</f>
        <v/>
      </c>
      <c r="F64" s="15">
        <f>IF(OR(D64="",E64=""),"",D64-E64)</f>
        <v/>
      </c>
      <c r="G64" s="16">
        <f>IFERROR(F64/E64,"")</f>
        <v/>
      </c>
      <c r="H64" s="13" t="n">
        <v>3</v>
      </c>
      <c r="I64" s="13">
        <f>IF($H64="","",IFERROR(IF(ISBLANK(INDIRECT("'"&amp;$Q$2&amp;"'!H"&amp;ROW())),"",INDIRECT("'"&amp;$Q$2&amp;"'!H"&amp;ROW())),""))</f>
        <v/>
      </c>
      <c r="J64" s="15">
        <f>IF(OR(H64="",I64=""),"",H64-I64)</f>
        <v/>
      </c>
      <c r="K64" s="16">
        <f>IFERROR(J64/I64,"")</f>
        <v/>
      </c>
      <c r="L64" s="13">
        <f>IFERROR(D64/C64,"")</f>
        <v/>
      </c>
      <c r="M64" s="13">
        <f>IFERROR(H64/D64*1000,"")</f>
        <v/>
      </c>
      <c r="N64" s="13" t="n">
        <v>1823</v>
      </c>
      <c r="O64" s="15">
        <f>IFERROR(IF(OR(N64="",ISBLANK(INDIRECT("'"&amp;$Q$2&amp;"'!N"&amp;ROW()))),"",N64-INDIRECT("'"&amp;$Q$2&amp;"'!N"&amp;ROW())),"")</f>
        <v/>
      </c>
      <c r="P64" s="2" t="n"/>
      <c r="Q64" s="2" t="n"/>
      <c r="R64" s="2" t="n"/>
      <c r="S64" s="18">
        <f>IFERROR(IF(ISBLANK(INDIRECT("'"&amp;$Q$2&amp;"'!G"&amp;ROW())),"",INDIRECT("'"&amp;$Q$2&amp;"'!G"&amp;ROW())),"")</f>
        <v/>
      </c>
      <c r="T64" s="20">
        <f>IF(OR($G64="",$S64=""),"",$G64-$S64)</f>
        <v/>
      </c>
      <c r="U64" s="18">
        <f>IFERROR(IF(ISBLANK(INDIRECT("'"&amp;$Q$2&amp;"'!K"&amp;ROW())),"",INDIRECT("'"&amp;$Q$2&amp;"'!K"&amp;ROW())),"")</f>
        <v/>
      </c>
      <c r="V64" s="20">
        <f>IF(OR($K64="",$U64=""),"",$K64-$U64)</f>
        <v/>
      </c>
      <c r="W64" s="21">
        <f>IFERROR(IF(ISBLANK(INDIRECT("'"&amp;$Q$2&amp;"'!O"&amp;ROW())),"",INDIRECT("'"&amp;$Q$2&amp;"'!O"&amp;ROW())),"")</f>
        <v/>
      </c>
      <c r="X64" s="21">
        <f>IF(OR($O64="",$W64=""),"",$O64-$W64)</f>
        <v/>
      </c>
      <c r="Y64" s="2" t="n"/>
      <c r="Z64" s="2" t="n"/>
    </row>
    <row r="65" ht="14.25" customHeight="1" s="58">
      <c r="A65" s="12" t="inlineStr">
        <is>
          <t>Telegram</t>
        </is>
      </c>
      <c r="B65" s="12" t="inlineStr">
        <is>
          <t>Красноселькуп</t>
        </is>
      </c>
      <c r="C65" s="13" t="n">
        <v>50</v>
      </c>
      <c r="D65" s="13" t="n">
        <v>3817</v>
      </c>
      <c r="E65" s="13">
        <f>IF($D65="","",IFERROR(IF(ISBLANK(INDIRECT("'"&amp;$Q$2&amp;"'!D"&amp;ROW())),"",INDIRECT("'"&amp;$Q$2&amp;"'!D"&amp;ROW())),""))</f>
        <v/>
      </c>
      <c r="F65" s="15">
        <f>IF(OR(D65="",E65=""),"",D65-E65)</f>
        <v/>
      </c>
      <c r="G65" s="16">
        <f>IFERROR(F65/E65,"")</f>
        <v/>
      </c>
      <c r="H65" s="13" t="n">
        <v>3</v>
      </c>
      <c r="I65" s="13">
        <f>IF($H65="","",IFERROR(IF(ISBLANK(INDIRECT("'"&amp;$Q$2&amp;"'!H"&amp;ROW())),"",INDIRECT("'"&amp;$Q$2&amp;"'!H"&amp;ROW())),""))</f>
        <v/>
      </c>
      <c r="J65" s="15">
        <f>IF(OR(H65="",I65=""),"",H65-I65)</f>
        <v/>
      </c>
      <c r="K65" s="16">
        <f>IFERROR(J65/I65,"")</f>
        <v/>
      </c>
      <c r="L65" s="13">
        <f>IFERROR(D65/C65,"")</f>
        <v/>
      </c>
      <c r="M65" s="13">
        <f>IFERROR(H65/D65*1000,"")</f>
        <v/>
      </c>
      <c r="N65" s="13" t="n">
        <v>872</v>
      </c>
      <c r="O65" s="15">
        <f>IFERROR(IF(OR(N65="",ISBLANK(INDIRECT("'"&amp;$Q$2&amp;"'!N"&amp;ROW()))),"",N65-INDIRECT("'"&amp;$Q$2&amp;"'!N"&amp;ROW())),"")</f>
        <v/>
      </c>
      <c r="P65" s="2" t="n"/>
      <c r="Q65" s="2" t="n"/>
      <c r="R65" s="2" t="n"/>
      <c r="S65" s="18">
        <f>IFERROR(IF(ISBLANK(INDIRECT("'"&amp;$Q$2&amp;"'!G"&amp;ROW())),"",INDIRECT("'"&amp;$Q$2&amp;"'!G"&amp;ROW())),"")</f>
        <v/>
      </c>
      <c r="T65" s="20">
        <f>IF(OR($G65="",$S65=""),"",$G65-$S65)</f>
        <v/>
      </c>
      <c r="U65" s="18">
        <f>IFERROR(IF(ISBLANK(INDIRECT("'"&amp;$Q$2&amp;"'!K"&amp;ROW())),"",INDIRECT("'"&amp;$Q$2&amp;"'!K"&amp;ROW())),"")</f>
        <v/>
      </c>
      <c r="V65" s="20">
        <f>IF(OR($K65="",$U65=""),"",$K65-$U65)</f>
        <v/>
      </c>
      <c r="W65" s="21">
        <f>IFERROR(IF(ISBLANK(INDIRECT("'"&amp;$Q$2&amp;"'!O"&amp;ROW())),"",INDIRECT("'"&amp;$Q$2&amp;"'!O"&amp;ROW())),"")</f>
        <v/>
      </c>
      <c r="X65" s="21">
        <f>IF(OR($O65="",$W65=""),"",$O65-$W65)</f>
        <v/>
      </c>
      <c r="Y65" s="2" t="n"/>
      <c r="Z65" s="2" t="n"/>
    </row>
    <row r="66" ht="14.25" customHeight="1" s="58">
      <c r="A66" s="12" t="inlineStr">
        <is>
          <t>Telegram</t>
        </is>
      </c>
      <c r="B66" s="12" t="inlineStr">
        <is>
          <t>Ямальский</t>
        </is>
      </c>
      <c r="C66" s="13" t="n">
        <v>54</v>
      </c>
      <c r="D66" s="13" t="n">
        <v>4122</v>
      </c>
      <c r="E66" s="13">
        <f>IF($D66="","",IFERROR(IF(ISBLANK(INDIRECT("'"&amp;$Q$2&amp;"'!D"&amp;ROW())),"",INDIRECT("'"&amp;$Q$2&amp;"'!D"&amp;ROW())),""))</f>
        <v/>
      </c>
      <c r="F66" s="15">
        <f>IF(OR(D66="",E66=""),"",D66-E66)</f>
        <v/>
      </c>
      <c r="G66" s="16">
        <f>IFERROR(F66/E66,"")</f>
        <v/>
      </c>
      <c r="H66" s="13" t="n">
        <v>13</v>
      </c>
      <c r="I66" s="13">
        <f>IF($H66="","",IFERROR(IF(ISBLANK(INDIRECT("'"&amp;$Q$2&amp;"'!H"&amp;ROW())),"",INDIRECT("'"&amp;$Q$2&amp;"'!H"&amp;ROW())),""))</f>
        <v/>
      </c>
      <c r="J66" s="15">
        <f>IF(OR(H66="",I66=""),"",H66-I66)</f>
        <v/>
      </c>
      <c r="K66" s="16">
        <f>IFERROR(J66/I66,"")</f>
        <v/>
      </c>
      <c r="L66" s="13">
        <f>IFERROR(D66/C66,"")</f>
        <v/>
      </c>
      <c r="M66" s="13">
        <f>IFERROR(H66/D66*1000,"")</f>
        <v/>
      </c>
      <c r="N66" s="13" t="n">
        <v>854</v>
      </c>
      <c r="O66" s="15">
        <f>IFERROR(IF(OR(N66="",ISBLANK(INDIRECT("'"&amp;$Q$2&amp;"'!N"&amp;ROW()))),"",N66-INDIRECT("'"&amp;$Q$2&amp;"'!N"&amp;ROW())),"")</f>
        <v/>
      </c>
      <c r="P66" s="2" t="n"/>
      <c r="Q66" s="2" t="n"/>
      <c r="R66" s="2" t="n"/>
      <c r="S66" s="18">
        <f>IFERROR(IF(ISBLANK(INDIRECT("'"&amp;$Q$2&amp;"'!G"&amp;ROW())),"",INDIRECT("'"&amp;$Q$2&amp;"'!G"&amp;ROW())),"")</f>
        <v/>
      </c>
      <c r="T66" s="20">
        <f>IF(OR($G66="",$S66=""),"",$G66-$S66)</f>
        <v/>
      </c>
      <c r="U66" s="18">
        <f>IFERROR(IF(ISBLANK(INDIRECT("'"&amp;$Q$2&amp;"'!K"&amp;ROW())),"",INDIRECT("'"&amp;$Q$2&amp;"'!K"&amp;ROW())),"")</f>
        <v/>
      </c>
      <c r="V66" s="20">
        <f>IF(OR($K66="",$U66=""),"",$K66-$U66)</f>
        <v/>
      </c>
      <c r="W66" s="21">
        <f>IFERROR(IF(ISBLANK(INDIRECT("'"&amp;$Q$2&amp;"'!O"&amp;ROW())),"",INDIRECT("'"&amp;$Q$2&amp;"'!O"&amp;ROW())),"")</f>
        <v/>
      </c>
      <c r="X66" s="21">
        <f>IF(OR($O66="",$W66=""),"",$O66-$W66)</f>
        <v/>
      </c>
      <c r="Y66" s="2" t="n"/>
      <c r="Z66" s="2" t="n"/>
    </row>
    <row r="67" ht="14.25" customHeight="1" s="58">
      <c r="A67" s="12" t="inlineStr">
        <is>
          <t>Telegram</t>
        </is>
      </c>
      <c r="B67" s="12" t="inlineStr">
        <is>
          <t>Шурышкарский</t>
        </is>
      </c>
      <c r="C67" s="13" t="n">
        <v>17</v>
      </c>
      <c r="D67" s="13" t="n">
        <v>1940</v>
      </c>
      <c r="E67" s="13">
        <f>IF($D67="","",IFERROR(IF(ISBLANK(INDIRECT("'"&amp;$Q$2&amp;"'!D"&amp;ROW())),"",INDIRECT("'"&amp;$Q$2&amp;"'!D"&amp;ROW())),""))</f>
        <v/>
      </c>
      <c r="F67" s="15">
        <f>IF(OR(D67="",E67=""),"",D67-E67)</f>
        <v/>
      </c>
      <c r="G67" s="16">
        <f>IFERROR(F67/E67,"")</f>
        <v/>
      </c>
      <c r="H67" s="13" t="n">
        <v>21</v>
      </c>
      <c r="I67" s="13">
        <f>IF($H67="","",IFERROR(IF(ISBLANK(INDIRECT("'"&amp;$Q$2&amp;"'!H"&amp;ROW())),"",INDIRECT("'"&amp;$Q$2&amp;"'!H"&amp;ROW())),""))</f>
        <v/>
      </c>
      <c r="J67" s="15">
        <f>IF(OR(H67="",I67=""),"",H67-I67)</f>
        <v/>
      </c>
      <c r="K67" s="16">
        <f>IFERROR(J67/I67,"")</f>
        <v/>
      </c>
      <c r="L67" s="13">
        <f>IFERROR(D67/C67,"")</f>
        <v/>
      </c>
      <c r="M67" s="13">
        <f>IFERROR(H67/D67*1000,"")</f>
        <v/>
      </c>
      <c r="N67" s="13" t="n">
        <v>1169</v>
      </c>
      <c r="O67" s="15">
        <f>IFERROR(IF(OR(N67="",ISBLANK(INDIRECT("'"&amp;$Q$2&amp;"'!N"&amp;ROW()))),"",N67-INDIRECT("'"&amp;$Q$2&amp;"'!N"&amp;ROW())),"")</f>
        <v/>
      </c>
      <c r="P67" s="2" t="n"/>
      <c r="Q67" s="2" t="n"/>
      <c r="R67" s="2" t="n"/>
      <c r="S67" s="18">
        <f>IFERROR(IF(ISBLANK(INDIRECT("'"&amp;$Q$2&amp;"'!G"&amp;ROW())),"",INDIRECT("'"&amp;$Q$2&amp;"'!G"&amp;ROW())),"")</f>
        <v/>
      </c>
      <c r="T67" s="20">
        <f>IF(OR($G67="",$S67=""),"",$G67-$S67)</f>
        <v/>
      </c>
      <c r="U67" s="18">
        <f>IFERROR(IF(ISBLANK(INDIRECT("'"&amp;$Q$2&amp;"'!K"&amp;ROW())),"",INDIRECT("'"&amp;$Q$2&amp;"'!K"&amp;ROW())),"")</f>
        <v/>
      </c>
      <c r="V67" s="20">
        <f>IF(OR($K67="",$U67=""),"",$K67-$U67)</f>
        <v/>
      </c>
      <c r="W67" s="21">
        <f>IFERROR(IF(ISBLANK(INDIRECT("'"&amp;$Q$2&amp;"'!O"&amp;ROW())),"",INDIRECT("'"&amp;$Q$2&amp;"'!O"&amp;ROW())),"")</f>
        <v/>
      </c>
      <c r="X67" s="21">
        <f>IF(OR($O67="",$W67=""),"",$O67-$W67)</f>
        <v/>
      </c>
      <c r="Y67" s="2" t="n"/>
      <c r="Z67" s="2" t="n"/>
    </row>
    <row r="68" ht="14.25" customHeight="1" s="58">
      <c r="A68" s="12" t="inlineStr">
        <is>
          <t>Telegram</t>
        </is>
      </c>
      <c r="B68" s="12" t="inlineStr">
        <is>
          <t>Муравленко</t>
        </is>
      </c>
      <c r="C68" s="13" t="n">
        <v>82</v>
      </c>
      <c r="D68" s="13" t="n">
        <v>21799</v>
      </c>
      <c r="E68" s="13">
        <f>IF($D68="","",IFERROR(IF(ISBLANK(INDIRECT("'"&amp;$Q$2&amp;"'!D"&amp;ROW())),"",INDIRECT("'"&amp;$Q$2&amp;"'!D"&amp;ROW())),""))</f>
        <v/>
      </c>
      <c r="F68" s="15">
        <f>IF(OR(D68="",E68=""),"",D68-E68)</f>
        <v/>
      </c>
      <c r="G68" s="16">
        <f>IFERROR(F68/E68,"")</f>
        <v/>
      </c>
      <c r="H68" s="13" t="n">
        <v>81</v>
      </c>
      <c r="I68" s="13">
        <f>IF($H68="","",IFERROR(IF(ISBLANK(INDIRECT("'"&amp;$Q$2&amp;"'!H"&amp;ROW())),"",INDIRECT("'"&amp;$Q$2&amp;"'!H"&amp;ROW())),""))</f>
        <v/>
      </c>
      <c r="J68" s="15">
        <f>IF(OR(H68="",I68=""),"",H68-I68)</f>
        <v/>
      </c>
      <c r="K68" s="16">
        <f>IFERROR(J68/I68,"")</f>
        <v/>
      </c>
      <c r="L68" s="13">
        <f>IFERROR(D68/C68,"")</f>
        <v/>
      </c>
      <c r="M68" s="13">
        <f>IFERROR(H68/D68*1000,"")</f>
        <v/>
      </c>
      <c r="N68" s="13" t="n">
        <v>4404</v>
      </c>
      <c r="O68" s="15">
        <f>IFERROR(IF(OR(N68="",ISBLANK(INDIRECT("'"&amp;$Q$2&amp;"'!N"&amp;ROW()))),"",N68-INDIRECT("'"&amp;$Q$2&amp;"'!N"&amp;ROW())),"")</f>
        <v/>
      </c>
      <c r="P68" s="2" t="n"/>
      <c r="Q68" s="2" t="n"/>
      <c r="R68" s="2" t="n"/>
      <c r="S68" s="18">
        <f>IFERROR(IF(ISBLANK(INDIRECT("'"&amp;$Q$2&amp;"'!G"&amp;ROW())),"",INDIRECT("'"&amp;$Q$2&amp;"'!G"&amp;ROW())),"")</f>
        <v/>
      </c>
      <c r="T68" s="20">
        <f>IF(OR($G68="",$S68=""),"",$G68-$S68)</f>
        <v/>
      </c>
      <c r="U68" s="18">
        <f>IFERROR(IF(ISBLANK(INDIRECT("'"&amp;$Q$2&amp;"'!K"&amp;ROW())),"",INDIRECT("'"&amp;$Q$2&amp;"'!K"&amp;ROW())),"")</f>
        <v/>
      </c>
      <c r="V68" s="20">
        <f>IF(OR($K68="",$U68=""),"",$K68-$U68)</f>
        <v/>
      </c>
      <c r="W68" s="21">
        <f>IFERROR(IF(ISBLANK(INDIRECT("'"&amp;$Q$2&amp;"'!O"&amp;ROW())),"",INDIRECT("'"&amp;$Q$2&amp;"'!O"&amp;ROW())),"")</f>
        <v/>
      </c>
      <c r="X68" s="21">
        <f>IF(OR($O68="",$W68=""),"",$O68-$W68)</f>
        <v/>
      </c>
      <c r="Y68" s="2" t="n"/>
      <c r="Z68" s="2" t="n"/>
    </row>
    <row r="69" ht="14.25" customHeight="1" s="58">
      <c r="A69" s="12" t="inlineStr">
        <is>
          <t>Telegram</t>
        </is>
      </c>
      <c r="B69" s="12" t="inlineStr">
        <is>
          <t>Губкинский</t>
        </is>
      </c>
      <c r="C69" s="13" t="n">
        <v>98</v>
      </c>
      <c r="D69" s="13" t="n">
        <v>39117</v>
      </c>
      <c r="E69" s="13">
        <f>IF($D69="","",IFERROR(IF(ISBLANK(INDIRECT("'"&amp;$Q$2&amp;"'!D"&amp;ROW())),"",INDIRECT("'"&amp;$Q$2&amp;"'!D"&amp;ROW())),""))</f>
        <v/>
      </c>
      <c r="F69" s="15">
        <f>IF(OR(D69="",E69=""),"",D69-E69)</f>
        <v/>
      </c>
      <c r="G69" s="16">
        <f>IFERROR(F69/E69,"")</f>
        <v/>
      </c>
      <c r="H69" s="13" t="n">
        <v>357</v>
      </c>
      <c r="I69" s="13">
        <f>IF($H69="","",IFERROR(IF(ISBLANK(INDIRECT("'"&amp;$Q$2&amp;"'!H"&amp;ROW())),"",INDIRECT("'"&amp;$Q$2&amp;"'!H"&amp;ROW())),""))</f>
        <v/>
      </c>
      <c r="J69" s="15">
        <f>IF(OR(H69="",I69=""),"",H69-I69)</f>
        <v/>
      </c>
      <c r="K69" s="16">
        <f>IFERROR(J69/I69,"")</f>
        <v/>
      </c>
      <c r="L69" s="13">
        <f>IFERROR(D69/C69,"")</f>
        <v/>
      </c>
      <c r="M69" s="13">
        <f>IFERROR(H69/D69*1000,"")</f>
        <v/>
      </c>
      <c r="N69" s="13" t="n">
        <v>5506</v>
      </c>
      <c r="O69" s="15">
        <f>IFERROR(IF(OR(N69="",ISBLANK(INDIRECT("'"&amp;$Q$2&amp;"'!N"&amp;ROW()))),"",N69-INDIRECT("'"&amp;$Q$2&amp;"'!N"&amp;ROW())),"")</f>
        <v/>
      </c>
      <c r="P69" s="2" t="n"/>
      <c r="Q69" s="2" t="n"/>
      <c r="R69" s="2" t="n"/>
      <c r="S69" s="18">
        <f>IFERROR(IF(ISBLANK(INDIRECT("'"&amp;$Q$2&amp;"'!G"&amp;ROW())),"",INDIRECT("'"&amp;$Q$2&amp;"'!G"&amp;ROW())),"")</f>
        <v/>
      </c>
      <c r="T69" s="20">
        <f>IF(OR($G69="",$S69=""),"",$G69-$S69)</f>
        <v/>
      </c>
      <c r="U69" s="18">
        <f>IFERROR(IF(ISBLANK(INDIRECT("'"&amp;$Q$2&amp;"'!K"&amp;ROW())),"",INDIRECT("'"&amp;$Q$2&amp;"'!K"&amp;ROW())),"")</f>
        <v/>
      </c>
      <c r="V69" s="20">
        <f>IF(OR($K69="",$U69=""),"",$K69-$U69)</f>
        <v/>
      </c>
      <c r="W69" s="21">
        <f>IFERROR(IF(ISBLANK(INDIRECT("'"&amp;$Q$2&amp;"'!O"&amp;ROW())),"",INDIRECT("'"&amp;$Q$2&amp;"'!O"&amp;ROW())),"")</f>
        <v/>
      </c>
      <c r="X69" s="21">
        <f>IF(OR($O69="",$W69=""),"",$O69-$W69)</f>
        <v/>
      </c>
      <c r="Y69" s="2" t="n"/>
      <c r="Z69" s="2" t="n"/>
    </row>
    <row r="70" ht="14.25" customHeight="1" s="58">
      <c r="A70" s="12" t="inlineStr">
        <is>
          <t>Telegram</t>
        </is>
      </c>
      <c r="B70" s="12" t="inlineStr">
        <is>
          <t>МК-Ямал</t>
        </is>
      </c>
      <c r="C70" s="13" t="n">
        <v>229</v>
      </c>
      <c r="D70" s="13" t="n">
        <v>3972</v>
      </c>
      <c r="E70" s="13">
        <f>IF($D70="","",IFERROR(IF(ISBLANK(INDIRECT("'"&amp;$Q$2&amp;"'!D"&amp;ROW())),"",INDIRECT("'"&amp;$Q$2&amp;"'!D"&amp;ROW())),""))</f>
        <v/>
      </c>
      <c r="F70" s="15">
        <f>IF(OR(D70="",E70=""),"",D70-E70)</f>
        <v/>
      </c>
      <c r="G70" s="16">
        <f>IFERROR(F70/E70,"")</f>
        <v/>
      </c>
      <c r="H70" s="13" t="n">
        <v>0</v>
      </c>
      <c r="I70" s="13">
        <f>IF($H70="","",IFERROR(IF(ISBLANK(INDIRECT("'"&amp;$Q$2&amp;"'!H"&amp;ROW())),"",INDIRECT("'"&amp;$Q$2&amp;"'!H"&amp;ROW())),""))</f>
        <v/>
      </c>
      <c r="J70" s="15">
        <f>IF(OR(H70="",I70=""),"",H70-I70)</f>
        <v/>
      </c>
      <c r="K70" s="16">
        <f>IFERROR(J70/I70,"")</f>
        <v/>
      </c>
      <c r="L70" s="13">
        <f>IFERROR(D70/C70,"")</f>
        <v/>
      </c>
      <c r="M70" s="13">
        <f>IFERROR(H70/D70*1000,"")</f>
        <v/>
      </c>
      <c r="N70" s="13" t="n">
        <v>692</v>
      </c>
      <c r="O70" s="15">
        <f>IFERROR(IF(OR(N70="",ISBLANK(INDIRECT("'"&amp;$Q$2&amp;"'!N"&amp;ROW()))),"",N70-INDIRECT("'"&amp;$Q$2&amp;"'!N"&amp;ROW())),"")</f>
        <v/>
      </c>
      <c r="P70" s="2" t="n"/>
      <c r="Q70" s="2" t="n"/>
      <c r="R70" s="2" t="n"/>
      <c r="S70" s="18">
        <f>IFERROR(IF(ISBLANK(INDIRECT("'"&amp;$Q$2&amp;"'!G"&amp;ROW())),"",INDIRECT("'"&amp;$Q$2&amp;"'!G"&amp;ROW())),"")</f>
        <v/>
      </c>
      <c r="T70" s="20">
        <f>IF(OR($G70="",$S70=""),"",$G70-$S70)</f>
        <v/>
      </c>
      <c r="U70" s="18">
        <f>IFERROR(IF(ISBLANK(INDIRECT("'"&amp;$Q$2&amp;"'!K"&amp;ROW())),"",INDIRECT("'"&amp;$Q$2&amp;"'!K"&amp;ROW())),"")</f>
        <v/>
      </c>
      <c r="V70" s="20">
        <f>IF(OR($K70="",$U70=""),"",$K70-$U70)</f>
        <v/>
      </c>
      <c r="W70" s="21">
        <f>IFERROR(IF(ISBLANK(INDIRECT("'"&amp;$Q$2&amp;"'!O"&amp;ROW())),"",INDIRECT("'"&amp;$Q$2&amp;"'!O"&amp;ROW())),"")</f>
        <v/>
      </c>
      <c r="X70" s="21">
        <f>IF(OR($O70="",$W70=""),"",$O70-$W70)</f>
        <v/>
      </c>
      <c r="Y70" s="2" t="n"/>
      <c r="Z70" s="2" t="n"/>
    </row>
    <row r="71" ht="14.25" customHeight="1" s="58">
      <c r="A71" s="12" t="inlineStr">
        <is>
          <t>Telegram</t>
        </is>
      </c>
      <c r="B71" s="12" t="inlineStr">
        <is>
          <t>Не олени</t>
        </is>
      </c>
      <c r="C71" s="13" t="n">
        <v>24</v>
      </c>
      <c r="D71" s="13" t="n">
        <v>5095</v>
      </c>
      <c r="E71" s="13">
        <f>IF($D71="","",IFERROR(IF(ISBLANK(INDIRECT("'"&amp;$Q$2&amp;"'!D"&amp;ROW())),"",INDIRECT("'"&amp;$Q$2&amp;"'!D"&amp;ROW())),""))</f>
        <v/>
      </c>
      <c r="F71" s="15">
        <f>IF(OR(D71="",E71=""),"",D71-E71)</f>
        <v/>
      </c>
      <c r="G71" s="16">
        <f>IFERROR(F71/E71,"")</f>
        <v/>
      </c>
      <c r="H71" s="13" t="n">
        <v>486</v>
      </c>
      <c r="I71" s="13">
        <f>IF($H71="","",IFERROR(IF(ISBLANK(INDIRECT("'"&amp;$Q$2&amp;"'!H"&amp;ROW())),"",INDIRECT("'"&amp;$Q$2&amp;"'!H"&amp;ROW())),""))</f>
        <v/>
      </c>
      <c r="J71" s="15">
        <f>IF(OR(H71="",I71=""),"",H71-I71)</f>
        <v/>
      </c>
      <c r="K71" s="16">
        <f>IFERROR(J71/I71,"")</f>
        <v/>
      </c>
      <c r="L71" s="13">
        <f>IFERROR(D71/C71,"")</f>
        <v/>
      </c>
      <c r="M71" s="13">
        <f>IFERROR(H71/D71*1000,"")</f>
        <v/>
      </c>
      <c r="N71" s="13" t="n">
        <v>2492</v>
      </c>
      <c r="O71" s="15">
        <f>IFERROR(IF(OR(N71="",ISBLANK(INDIRECT("'"&amp;$Q$2&amp;"'!N"&amp;ROW()))),"",N71-INDIRECT("'"&amp;$Q$2&amp;"'!N"&amp;ROW())),"")</f>
        <v/>
      </c>
      <c r="P71" s="2" t="n"/>
      <c r="Q71" s="2" t="n"/>
      <c r="R71" s="2" t="n"/>
      <c r="S71" s="18">
        <f>IFERROR(IF(ISBLANK(INDIRECT("'"&amp;$Q$2&amp;"'!G"&amp;ROW())),"",INDIRECT("'"&amp;$Q$2&amp;"'!G"&amp;ROW())),"")</f>
        <v/>
      </c>
      <c r="T71" s="20">
        <f>IF(OR($G71="",$S71=""),"",$G71-$S71)</f>
        <v/>
      </c>
      <c r="U71" s="18">
        <f>IFERROR(IF(ISBLANK(INDIRECT("'"&amp;$Q$2&amp;"'!K"&amp;ROW())),"",INDIRECT("'"&amp;$Q$2&amp;"'!K"&amp;ROW())),"")</f>
        <v/>
      </c>
      <c r="V71" s="20">
        <f>IF(OR($K71="",$U71=""),"",$K71-$U71)</f>
        <v/>
      </c>
      <c r="W71" s="21">
        <f>IFERROR(IF(ISBLANK(INDIRECT("'"&amp;$Q$2&amp;"'!O"&amp;ROW())),"",INDIRECT("'"&amp;$Q$2&amp;"'!O"&amp;ROW())),"")</f>
        <v/>
      </c>
      <c r="X71" s="21">
        <f>IF(OR($O71="",$W71=""),"",$O71-$W71)</f>
        <v/>
      </c>
      <c r="Y71" s="2" t="n"/>
      <c r="Z71" s="2" t="n"/>
    </row>
    <row r="72" ht="14.25" customHeight="1" s="58">
      <c r="A72" s="12" t="inlineStr">
        <is>
          <t>Telegram</t>
        </is>
      </c>
      <c r="B72" s="12" t="inlineStr">
        <is>
          <t>Ямальский меридиан</t>
        </is>
      </c>
      <c r="C72" s="13" t="n">
        <v>7</v>
      </c>
      <c r="D72" s="13" t="n">
        <v>303</v>
      </c>
      <c r="E72" s="13">
        <f>IF($D72="","",IFERROR(IF(ISBLANK(INDIRECT("'"&amp;$Q$2&amp;"'!D"&amp;ROW())),"",INDIRECT("'"&amp;$Q$2&amp;"'!D"&amp;ROW())),""))</f>
        <v/>
      </c>
      <c r="F72" s="15">
        <f>IF(OR(D72="",E72=""),"",D72-E72)</f>
        <v/>
      </c>
      <c r="G72" s="16">
        <f>IFERROR(F72/E72,"")</f>
        <v/>
      </c>
      <c r="H72" s="13" t="n">
        <v>20</v>
      </c>
      <c r="I72" s="13">
        <f>IF($H72="","",IFERROR(IF(ISBLANK(INDIRECT("'"&amp;$Q$2&amp;"'!H"&amp;ROW())),"",INDIRECT("'"&amp;$Q$2&amp;"'!H"&amp;ROW())),""))</f>
        <v/>
      </c>
      <c r="J72" s="15">
        <f>IF(OR(H72="",I72=""),"",H72-I72)</f>
        <v/>
      </c>
      <c r="K72" s="16">
        <f>IFERROR(J72/I72,"")</f>
        <v/>
      </c>
      <c r="L72" s="13">
        <f>IFERROR(D72/C72,"")</f>
        <v/>
      </c>
      <c r="M72" s="13">
        <f>IFERROR(H72/D72*1000,"")</f>
        <v/>
      </c>
      <c r="N72" s="13" t="n">
        <v>175</v>
      </c>
      <c r="O72" s="15">
        <f>IFERROR(IF(OR(N72="",ISBLANK(INDIRECT("'"&amp;$Q$2&amp;"'!N"&amp;ROW()))),"",N72-INDIRECT("'"&amp;$Q$2&amp;"'!N"&amp;ROW())),"")</f>
        <v/>
      </c>
      <c r="P72" s="2" t="n"/>
      <c r="Q72" s="2" t="n"/>
      <c r="R72" s="2" t="n"/>
      <c r="S72" s="18">
        <f>IFERROR(IF(ISBLANK(INDIRECT("'"&amp;$Q$2&amp;"'!G"&amp;ROW())),"",INDIRECT("'"&amp;$Q$2&amp;"'!G"&amp;ROW())),"")</f>
        <v/>
      </c>
      <c r="T72" s="20">
        <f>IF(OR($G72="",$S72=""),"",$G72-$S72)</f>
        <v/>
      </c>
      <c r="U72" s="18">
        <f>IFERROR(IF(ISBLANK(INDIRECT("'"&amp;$Q$2&amp;"'!K"&amp;ROW())),"",INDIRECT("'"&amp;$Q$2&amp;"'!K"&amp;ROW())),"")</f>
        <v/>
      </c>
      <c r="V72" s="20">
        <f>IF(OR($K72="",$U72=""),"",$K72-$U72)</f>
        <v/>
      </c>
      <c r="W72" s="21">
        <f>IFERROR(IF(ISBLANK(INDIRECT("'"&amp;$Q$2&amp;"'!O"&amp;ROW())),"",INDIRECT("'"&amp;$Q$2&amp;"'!O"&amp;ROW())),"")</f>
        <v/>
      </c>
      <c r="X72" s="21">
        <f>IF(OR($O72="",$W72=""),"",$O72-$W72)</f>
        <v/>
      </c>
      <c r="Y72" s="2" t="n"/>
      <c r="Z72" s="2" t="n"/>
    </row>
    <row r="73" ht="14.25" customHeight="1" s="58">
      <c r="A73" s="12" t="inlineStr">
        <is>
          <t>Telegram</t>
        </is>
      </c>
      <c r="B73" s="12" t="inlineStr">
        <is>
          <t>Морошка</t>
        </is>
      </c>
      <c r="C73" s="13" t="n">
        <v>6</v>
      </c>
      <c r="D73" s="13" t="n">
        <v>826</v>
      </c>
      <c r="E73" s="13">
        <f>IF($D73="","",IFERROR(IF(ISBLANK(INDIRECT("'"&amp;$Q$2&amp;"'!D"&amp;ROW())),"",INDIRECT("'"&amp;$Q$2&amp;"'!D"&amp;ROW())),""))</f>
        <v/>
      </c>
      <c r="F73" s="15">
        <f>IF(OR(D73="",E73=""),"",D73-E73)</f>
        <v/>
      </c>
      <c r="G73" s="16">
        <f>IFERROR(F73/E73,"")</f>
        <v/>
      </c>
      <c r="H73" s="13" t="n">
        <v>14</v>
      </c>
      <c r="I73" s="13">
        <f>IF($H73="","",IFERROR(IF(ISBLANK(INDIRECT("'"&amp;$Q$2&amp;"'!H"&amp;ROW())),"",INDIRECT("'"&amp;$Q$2&amp;"'!H"&amp;ROW())),""))</f>
        <v/>
      </c>
      <c r="J73" s="15">
        <f>IF(OR(H73="",I73=""),"",H73-I73)</f>
        <v/>
      </c>
      <c r="K73" s="16">
        <f>IFERROR(J73/I73,"")</f>
        <v/>
      </c>
      <c r="L73" s="13">
        <f>IFERROR(D73/C73,"")</f>
        <v/>
      </c>
      <c r="M73" s="13">
        <f>IFERROR(H73/D73*1000,"")</f>
        <v/>
      </c>
      <c r="N73" s="13" t="n">
        <v>54</v>
      </c>
      <c r="O73" s="15">
        <f>IFERROR(IF(OR(N73="",ISBLANK(INDIRECT("'"&amp;$Q$2&amp;"'!N"&amp;ROW()))),"",N73-INDIRECT("'"&amp;$Q$2&amp;"'!N"&amp;ROW())),"")</f>
        <v/>
      </c>
      <c r="P73" s="2" t="n"/>
      <c r="Q73" s="2" t="n"/>
      <c r="R73" s="2" t="n"/>
      <c r="S73" s="18">
        <f>IFERROR(IF(ISBLANK(INDIRECT("'"&amp;$Q$2&amp;"'!G"&amp;ROW())),"",INDIRECT("'"&amp;$Q$2&amp;"'!G"&amp;ROW())),"")</f>
        <v/>
      </c>
      <c r="T73" s="20">
        <f>IF(OR($G73="",$S73=""),"",$G73-$S73)</f>
        <v/>
      </c>
      <c r="U73" s="18">
        <f>IFERROR(IF(ISBLANK(INDIRECT("'"&amp;$Q$2&amp;"'!K"&amp;ROW())),"",INDIRECT("'"&amp;$Q$2&amp;"'!K"&amp;ROW())),"")</f>
        <v/>
      </c>
      <c r="V73" s="20">
        <f>IF(OR($K73="",$U73=""),"",$K73-$U73)</f>
        <v/>
      </c>
      <c r="W73" s="21">
        <f>IFERROR(IF(ISBLANK(INDIRECT("'"&amp;$Q$2&amp;"'!O"&amp;ROW())),"",INDIRECT("'"&amp;$Q$2&amp;"'!O"&amp;ROW())),"")</f>
        <v/>
      </c>
      <c r="X73" s="21">
        <f>IF(OR($O73="",$W73=""),"",$O73-$W73)</f>
        <v/>
      </c>
      <c r="Y73" s="2" t="n"/>
      <c r="Z73" s="2" t="n"/>
    </row>
    <row r="74" ht="14.25" customHeight="1" s="58">
      <c r="A74" s="25" t="n"/>
      <c r="B74" s="25" t="inlineStr">
        <is>
          <t>Итого Telegram</t>
        </is>
      </c>
      <c r="C74" s="26">
        <f>SUM(C52:C73)</f>
        <v/>
      </c>
      <c r="D74" s="26">
        <f>SUM(D52:D73)</f>
        <v/>
      </c>
      <c r="E74" s="26">
        <f>SUM(E52:E73)</f>
        <v/>
      </c>
      <c r="F74" s="27">
        <f>SUM(F52:F73)</f>
        <v/>
      </c>
      <c r="G74" s="28">
        <f>IF(C74=0,"",IFERROR(F74/E74,""))</f>
        <v/>
      </c>
      <c r="H74" s="26">
        <f>SUM(H52:H73)</f>
        <v/>
      </c>
      <c r="I74" s="26">
        <f>SUM(I52:I73)</f>
        <v/>
      </c>
      <c r="J74" s="27">
        <f>SUM(J52:J73)</f>
        <v/>
      </c>
      <c r="K74" s="28">
        <f>IF(C74=0,"",IFERROR(J74/I74,""))</f>
        <v/>
      </c>
      <c r="L74" s="26">
        <f>IFERROR(D74/C74,"")</f>
        <v/>
      </c>
      <c r="M74" s="26">
        <f>IFERROR(H74/D74*1000,"")</f>
        <v/>
      </c>
      <c r="N74" s="26">
        <f>SUM(N52:N73)</f>
        <v/>
      </c>
      <c r="O74" s="27">
        <f>SUM(O52:O73)</f>
        <v/>
      </c>
      <c r="P74" s="2" t="n"/>
      <c r="Q74" s="2" t="n"/>
      <c r="R74" s="2" t="n"/>
      <c r="S74" s="29">
        <f>IFERROR(IF(ISBLANK(INDIRECT("'"&amp;$Q$2&amp;"'!G"&amp;ROW())),"",INDIRECT("'"&amp;$Q$2&amp;"'!G"&amp;ROW())),"")</f>
        <v/>
      </c>
      <c r="T74" s="30">
        <f>IF(OR($G74="",$S74=""),"",$G74-$S74)</f>
        <v/>
      </c>
      <c r="U74" s="29">
        <f>IFERROR(IF(ISBLANK(INDIRECT("'"&amp;$Q$2&amp;"'!K"&amp;ROW())),"",INDIRECT("'"&amp;$Q$2&amp;"'!K"&amp;ROW())),"")</f>
        <v/>
      </c>
      <c r="V74" s="30">
        <f>IF(OR($K74="",$U74=""),"",$K74-$U74)</f>
        <v/>
      </c>
      <c r="W74" s="31">
        <f>IFERROR(IF(ISBLANK(INDIRECT("'"&amp;$Q$2&amp;"'!O"&amp;ROW())),"",INDIRECT("'"&amp;$Q$2&amp;"'!O"&amp;ROW())),"")</f>
        <v/>
      </c>
      <c r="X74" s="31">
        <f>IF(OR(C74=0,$O74="",$W74=""),"",$O74-$W74)</f>
        <v/>
      </c>
      <c r="Y74" s="2" t="n"/>
      <c r="Z74" s="2" t="n"/>
    </row>
    <row r="75" ht="14.25" customHeight="1" s="58">
      <c r="A75" s="12" t="inlineStr">
        <is>
          <t>МАКС</t>
        </is>
      </c>
      <c r="B75" s="12" t="inlineStr">
        <is>
          <t>Ямал-Медиа</t>
        </is>
      </c>
      <c r="C75" s="13" t="n">
        <v>159</v>
      </c>
      <c r="D75" s="13" t="n">
        <v>166032</v>
      </c>
      <c r="E75" s="13">
        <f>IF($D75="","",IFERROR(IF(ISBLANK(INDIRECT("'"&amp;$Q$2&amp;"'!D"&amp;ROW())),"",INDIRECT("'"&amp;$Q$2&amp;"'!D"&amp;ROW())),""))</f>
        <v/>
      </c>
      <c r="F75" s="15">
        <f>IF(OR(D75="",E75=""),"",D75-E75)</f>
        <v/>
      </c>
      <c r="G75" s="16">
        <f>IFERROR(F75/E75,"")</f>
        <v/>
      </c>
      <c r="H75" s="13" t="n">
        <v>1755</v>
      </c>
      <c r="I75" s="13">
        <f>IF($H75="","",IFERROR(IF(ISBLANK(INDIRECT("'"&amp;$Q$2&amp;"'!H"&amp;ROW())),"",INDIRECT("'"&amp;$Q$2&amp;"'!H"&amp;ROW())),""))</f>
        <v/>
      </c>
      <c r="J75" s="15">
        <f>IF(OR(H75="",I75=""),"",H75-I75)</f>
        <v/>
      </c>
      <c r="K75" s="16">
        <f>IFERROR(J75/I75,"")</f>
        <v/>
      </c>
      <c r="L75" s="13">
        <f>IFERROR(D75/C75,"")</f>
        <v/>
      </c>
      <c r="M75" s="13">
        <f>IFERROR(H75/D75*1000,"")</f>
        <v/>
      </c>
      <c r="N75" s="13" t="n">
        <v>4401</v>
      </c>
      <c r="O75" s="15">
        <f>IFERROR(IF(OR(N75="",ISBLANK(INDIRECT("'"&amp;$Q$2&amp;"'!N"&amp;ROW()))),"",N75-INDIRECT("'"&amp;$Q$2&amp;"'!N"&amp;ROW())),"")</f>
        <v/>
      </c>
      <c r="P75" s="2" t="n"/>
      <c r="Q75" s="2" t="n"/>
      <c r="R75" s="2" t="n"/>
      <c r="S75" s="18">
        <f>IFERROR(IF(ISBLANK(INDIRECT("'"&amp;$Q$2&amp;"'!G"&amp;ROW())),"",INDIRECT("'"&amp;$Q$2&amp;"'!G"&amp;ROW())),"")</f>
        <v/>
      </c>
      <c r="T75" s="20">
        <f>IF(OR($G75="",$S75=""),"",$G75-$S75)</f>
        <v/>
      </c>
      <c r="U75" s="18">
        <f>IFERROR(IF(ISBLANK(INDIRECT("'"&amp;$Q$2&amp;"'!K"&amp;ROW())),"",INDIRECT("'"&amp;$Q$2&amp;"'!K"&amp;ROW())),"")</f>
        <v/>
      </c>
      <c r="V75" s="20">
        <f>IF(OR($K75="",$U75=""),"",$K75-$U75)</f>
        <v/>
      </c>
      <c r="W75" s="21">
        <f>IFERROR(IF(ISBLANK(INDIRECT("'"&amp;$Q$2&amp;"'!O"&amp;ROW())),"",INDIRECT("'"&amp;$Q$2&amp;"'!O"&amp;ROW())),"")</f>
        <v/>
      </c>
      <c r="X75" s="21">
        <f>IF(OR($O75="",$W75=""),"",$O75-$W75)</f>
        <v/>
      </c>
      <c r="Y75" s="2" t="n"/>
      <c r="Z75" s="2" t="n"/>
    </row>
    <row r="76" ht="14.25" customHeight="1" s="58">
      <c r="A76" s="12" t="inlineStr">
        <is>
          <t>МАКС</t>
        </is>
      </c>
      <c r="B76" s="12" t="inlineStr">
        <is>
          <t>Север-Пресс</t>
        </is>
      </c>
      <c r="C76" s="13" t="n">
        <v>160</v>
      </c>
      <c r="D76" s="13" t="n">
        <v>74136</v>
      </c>
      <c r="E76" s="13">
        <f>IF($D76="","",IFERROR(IF(ISBLANK(INDIRECT("'"&amp;$Q$2&amp;"'!D"&amp;ROW())),"",INDIRECT("'"&amp;$Q$2&amp;"'!D"&amp;ROW())),""))</f>
        <v/>
      </c>
      <c r="F76" s="15">
        <f>IF(OR(D76="",E76=""),"",D76-E76)</f>
        <v/>
      </c>
      <c r="G76" s="16">
        <f>IFERROR(F76/E76,"")</f>
        <v/>
      </c>
      <c r="H76" s="13" t="n">
        <v>264</v>
      </c>
      <c r="I76" s="13">
        <f>IF($H76="","",IFERROR(IF(ISBLANK(INDIRECT("'"&amp;$Q$2&amp;"'!H"&amp;ROW())),"",INDIRECT("'"&amp;$Q$2&amp;"'!H"&amp;ROW())),""))</f>
        <v/>
      </c>
      <c r="J76" s="15">
        <f>IF(OR(H76="",I76=""),"",H76-I76)</f>
        <v/>
      </c>
      <c r="K76" s="16">
        <f>IFERROR(J76/I76,"")</f>
        <v/>
      </c>
      <c r="L76" s="13">
        <f>IFERROR(D76/C76,"")</f>
        <v/>
      </c>
      <c r="M76" s="13">
        <f>IFERROR(H76/D76*1000,"")</f>
        <v/>
      </c>
      <c r="N76" s="13" t="n">
        <v>2239</v>
      </c>
      <c r="O76" s="15">
        <f>IFERROR(IF(OR(N76="",ISBLANK(INDIRECT("'"&amp;$Q$2&amp;"'!N"&amp;ROW()))),"",N76-INDIRECT("'"&amp;$Q$2&amp;"'!N"&amp;ROW())),"")</f>
        <v/>
      </c>
      <c r="P76" s="2" t="n"/>
      <c r="Q76" s="2" t="n"/>
      <c r="R76" s="2" t="n"/>
      <c r="S76" s="18">
        <f>IFERROR(IF(ISBLANK(INDIRECT("'"&amp;$Q$2&amp;"'!G"&amp;ROW())),"",INDIRECT("'"&amp;$Q$2&amp;"'!G"&amp;ROW())),"")</f>
        <v/>
      </c>
      <c r="T76" s="20">
        <f>IF(OR($G76="",$S76=""),"",$G76-$S76)</f>
        <v/>
      </c>
      <c r="U76" s="18">
        <f>IFERROR(IF(ISBLANK(INDIRECT("'"&amp;$Q$2&amp;"'!K"&amp;ROW())),"",INDIRECT("'"&amp;$Q$2&amp;"'!K"&amp;ROW())),"")</f>
        <v/>
      </c>
      <c r="V76" s="20">
        <f>IF(OR($K76="",$U76=""),"",$K76-$U76)</f>
        <v/>
      </c>
      <c r="W76" s="21">
        <f>IFERROR(IF(ISBLANK(INDIRECT("'"&amp;$Q$2&amp;"'!O"&amp;ROW())),"",INDIRECT("'"&amp;$Q$2&amp;"'!O"&amp;ROW())),"")</f>
        <v/>
      </c>
      <c r="X76" s="21">
        <f>IF(OR($O76="",$W76=""),"",$O76-$W76)</f>
        <v/>
      </c>
      <c r="Y76" s="2" t="n"/>
      <c r="Z76" s="2" t="n"/>
    </row>
    <row r="77" ht="14.25" customHeight="1" s="58">
      <c r="A77" s="12" t="inlineStr">
        <is>
          <t>МАКС</t>
        </is>
      </c>
      <c r="B77" s="12" t="inlineStr">
        <is>
          <t>Красный Север</t>
        </is>
      </c>
      <c r="C77" s="13" t="n">
        <v>102</v>
      </c>
      <c r="D77" s="13" t="n">
        <v>7964</v>
      </c>
      <c r="E77" s="13">
        <f>IF($D77="","",IFERROR(IF(ISBLANK(INDIRECT("'"&amp;$Q$2&amp;"'!D"&amp;ROW())),"",INDIRECT("'"&amp;$Q$2&amp;"'!D"&amp;ROW())),""))</f>
        <v/>
      </c>
      <c r="F77" s="15">
        <f>IF(OR(D77="",E77=""),"",D77-E77)</f>
        <v/>
      </c>
      <c r="G77" s="16">
        <f>IFERROR(F77/E77,"")</f>
        <v/>
      </c>
      <c r="H77" s="13" t="n">
        <v>3</v>
      </c>
      <c r="I77" s="13">
        <f>IF($H77="","",IFERROR(IF(ISBLANK(INDIRECT("'"&amp;$Q$2&amp;"'!H"&amp;ROW())),"",INDIRECT("'"&amp;$Q$2&amp;"'!H"&amp;ROW())),""))</f>
        <v/>
      </c>
      <c r="J77" s="15">
        <f>IF(OR(H77="",I77=""),"",H77-I77)</f>
        <v/>
      </c>
      <c r="K77" s="16">
        <f>IFERROR(J77/I77,"")</f>
        <v/>
      </c>
      <c r="L77" s="13">
        <f>IFERROR(D77/C77,"")</f>
        <v/>
      </c>
      <c r="M77" s="13">
        <f>IFERROR(H77/D77*1000,"")</f>
        <v/>
      </c>
      <c r="N77" s="13" t="n">
        <v>273</v>
      </c>
      <c r="O77" s="15">
        <f>IFERROR(IF(OR(N77="",ISBLANK(INDIRECT("'"&amp;$Q$2&amp;"'!N"&amp;ROW()))),"",N77-INDIRECT("'"&amp;$Q$2&amp;"'!N"&amp;ROW())),"")</f>
        <v/>
      </c>
      <c r="P77" s="2" t="n"/>
      <c r="Q77" s="2" t="n"/>
      <c r="R77" s="2" t="n"/>
      <c r="S77" s="18">
        <f>IFERROR(IF(ISBLANK(INDIRECT("'"&amp;$Q$2&amp;"'!G"&amp;ROW())),"",INDIRECT("'"&amp;$Q$2&amp;"'!G"&amp;ROW())),"")</f>
        <v/>
      </c>
      <c r="T77" s="20">
        <f>IF(OR($G77="",$S77=""),"",$G77-$S77)</f>
        <v/>
      </c>
      <c r="U77" s="18">
        <f>IFERROR(IF(ISBLANK(INDIRECT("'"&amp;$Q$2&amp;"'!K"&amp;ROW())),"",INDIRECT("'"&amp;$Q$2&amp;"'!K"&amp;ROW())),"")</f>
        <v/>
      </c>
      <c r="V77" s="20">
        <f>IF(OR($K77="",$U77=""),"",$K77-$U77)</f>
        <v/>
      </c>
      <c r="W77" s="21">
        <f>IFERROR(IF(ISBLANK(INDIRECT("'"&amp;$Q$2&amp;"'!O"&amp;ROW())),"",INDIRECT("'"&amp;$Q$2&amp;"'!O"&amp;ROW())),"")</f>
        <v/>
      </c>
      <c r="X77" s="21">
        <f>IF(OR($O77="",$W77=""),"",$O77-$W77)</f>
        <v/>
      </c>
      <c r="Y77" s="2" t="n"/>
      <c r="Z77" s="2" t="n"/>
    </row>
    <row r="78" ht="14.25" customHeight="1" s="58">
      <c r="A78" s="12" t="inlineStr">
        <is>
          <t>МАКС</t>
        </is>
      </c>
      <c r="B78" s="12" t="inlineStr">
        <is>
          <t>СМП</t>
        </is>
      </c>
      <c r="C78" s="13" t="n">
        <v>7</v>
      </c>
      <c r="D78" s="13" t="n">
        <v>1186</v>
      </c>
      <c r="E78" s="13">
        <f>IF($D78="","",IFERROR(IF(ISBLANK(INDIRECT("'"&amp;$Q$2&amp;"'!D"&amp;ROW())),"",INDIRECT("'"&amp;$Q$2&amp;"'!D"&amp;ROW())),""))</f>
        <v/>
      </c>
      <c r="F78" s="15">
        <f>IF(OR(D78="",E78=""),"",D78-E78)</f>
        <v/>
      </c>
      <c r="G78" s="16">
        <f>IFERROR(F78/E78,"")</f>
        <v/>
      </c>
      <c r="H78" s="13" t="n">
        <v>26</v>
      </c>
      <c r="I78" s="13">
        <f>IF($H78="","",IFERROR(IF(ISBLANK(INDIRECT("'"&amp;$Q$2&amp;"'!H"&amp;ROW())),"",INDIRECT("'"&amp;$Q$2&amp;"'!H"&amp;ROW())),""))</f>
        <v/>
      </c>
      <c r="J78" s="15">
        <f>IF(OR(H78="",I78=""),"",H78-I78)</f>
        <v/>
      </c>
      <c r="K78" s="16">
        <f>IFERROR(J78/I78,"")</f>
        <v/>
      </c>
      <c r="L78" s="13">
        <f>IFERROR(D78/C78,"")</f>
        <v/>
      </c>
      <c r="M78" s="13">
        <f>IFERROR(H78/D78*1000,"")</f>
        <v/>
      </c>
      <c r="N78" s="13" t="n">
        <v>208</v>
      </c>
      <c r="O78" s="15">
        <f>IFERROR(IF(OR(N78="",ISBLANK(INDIRECT("'"&amp;$Q$2&amp;"'!N"&amp;ROW()))),"",N78-INDIRECT("'"&amp;$Q$2&amp;"'!N"&amp;ROW())),"")</f>
        <v/>
      </c>
      <c r="P78" s="2" t="n"/>
      <c r="Q78" s="2" t="n"/>
      <c r="R78" s="2" t="n"/>
      <c r="S78" s="18">
        <f>IFERROR(IF(ISBLANK(INDIRECT("'"&amp;$Q$2&amp;"'!G"&amp;ROW())),"",INDIRECT("'"&amp;$Q$2&amp;"'!G"&amp;ROW())),"")</f>
        <v/>
      </c>
      <c r="T78" s="20">
        <f>IF(OR($G78="",$S78=""),"",$G78-$S78)</f>
        <v/>
      </c>
      <c r="U78" s="18">
        <f>IFERROR(IF(ISBLANK(INDIRECT("'"&amp;$Q$2&amp;"'!K"&amp;ROW())),"",INDIRECT("'"&amp;$Q$2&amp;"'!K"&amp;ROW())),"")</f>
        <v/>
      </c>
      <c r="V78" s="20">
        <f>IF(OR($K78="",$U78=""),"",$K78-$U78)</f>
        <v/>
      </c>
      <c r="W78" s="21">
        <f>IFERROR(IF(ISBLANK(INDIRECT("'"&amp;$Q$2&amp;"'!O"&amp;ROW())),"",INDIRECT("'"&amp;$Q$2&amp;"'!O"&amp;ROW())),"")</f>
        <v/>
      </c>
      <c r="X78" s="21">
        <f>IF(OR($O78="",$W78=""),"",$O78-$W78)</f>
        <v/>
      </c>
      <c r="Y78" s="2" t="n"/>
      <c r="Z78" s="2" t="n"/>
    </row>
    <row r="79" ht="14.25" customHeight="1" s="58">
      <c r="A79" s="12" t="inlineStr">
        <is>
          <t>МАКС</t>
        </is>
      </c>
      <c r="B79" s="12" t="inlineStr">
        <is>
          <t>СШХ</t>
        </is>
      </c>
      <c r="C79" s="13" t="n">
        <v>6</v>
      </c>
      <c r="D79" s="13" t="n">
        <v>170</v>
      </c>
      <c r="E79" s="13">
        <f>IF($D79="","",IFERROR(IF(ISBLANK(INDIRECT("'"&amp;$Q$2&amp;"'!D"&amp;ROW())),"",INDIRECT("'"&amp;$Q$2&amp;"'!D"&amp;ROW())),""))</f>
        <v/>
      </c>
      <c r="F79" s="15">
        <f>IF(OR(D79="",E79=""),"",D79-E79)</f>
        <v/>
      </c>
      <c r="G79" s="16">
        <f>IFERROR(F79/E79,"")</f>
        <v/>
      </c>
      <c r="H79" s="13" t="n">
        <v>2</v>
      </c>
      <c r="I79" s="13">
        <f>IF($H79="","",IFERROR(IF(ISBLANK(INDIRECT("'"&amp;$Q$2&amp;"'!H"&amp;ROW())),"",INDIRECT("'"&amp;$Q$2&amp;"'!H"&amp;ROW())),""))</f>
        <v/>
      </c>
      <c r="J79" s="15">
        <f>IF(OR(H79="",I79=""),"",H79-I79)</f>
        <v/>
      </c>
      <c r="K79" s="16">
        <f>IFERROR(J79/I79,"")</f>
        <v/>
      </c>
      <c r="L79" s="13">
        <f>IFERROR(D79/C79,"")</f>
        <v/>
      </c>
      <c r="M79" s="13">
        <f>IFERROR(H79/D79*1000,"")</f>
        <v/>
      </c>
      <c r="N79" s="13" t="n">
        <v>36</v>
      </c>
      <c r="O79" s="15">
        <f>IFERROR(IF(OR(N79="",ISBLANK(INDIRECT("'"&amp;$Q$2&amp;"'!N"&amp;ROW()))),"",N79-INDIRECT("'"&amp;$Q$2&amp;"'!N"&amp;ROW())),"")</f>
        <v/>
      </c>
      <c r="P79" s="2" t="n"/>
      <c r="Q79" s="2" t="n"/>
      <c r="R79" s="2" t="n"/>
      <c r="S79" s="18">
        <f>IFERROR(IF(ISBLANK(INDIRECT("'"&amp;$Q$2&amp;"'!G"&amp;ROW())),"",INDIRECT("'"&amp;$Q$2&amp;"'!G"&amp;ROW())),"")</f>
        <v/>
      </c>
      <c r="T79" s="20">
        <f>IF(OR($G79="",$S79=""),"",$G79-$S79)</f>
        <v/>
      </c>
      <c r="U79" s="18">
        <f>IFERROR(IF(ISBLANK(INDIRECT("'"&amp;$Q$2&amp;"'!K"&amp;ROW())),"",INDIRECT("'"&amp;$Q$2&amp;"'!K"&amp;ROW())),"")</f>
        <v/>
      </c>
      <c r="V79" s="20">
        <f>IF(OR($K79="",$U79=""),"",$K79-$U79)</f>
        <v/>
      </c>
      <c r="W79" s="21">
        <f>IFERROR(IF(ISBLANK(INDIRECT("'"&amp;$Q$2&amp;"'!O"&amp;ROW())),"",INDIRECT("'"&amp;$Q$2&amp;"'!O"&amp;ROW())),"")</f>
        <v/>
      </c>
      <c r="X79" s="21">
        <f>IF(OR($O79="",$W79=""),"",$O79-$W79)</f>
        <v/>
      </c>
      <c r="Y79" s="2" t="n"/>
      <c r="Z79" s="2" t="n"/>
    </row>
    <row r="80" ht="14.25" customHeight="1" s="58">
      <c r="A80" s="12" t="inlineStr">
        <is>
          <t>МАКС</t>
        </is>
      </c>
      <c r="B80" s="12" t="inlineStr">
        <is>
          <t>Новый Уренгой</t>
        </is>
      </c>
      <c r="C80" s="13" t="n">
        <v>127</v>
      </c>
      <c r="D80" s="13" t="n">
        <v>208151</v>
      </c>
      <c r="E80" s="13">
        <f>IF($D80="","",IFERROR(IF(ISBLANK(INDIRECT("'"&amp;$Q$2&amp;"'!D"&amp;ROW())),"",INDIRECT("'"&amp;$Q$2&amp;"'!D"&amp;ROW())),""))</f>
        <v/>
      </c>
      <c r="F80" s="15">
        <f>IF(OR(D80="",E80=""),"",D80-E80)</f>
        <v/>
      </c>
      <c r="G80" s="16">
        <f>IFERROR(F80/E80,"")</f>
        <v/>
      </c>
      <c r="H80" s="13" t="n">
        <v>1845</v>
      </c>
      <c r="I80" s="13">
        <f>IF($H80="","",IFERROR(IF(ISBLANK(INDIRECT("'"&amp;$Q$2&amp;"'!H"&amp;ROW())),"",INDIRECT("'"&amp;$Q$2&amp;"'!H"&amp;ROW())),""))</f>
        <v/>
      </c>
      <c r="J80" s="15">
        <f>IF(OR(H80="",I80=""),"",H80-I80)</f>
        <v/>
      </c>
      <c r="K80" s="16">
        <f>IFERROR(J80/I80,"")</f>
        <v/>
      </c>
      <c r="L80" s="13">
        <f>IFERROR(D80/C80,"")</f>
        <v/>
      </c>
      <c r="M80" s="13">
        <f>IFERROR(H80/D80*1000,"")</f>
        <v/>
      </c>
      <c r="N80" s="13" t="n">
        <v>4351</v>
      </c>
      <c r="O80" s="15">
        <f>IFERROR(IF(OR(N80="",ISBLANK(INDIRECT("'"&amp;$Q$2&amp;"'!N"&amp;ROW()))),"",N80-INDIRECT("'"&amp;$Q$2&amp;"'!N"&amp;ROW())),"")</f>
        <v/>
      </c>
      <c r="P80" s="2" t="n"/>
      <c r="Q80" s="2" t="n"/>
      <c r="R80" s="2" t="n"/>
      <c r="S80" s="18">
        <f>IFERROR(IF(ISBLANK(INDIRECT("'"&amp;$Q$2&amp;"'!G"&amp;ROW())),"",INDIRECT("'"&amp;$Q$2&amp;"'!G"&amp;ROW())),"")</f>
        <v/>
      </c>
      <c r="T80" s="20">
        <f>IF(OR($G80="",$S80=""),"",$G80-$S80)</f>
        <v/>
      </c>
      <c r="U80" s="18">
        <f>IFERROR(IF(ISBLANK(INDIRECT("'"&amp;$Q$2&amp;"'!K"&amp;ROW())),"",INDIRECT("'"&amp;$Q$2&amp;"'!K"&amp;ROW())),"")</f>
        <v/>
      </c>
      <c r="V80" s="20">
        <f>IF(OR($K80="",$U80=""),"",$K80-$U80)</f>
        <v/>
      </c>
      <c r="W80" s="21">
        <f>IFERROR(IF(ISBLANK(INDIRECT("'"&amp;$Q$2&amp;"'!O"&amp;ROW())),"",INDIRECT("'"&amp;$Q$2&amp;"'!O"&amp;ROW())),"")</f>
        <v/>
      </c>
      <c r="X80" s="21">
        <f>IF(OR($O80="",$W80=""),"",$O80-$W80)</f>
        <v/>
      </c>
      <c r="Y80" s="2" t="n"/>
      <c r="Z80" s="2" t="n"/>
    </row>
    <row r="81" ht="14.25" customHeight="1" s="58">
      <c r="A81" s="12" t="inlineStr">
        <is>
          <t>МАКС</t>
        </is>
      </c>
      <c r="B81" s="12" t="inlineStr">
        <is>
          <t>Надым</t>
        </is>
      </c>
      <c r="C81" s="13" t="n">
        <v>116</v>
      </c>
      <c r="D81" s="13" t="n">
        <v>99097</v>
      </c>
      <c r="E81" s="13">
        <f>IF($D81="","",IFERROR(IF(ISBLANK(INDIRECT("'"&amp;$Q$2&amp;"'!D"&amp;ROW())),"",INDIRECT("'"&amp;$Q$2&amp;"'!D"&amp;ROW())),""))</f>
        <v/>
      </c>
      <c r="F81" s="15">
        <f>IF(OR(D81="",E81=""),"",D81-E81)</f>
        <v/>
      </c>
      <c r="G81" s="16">
        <f>IFERROR(F81/E81,"")</f>
        <v/>
      </c>
      <c r="H81" s="13" t="n">
        <v>1986</v>
      </c>
      <c r="I81" s="13">
        <f>IF($H81="","",IFERROR(IF(ISBLANK(INDIRECT("'"&amp;$Q$2&amp;"'!H"&amp;ROW())),"",INDIRECT("'"&amp;$Q$2&amp;"'!H"&amp;ROW())),""))</f>
        <v/>
      </c>
      <c r="J81" s="15">
        <f>IF(OR(H81="",I81=""),"",H81-I81)</f>
        <v/>
      </c>
      <c r="K81" s="16">
        <f>IFERROR(J81/I81,"")</f>
        <v/>
      </c>
      <c r="L81" s="13">
        <f>IFERROR(D81/C81,"")</f>
        <v/>
      </c>
      <c r="M81" s="13">
        <f>IFERROR(H81/D81*1000,"")</f>
        <v/>
      </c>
      <c r="N81" s="13" t="n">
        <v>2504</v>
      </c>
      <c r="O81" s="15">
        <f>IFERROR(IF(OR(N81="",ISBLANK(INDIRECT("'"&amp;$Q$2&amp;"'!N"&amp;ROW()))),"",N81-INDIRECT("'"&amp;$Q$2&amp;"'!N"&amp;ROW())),"")</f>
        <v/>
      </c>
      <c r="P81" s="2" t="n"/>
      <c r="Q81" s="2" t="n"/>
      <c r="R81" s="2" t="n"/>
      <c r="S81" s="18">
        <f>IFERROR(IF(ISBLANK(INDIRECT("'"&amp;$Q$2&amp;"'!G"&amp;ROW())),"",INDIRECT("'"&amp;$Q$2&amp;"'!G"&amp;ROW())),"")</f>
        <v/>
      </c>
      <c r="T81" s="20">
        <f>IF(OR($G81="",$S81=""),"",$G81-$S81)</f>
        <v/>
      </c>
      <c r="U81" s="18">
        <f>IFERROR(IF(ISBLANK(INDIRECT("'"&amp;$Q$2&amp;"'!K"&amp;ROW())),"",INDIRECT("'"&amp;$Q$2&amp;"'!K"&amp;ROW())),"")</f>
        <v/>
      </c>
      <c r="V81" s="20">
        <f>IF(OR($K81="",$U81=""),"",$K81-$U81)</f>
        <v/>
      </c>
      <c r="W81" s="21">
        <f>IFERROR(IF(ISBLANK(INDIRECT("'"&amp;$Q$2&amp;"'!O"&amp;ROW())),"",INDIRECT("'"&amp;$Q$2&amp;"'!O"&amp;ROW())),"")</f>
        <v/>
      </c>
      <c r="X81" s="21">
        <f>IF(OR($O81="",$W81=""),"",$O81-$W81)</f>
        <v/>
      </c>
      <c r="Y81" s="2" t="n"/>
      <c r="Z81" s="2" t="n"/>
    </row>
    <row r="82" ht="14.25" customHeight="1" s="58">
      <c r="A82" s="12" t="inlineStr">
        <is>
          <t>МАКС</t>
        </is>
      </c>
      <c r="B82" s="12" t="inlineStr">
        <is>
          <t>Ноябрьск</t>
        </is>
      </c>
      <c r="C82" s="13" t="n">
        <v>121</v>
      </c>
      <c r="D82" s="13" t="n">
        <v>193342</v>
      </c>
      <c r="E82" s="13">
        <f>IF($D82="","",IFERROR(IF(ISBLANK(INDIRECT("'"&amp;$Q$2&amp;"'!D"&amp;ROW())),"",INDIRECT("'"&amp;$Q$2&amp;"'!D"&amp;ROW())),""))</f>
        <v/>
      </c>
      <c r="F82" s="15">
        <f>IF(OR(D82="",E82=""),"",D82-E82)</f>
        <v/>
      </c>
      <c r="G82" s="16">
        <f>IFERROR(F82/E82,"")</f>
        <v/>
      </c>
      <c r="H82" s="13" t="n">
        <v>3704</v>
      </c>
      <c r="I82" s="13">
        <f>IF($H82="","",IFERROR(IF(ISBLANK(INDIRECT("'"&amp;$Q$2&amp;"'!H"&amp;ROW())),"",INDIRECT("'"&amp;$Q$2&amp;"'!H"&amp;ROW())),""))</f>
        <v/>
      </c>
      <c r="J82" s="15">
        <f>IF(OR(H82="",I82=""),"",H82-I82)</f>
        <v/>
      </c>
      <c r="K82" s="16">
        <f>IFERROR(J82/I82,"")</f>
        <v/>
      </c>
      <c r="L82" s="13">
        <f>IFERROR(D82/C82,"")</f>
        <v/>
      </c>
      <c r="M82" s="13">
        <f>IFERROR(H82/D82*1000,"")</f>
        <v/>
      </c>
      <c r="N82" s="13" t="n">
        <v>3712</v>
      </c>
      <c r="O82" s="15">
        <f>IFERROR(IF(OR(N82="",ISBLANK(INDIRECT("'"&amp;$Q$2&amp;"'!N"&amp;ROW()))),"",N82-INDIRECT("'"&amp;$Q$2&amp;"'!N"&amp;ROW())),"")</f>
        <v/>
      </c>
      <c r="P82" s="2" t="n"/>
      <c r="Q82" s="2" t="n"/>
      <c r="R82" s="2" t="n"/>
      <c r="S82" s="18">
        <f>IFERROR(IF(ISBLANK(INDIRECT("'"&amp;$Q$2&amp;"'!G"&amp;ROW())),"",INDIRECT("'"&amp;$Q$2&amp;"'!G"&amp;ROW())),"")</f>
        <v/>
      </c>
      <c r="T82" s="20">
        <f>IF(OR($G82="",$S82=""),"",$G82-$S82)</f>
        <v/>
      </c>
      <c r="U82" s="18">
        <f>IFERROR(IF(ISBLANK(INDIRECT("'"&amp;$Q$2&amp;"'!K"&amp;ROW())),"",INDIRECT("'"&amp;$Q$2&amp;"'!K"&amp;ROW())),"")</f>
        <v/>
      </c>
      <c r="V82" s="20">
        <f>IF(OR($K82="",$U82=""),"",$K82-$U82)</f>
        <v/>
      </c>
      <c r="W82" s="21">
        <f>IFERROR(IF(ISBLANK(INDIRECT("'"&amp;$Q$2&amp;"'!O"&amp;ROW())),"",INDIRECT("'"&amp;$Q$2&amp;"'!O"&amp;ROW())),"")</f>
        <v/>
      </c>
      <c r="X82" s="21">
        <f>IF(OR($O82="",$W82=""),"",$O82-$W82)</f>
        <v/>
      </c>
      <c r="Y82" s="2" t="n"/>
      <c r="Z82" s="2" t="n"/>
    </row>
    <row r="83" ht="14.25" customHeight="1" s="58">
      <c r="A83" s="12" t="inlineStr">
        <is>
          <t>МАКС</t>
        </is>
      </c>
      <c r="B83" s="12" t="inlineStr">
        <is>
          <t>Салехард</t>
        </is>
      </c>
      <c r="C83" s="13" t="n">
        <v>157</v>
      </c>
      <c r="D83" s="13" t="n">
        <v>97576</v>
      </c>
      <c r="E83" s="13">
        <f>IF($D83="","",IFERROR(IF(ISBLANK(INDIRECT("'"&amp;$Q$2&amp;"'!D"&amp;ROW())),"",INDIRECT("'"&amp;$Q$2&amp;"'!D"&amp;ROW())),""))</f>
        <v/>
      </c>
      <c r="F83" s="15">
        <f>IF(OR(D83="",E83=""),"",D83-E83)</f>
        <v/>
      </c>
      <c r="G83" s="16">
        <f>IFERROR(F83/E83,"")</f>
        <v/>
      </c>
      <c r="H83" s="13" t="n">
        <v>648</v>
      </c>
      <c r="I83" s="13">
        <f>IF($H83="","",IFERROR(IF(ISBLANK(INDIRECT("'"&amp;$Q$2&amp;"'!H"&amp;ROW())),"",INDIRECT("'"&amp;$Q$2&amp;"'!H"&amp;ROW())),""))</f>
        <v/>
      </c>
      <c r="J83" s="15">
        <f>IF(OR(H83="",I83=""),"",H83-I83)</f>
        <v/>
      </c>
      <c r="K83" s="16">
        <f>IFERROR(J83/I83,"")</f>
        <v/>
      </c>
      <c r="L83" s="13">
        <f>IFERROR(D83/C83,"")</f>
        <v/>
      </c>
      <c r="M83" s="13">
        <f>IFERROR(H83/D83*1000,"")</f>
        <v/>
      </c>
      <c r="N83" s="13" t="n">
        <v>1797</v>
      </c>
      <c r="O83" s="15">
        <f>IFERROR(IF(OR(N83="",ISBLANK(INDIRECT("'"&amp;$Q$2&amp;"'!N"&amp;ROW()))),"",N83-INDIRECT("'"&amp;$Q$2&amp;"'!N"&amp;ROW())),"")</f>
        <v/>
      </c>
      <c r="P83" s="2" t="n"/>
      <c r="Q83" s="2" t="n"/>
      <c r="R83" s="2" t="n"/>
      <c r="S83" s="18">
        <f>IFERROR(IF(ISBLANK(INDIRECT("'"&amp;$Q$2&amp;"'!G"&amp;ROW())),"",INDIRECT("'"&amp;$Q$2&amp;"'!G"&amp;ROW())),"")</f>
        <v/>
      </c>
      <c r="T83" s="20">
        <f>IF(OR($G83="",$S83=""),"",$G83-$S83)</f>
        <v/>
      </c>
      <c r="U83" s="18">
        <f>IFERROR(IF(ISBLANK(INDIRECT("'"&amp;$Q$2&amp;"'!K"&amp;ROW())),"",INDIRECT("'"&amp;$Q$2&amp;"'!K"&amp;ROW())),"")</f>
        <v/>
      </c>
      <c r="V83" s="20">
        <f>IF(OR($K83="",$U83=""),"",$K83-$U83)</f>
        <v/>
      </c>
      <c r="W83" s="21">
        <f>IFERROR(IF(ISBLANK(INDIRECT("'"&amp;$Q$2&amp;"'!O"&amp;ROW())),"",INDIRECT("'"&amp;$Q$2&amp;"'!O"&amp;ROW())),"")</f>
        <v/>
      </c>
      <c r="X83" s="21">
        <f>IF(OR($O83="",$W83=""),"",$O83-$W83)</f>
        <v/>
      </c>
      <c r="Y83" s="2" t="n"/>
      <c r="Z83" s="2" t="n"/>
    </row>
    <row r="84" ht="14.25" customHeight="1" s="58">
      <c r="A84" s="12" t="inlineStr">
        <is>
          <t>МАКС</t>
        </is>
      </c>
      <c r="B84" s="12" t="inlineStr">
        <is>
          <t>Приуралье</t>
        </is>
      </c>
      <c r="C84" s="13" t="n">
        <v>149</v>
      </c>
      <c r="D84" s="13" t="n">
        <v>38457</v>
      </c>
      <c r="E84" s="13">
        <f>IF($D84="","",IFERROR(IF(ISBLANK(INDIRECT("'"&amp;$Q$2&amp;"'!D"&amp;ROW())),"",INDIRECT("'"&amp;$Q$2&amp;"'!D"&amp;ROW())),""))</f>
        <v/>
      </c>
      <c r="F84" s="15">
        <f>IF(OR(D84="",E84=""),"",D84-E84)</f>
        <v/>
      </c>
      <c r="G84" s="16">
        <f>IFERROR(F84/E84,"")</f>
        <v/>
      </c>
      <c r="H84" s="13" t="n">
        <v>460</v>
      </c>
      <c r="I84" s="13">
        <f>IF($H84="","",IFERROR(IF(ISBLANK(INDIRECT("'"&amp;$Q$2&amp;"'!H"&amp;ROW())),"",INDIRECT("'"&amp;$Q$2&amp;"'!H"&amp;ROW())),""))</f>
        <v/>
      </c>
      <c r="J84" s="15">
        <f>IF(OR(H84="",I84=""),"",H84-I84)</f>
        <v/>
      </c>
      <c r="K84" s="16">
        <f>IFERROR(J84/I84,"")</f>
        <v/>
      </c>
      <c r="L84" s="13">
        <f>IFERROR(D84/C84,"")</f>
        <v/>
      </c>
      <c r="M84" s="13">
        <f>IFERROR(H84/D84*1000,"")</f>
        <v/>
      </c>
      <c r="N84" s="13" t="n">
        <v>755</v>
      </c>
      <c r="O84" s="15">
        <f>IFERROR(IF(OR(N84="",ISBLANK(INDIRECT("'"&amp;$Q$2&amp;"'!N"&amp;ROW()))),"",N84-INDIRECT("'"&amp;$Q$2&amp;"'!N"&amp;ROW())),"")</f>
        <v/>
      </c>
      <c r="P84" s="2" t="n"/>
      <c r="Q84" s="2" t="n"/>
      <c r="R84" s="2" t="n"/>
      <c r="S84" s="18">
        <f>IFERROR(IF(ISBLANK(INDIRECT("'"&amp;$Q$2&amp;"'!G"&amp;ROW())),"",INDIRECT("'"&amp;$Q$2&amp;"'!G"&amp;ROW())),"")</f>
        <v/>
      </c>
      <c r="T84" s="20">
        <f>IF(OR($G84="",$S84=""),"",$G84-$S84)</f>
        <v/>
      </c>
      <c r="U84" s="18">
        <f>IFERROR(IF(ISBLANK(INDIRECT("'"&amp;$Q$2&amp;"'!K"&amp;ROW())),"",INDIRECT("'"&amp;$Q$2&amp;"'!K"&amp;ROW())),"")</f>
        <v/>
      </c>
      <c r="V84" s="20">
        <f>IF(OR($K84="",$U84=""),"",$K84-$U84)</f>
        <v/>
      </c>
      <c r="W84" s="21">
        <f>IFERROR(IF(ISBLANK(INDIRECT("'"&amp;$Q$2&amp;"'!O"&amp;ROW())),"",INDIRECT("'"&amp;$Q$2&amp;"'!O"&amp;ROW())),"")</f>
        <v/>
      </c>
      <c r="X84" s="21">
        <f>IF(OR($O84="",$W84=""),"",$O84-$W84)</f>
        <v/>
      </c>
      <c r="Y84" s="2" t="n"/>
      <c r="Z84" s="2" t="n"/>
    </row>
    <row r="85" ht="14.25" customHeight="1" s="58">
      <c r="A85" s="12" t="inlineStr">
        <is>
          <t>МАКС</t>
        </is>
      </c>
      <c r="B85" s="12" t="inlineStr">
        <is>
          <t>Лабытнанги</t>
        </is>
      </c>
      <c r="C85" s="13" t="n">
        <v>98</v>
      </c>
      <c r="D85" s="13" t="n">
        <v>12861</v>
      </c>
      <c r="E85" s="13">
        <f>IF($D85="","",IFERROR(IF(ISBLANK(INDIRECT("'"&amp;$Q$2&amp;"'!D"&amp;ROW())),"",INDIRECT("'"&amp;$Q$2&amp;"'!D"&amp;ROW())),""))</f>
        <v/>
      </c>
      <c r="F85" s="15">
        <f>IF(OR(D85="",E85=""),"",D85-E85)</f>
        <v/>
      </c>
      <c r="G85" s="16">
        <f>IFERROR(F85/E85,"")</f>
        <v/>
      </c>
      <c r="H85" s="13" t="n">
        <v>1019</v>
      </c>
      <c r="I85" s="13">
        <f>IF($H85="","",IFERROR(IF(ISBLANK(INDIRECT("'"&amp;$Q$2&amp;"'!H"&amp;ROW())),"",INDIRECT("'"&amp;$Q$2&amp;"'!H"&amp;ROW())),""))</f>
        <v/>
      </c>
      <c r="J85" s="15">
        <f>IF(OR(H85="",I85=""),"",H85-I85)</f>
        <v/>
      </c>
      <c r="K85" s="16">
        <f>IFERROR(J85/I85,"")</f>
        <v/>
      </c>
      <c r="L85" s="13">
        <f>IFERROR(D85/C85,"")</f>
        <v/>
      </c>
      <c r="M85" s="13">
        <f>IFERROR(H85/D85*1000,"")</f>
        <v/>
      </c>
      <c r="N85" s="13" t="n">
        <v>299</v>
      </c>
      <c r="O85" s="15">
        <f>IFERROR(IF(OR(N85="",ISBLANK(INDIRECT("'"&amp;$Q$2&amp;"'!N"&amp;ROW()))),"",N85-INDIRECT("'"&amp;$Q$2&amp;"'!N"&amp;ROW())),"")</f>
        <v/>
      </c>
      <c r="P85" s="2" t="n"/>
      <c r="Q85" s="2" t="n"/>
      <c r="R85" s="2" t="n"/>
      <c r="S85" s="18">
        <f>IFERROR(IF(ISBLANK(INDIRECT("'"&amp;$Q$2&amp;"'!G"&amp;ROW())),"",INDIRECT("'"&amp;$Q$2&amp;"'!G"&amp;ROW())),"")</f>
        <v/>
      </c>
      <c r="T85" s="20">
        <f>IF(OR($G85="",$S85=""),"",$G85-$S85)</f>
        <v/>
      </c>
      <c r="U85" s="18">
        <f>IFERROR(IF(ISBLANK(INDIRECT("'"&amp;$Q$2&amp;"'!K"&amp;ROW())),"",INDIRECT("'"&amp;$Q$2&amp;"'!K"&amp;ROW())),"")</f>
        <v/>
      </c>
      <c r="V85" s="20">
        <f>IF(OR($K85="",$U85=""),"",$K85-$U85)</f>
        <v/>
      </c>
      <c r="W85" s="21">
        <f>IFERROR(IF(ISBLANK(INDIRECT("'"&amp;$Q$2&amp;"'!O"&amp;ROW())),"",INDIRECT("'"&amp;$Q$2&amp;"'!O"&amp;ROW())),"")</f>
        <v/>
      </c>
      <c r="X85" s="21">
        <f>IF(OR($O85="",$W85=""),"",$O85-$W85)</f>
        <v/>
      </c>
      <c r="Y85" s="2" t="n"/>
      <c r="Z85" s="2" t="n"/>
    </row>
    <row r="86" ht="14.25" customHeight="1" s="58">
      <c r="A86" s="12" t="inlineStr">
        <is>
          <t>МАКС</t>
        </is>
      </c>
      <c r="B86" s="12" t="inlineStr">
        <is>
          <t>Пуровский</t>
        </is>
      </c>
      <c r="C86" s="13" t="n">
        <v>98</v>
      </c>
      <c r="D86" s="13" t="n">
        <v>70605</v>
      </c>
      <c r="E86" s="13">
        <f>IF($D86="","",IFERROR(IF(ISBLANK(INDIRECT("'"&amp;$Q$2&amp;"'!D"&amp;ROW())),"",INDIRECT("'"&amp;$Q$2&amp;"'!D"&amp;ROW())),""))</f>
        <v/>
      </c>
      <c r="F86" s="15">
        <f>IF(OR(D86="",E86=""),"",D86-E86)</f>
        <v/>
      </c>
      <c r="G86" s="16">
        <f>IFERROR(F86/E86,"")</f>
        <v/>
      </c>
      <c r="H86" s="13" t="n">
        <v>523</v>
      </c>
      <c r="I86" s="13">
        <f>IF($H86="","",IFERROR(IF(ISBLANK(INDIRECT("'"&amp;$Q$2&amp;"'!H"&amp;ROW())),"",INDIRECT("'"&amp;$Q$2&amp;"'!H"&amp;ROW())),""))</f>
        <v/>
      </c>
      <c r="J86" s="15">
        <f>IF(OR(H86="",I86=""),"",H86-I86)</f>
        <v/>
      </c>
      <c r="K86" s="16">
        <f>IFERROR(J86/I86,"")</f>
        <v/>
      </c>
      <c r="L86" s="13">
        <f>IFERROR(D86/C86,"")</f>
        <v/>
      </c>
      <c r="M86" s="13">
        <f>IFERROR(H86/D86*1000,"")</f>
        <v/>
      </c>
      <c r="N86" s="13" t="n">
        <v>1907</v>
      </c>
      <c r="O86" s="15">
        <f>IFERROR(IF(OR(N86="",ISBLANK(INDIRECT("'"&amp;$Q$2&amp;"'!N"&amp;ROW()))),"",N86-INDIRECT("'"&amp;$Q$2&amp;"'!N"&amp;ROW())),"")</f>
        <v/>
      </c>
      <c r="P86" s="2" t="n"/>
      <c r="Q86" s="2" t="n"/>
      <c r="R86" s="2" t="n"/>
      <c r="S86" s="18">
        <f>IFERROR(IF(ISBLANK(INDIRECT("'"&amp;$Q$2&amp;"'!G"&amp;ROW())),"",INDIRECT("'"&amp;$Q$2&amp;"'!G"&amp;ROW())),"")</f>
        <v/>
      </c>
      <c r="T86" s="20">
        <f>IF(OR($G86="",$S86=""),"",$G86-$S86)</f>
        <v/>
      </c>
      <c r="U86" s="18">
        <f>IFERROR(IF(ISBLANK(INDIRECT("'"&amp;$Q$2&amp;"'!K"&amp;ROW())),"",INDIRECT("'"&amp;$Q$2&amp;"'!K"&amp;ROW())),"")</f>
        <v/>
      </c>
      <c r="V86" s="20">
        <f>IF(OR($K86="",$U86=""),"",$K86-$U86)</f>
        <v/>
      </c>
      <c r="W86" s="21">
        <f>IFERROR(IF(ISBLANK(INDIRECT("'"&amp;$Q$2&amp;"'!O"&amp;ROW())),"",INDIRECT("'"&amp;$Q$2&amp;"'!O"&amp;ROW())),"")</f>
        <v/>
      </c>
      <c r="X86" s="21">
        <f>IF(OR($O86="",$W86=""),"",$O86-$W86)</f>
        <v/>
      </c>
      <c r="Y86" s="2" t="n"/>
      <c r="Z86" s="2" t="n"/>
    </row>
    <row r="87" ht="14.25" customHeight="1" s="58">
      <c r="A87" s="12" t="inlineStr">
        <is>
          <t>МАКС</t>
        </is>
      </c>
      <c r="B87" s="12" t="inlineStr">
        <is>
          <t>Тазовский</t>
        </is>
      </c>
      <c r="C87" s="13" t="n">
        <v>87</v>
      </c>
      <c r="D87" s="13" t="n">
        <v>20112</v>
      </c>
      <c r="E87" s="13">
        <f>IF($D87="","",IFERROR(IF(ISBLANK(INDIRECT("'"&amp;$Q$2&amp;"'!D"&amp;ROW())),"",INDIRECT("'"&amp;$Q$2&amp;"'!D"&amp;ROW())),""))</f>
        <v/>
      </c>
      <c r="F87" s="15">
        <f>IF(OR(D87="",E87=""),"",D87-E87)</f>
        <v/>
      </c>
      <c r="G87" s="16">
        <f>IFERROR(F87/E87,"")</f>
        <v/>
      </c>
      <c r="H87" s="13" t="n">
        <v>93</v>
      </c>
      <c r="I87" s="13">
        <f>IF($H87="","",IFERROR(IF(ISBLANK(INDIRECT("'"&amp;$Q$2&amp;"'!H"&amp;ROW())),"",INDIRECT("'"&amp;$Q$2&amp;"'!H"&amp;ROW())),""))</f>
        <v/>
      </c>
      <c r="J87" s="15">
        <f>IF(OR(H87="",I87=""),"",H87-I87)</f>
        <v/>
      </c>
      <c r="K87" s="16">
        <f>IFERROR(J87/I87,"")</f>
        <v/>
      </c>
      <c r="L87" s="13">
        <f>IFERROR(D87/C87,"")</f>
        <v/>
      </c>
      <c r="M87" s="13">
        <f>IFERROR(H87/D87*1000,"")</f>
        <v/>
      </c>
      <c r="N87" s="13" t="n">
        <v>517</v>
      </c>
      <c r="O87" s="15">
        <f>IFERROR(IF(OR(N87="",ISBLANK(INDIRECT("'"&amp;$Q$2&amp;"'!N"&amp;ROW()))),"",N87-INDIRECT("'"&amp;$Q$2&amp;"'!N"&amp;ROW())),"")</f>
        <v/>
      </c>
      <c r="P87" s="2" t="n"/>
      <c r="Q87" s="2" t="n"/>
      <c r="R87" s="2" t="n"/>
      <c r="S87" s="18">
        <f>IFERROR(IF(ISBLANK(INDIRECT("'"&amp;$Q$2&amp;"'!G"&amp;ROW())),"",INDIRECT("'"&amp;$Q$2&amp;"'!G"&amp;ROW())),"")</f>
        <v/>
      </c>
      <c r="T87" s="20">
        <f>IF(OR($G87="",$S87=""),"",$G87-$S87)</f>
        <v/>
      </c>
      <c r="U87" s="18">
        <f>IFERROR(IF(ISBLANK(INDIRECT("'"&amp;$Q$2&amp;"'!K"&amp;ROW())),"",INDIRECT("'"&amp;$Q$2&amp;"'!K"&amp;ROW())),"")</f>
        <v/>
      </c>
      <c r="V87" s="20">
        <f>IF(OR($K87="",$U87=""),"",$K87-$U87)</f>
        <v/>
      </c>
      <c r="W87" s="21">
        <f>IFERROR(IF(ISBLANK(INDIRECT("'"&amp;$Q$2&amp;"'!O"&amp;ROW())),"",INDIRECT("'"&amp;$Q$2&amp;"'!O"&amp;ROW())),"")</f>
        <v/>
      </c>
      <c r="X87" s="21">
        <f>IF(OR($O87="",$W87=""),"",$O87-$W87)</f>
        <v/>
      </c>
      <c r="Y87" s="2" t="n"/>
      <c r="Z87" s="2" t="n"/>
    </row>
    <row r="88" ht="14.25" customHeight="1" s="58">
      <c r="A88" s="12" t="inlineStr">
        <is>
          <t>МАКС</t>
        </is>
      </c>
      <c r="B88" s="12" t="inlineStr">
        <is>
          <t>Красноселькуп</t>
        </is>
      </c>
      <c r="C88" s="13" t="n">
        <v>50</v>
      </c>
      <c r="D88" s="13" t="n">
        <v>9959</v>
      </c>
      <c r="E88" s="13">
        <f>IF($D88="","",IFERROR(IF(ISBLANK(INDIRECT("'"&amp;$Q$2&amp;"'!D"&amp;ROW())),"",INDIRECT("'"&amp;$Q$2&amp;"'!D"&amp;ROW())),""))</f>
        <v/>
      </c>
      <c r="F88" s="15">
        <f>IF(OR(D88="",E88=""),"",D88-E88)</f>
        <v/>
      </c>
      <c r="G88" s="16">
        <f>IFERROR(F88/E88,"")</f>
        <v/>
      </c>
      <c r="H88" s="13" t="n">
        <v>73</v>
      </c>
      <c r="I88" s="13">
        <f>IF($H88="","",IFERROR(IF(ISBLANK(INDIRECT("'"&amp;$Q$2&amp;"'!H"&amp;ROW())),"",INDIRECT("'"&amp;$Q$2&amp;"'!H"&amp;ROW())),""))</f>
        <v/>
      </c>
      <c r="J88" s="15">
        <f>IF(OR(H88="",I88=""),"",H88-I88)</f>
        <v/>
      </c>
      <c r="K88" s="16">
        <f>IFERROR(J88/I88,"")</f>
        <v/>
      </c>
      <c r="L88" s="13">
        <f>IFERROR(D88/C88,"")</f>
        <v/>
      </c>
      <c r="M88" s="13">
        <f>IFERROR(H88/D88*1000,"")</f>
        <v/>
      </c>
      <c r="N88" s="13" t="n">
        <v>430</v>
      </c>
      <c r="O88" s="15">
        <f>IFERROR(IF(OR(N88="",ISBLANK(INDIRECT("'"&amp;$Q$2&amp;"'!N"&amp;ROW()))),"",N88-INDIRECT("'"&amp;$Q$2&amp;"'!N"&amp;ROW())),"")</f>
        <v/>
      </c>
      <c r="P88" s="2" t="n"/>
      <c r="Q88" s="2" t="n"/>
      <c r="R88" s="2" t="n"/>
      <c r="S88" s="18">
        <f>IFERROR(IF(ISBLANK(INDIRECT("'"&amp;$Q$2&amp;"'!G"&amp;ROW())),"",INDIRECT("'"&amp;$Q$2&amp;"'!G"&amp;ROW())),"")</f>
        <v/>
      </c>
      <c r="T88" s="20">
        <f>IF(OR($G88="",$S88=""),"",$G88-$S88)</f>
        <v/>
      </c>
      <c r="U88" s="18">
        <f>IFERROR(IF(ISBLANK(INDIRECT("'"&amp;$Q$2&amp;"'!K"&amp;ROW())),"",INDIRECT("'"&amp;$Q$2&amp;"'!K"&amp;ROW())),"")</f>
        <v/>
      </c>
      <c r="V88" s="20">
        <f>IF(OR($K88="",$U88=""),"",$K88-$U88)</f>
        <v/>
      </c>
      <c r="W88" s="21">
        <f>IFERROR(IF(ISBLANK(INDIRECT("'"&amp;$Q$2&amp;"'!O"&amp;ROW())),"",INDIRECT("'"&amp;$Q$2&amp;"'!O"&amp;ROW())),"")</f>
        <v/>
      </c>
      <c r="X88" s="21">
        <f>IF(OR($O88="",$W88=""),"",$O88-$W88)</f>
        <v/>
      </c>
      <c r="Y88" s="2" t="n"/>
      <c r="Z88" s="2" t="n"/>
    </row>
    <row r="89" ht="14.25" customHeight="1" s="58">
      <c r="A89" s="12" t="inlineStr">
        <is>
          <t>МАКС</t>
        </is>
      </c>
      <c r="B89" s="12" t="inlineStr">
        <is>
          <t>Ямальский</t>
        </is>
      </c>
      <c r="C89" s="13" t="n">
        <v>72</v>
      </c>
      <c r="D89" s="13" t="n">
        <v>13123</v>
      </c>
      <c r="E89" s="13">
        <f>IF($D89="","",IFERROR(IF(ISBLANK(INDIRECT("'"&amp;$Q$2&amp;"'!D"&amp;ROW())),"",INDIRECT("'"&amp;$Q$2&amp;"'!D"&amp;ROW())),""))</f>
        <v/>
      </c>
      <c r="F89" s="15">
        <f>IF(OR(D89="",E89=""),"",D89-E89)</f>
        <v/>
      </c>
      <c r="G89" s="16">
        <f>IFERROR(F89/E89,"")</f>
        <v/>
      </c>
      <c r="H89" s="13" t="n">
        <v>212</v>
      </c>
      <c r="I89" s="13">
        <f>IF($H89="","",IFERROR(IF(ISBLANK(INDIRECT("'"&amp;$Q$2&amp;"'!H"&amp;ROW())),"",INDIRECT("'"&amp;$Q$2&amp;"'!H"&amp;ROW())),""))</f>
        <v/>
      </c>
      <c r="J89" s="15">
        <f>IF(OR(H89="",I89=""),"",H89-I89)</f>
        <v/>
      </c>
      <c r="K89" s="16">
        <f>IFERROR(J89/I89,"")</f>
        <v/>
      </c>
      <c r="L89" s="13">
        <f>IFERROR(D89/C89,"")</f>
        <v/>
      </c>
      <c r="M89" s="13">
        <f>IFERROR(H89/D89*1000,"")</f>
        <v/>
      </c>
      <c r="N89" s="13" t="n">
        <v>449</v>
      </c>
      <c r="O89" s="15">
        <f>IFERROR(IF(OR(N89="",ISBLANK(INDIRECT("'"&amp;$Q$2&amp;"'!N"&amp;ROW()))),"",N89-INDIRECT("'"&amp;$Q$2&amp;"'!N"&amp;ROW())),"")</f>
        <v/>
      </c>
      <c r="P89" s="2" t="n"/>
      <c r="Q89" s="2" t="n"/>
      <c r="R89" s="2" t="n"/>
      <c r="S89" s="18">
        <f>IFERROR(IF(ISBLANK(INDIRECT("'"&amp;$Q$2&amp;"'!G"&amp;ROW())),"",INDIRECT("'"&amp;$Q$2&amp;"'!G"&amp;ROW())),"")</f>
        <v/>
      </c>
      <c r="T89" s="20">
        <f>IF(OR($G89="",$S89=""),"",$G89-$S89)</f>
        <v/>
      </c>
      <c r="U89" s="18">
        <f>IFERROR(IF(ISBLANK(INDIRECT("'"&amp;$Q$2&amp;"'!K"&amp;ROW())),"",INDIRECT("'"&amp;$Q$2&amp;"'!K"&amp;ROW())),"")</f>
        <v/>
      </c>
      <c r="V89" s="20">
        <f>IF(OR($K89="",$U89=""),"",$K89-$U89)</f>
        <v/>
      </c>
      <c r="W89" s="21">
        <f>IFERROR(IF(ISBLANK(INDIRECT("'"&amp;$Q$2&amp;"'!O"&amp;ROW())),"",INDIRECT("'"&amp;$Q$2&amp;"'!O"&amp;ROW())),"")</f>
        <v/>
      </c>
      <c r="X89" s="21">
        <f>IF(OR($O89="",$W89=""),"",$O89-$W89)</f>
        <v/>
      </c>
      <c r="Y89" s="2" t="n"/>
      <c r="Z89" s="2" t="n"/>
    </row>
    <row r="90" ht="14.25" customHeight="1" s="58">
      <c r="A90" s="12" t="inlineStr">
        <is>
          <t>МАКС</t>
        </is>
      </c>
      <c r="B90" s="12" t="inlineStr">
        <is>
          <t>Шурышкарский</t>
        </is>
      </c>
      <c r="C90" s="13" t="n">
        <v>72</v>
      </c>
      <c r="D90" s="13" t="n">
        <v>40691</v>
      </c>
      <c r="E90" s="13">
        <f>IF($D90="","",IFERROR(IF(ISBLANK(INDIRECT("'"&amp;$Q$2&amp;"'!D"&amp;ROW())),"",INDIRECT("'"&amp;$Q$2&amp;"'!D"&amp;ROW())),""))</f>
        <v/>
      </c>
      <c r="F90" s="15">
        <f>IF(OR(D90="",E90=""),"",D90-E90)</f>
        <v/>
      </c>
      <c r="G90" s="16">
        <f>IFERROR(F90/E90,"")</f>
        <v/>
      </c>
      <c r="H90" s="13" t="n">
        <v>950</v>
      </c>
      <c r="I90" s="13">
        <f>IF($H90="","",IFERROR(IF(ISBLANK(INDIRECT("'"&amp;$Q$2&amp;"'!H"&amp;ROW())),"",INDIRECT("'"&amp;$Q$2&amp;"'!H"&amp;ROW())),""))</f>
        <v/>
      </c>
      <c r="J90" s="15">
        <f>IF(OR(H90="",I90=""),"",H90-I90)</f>
        <v/>
      </c>
      <c r="K90" s="16">
        <f>IFERROR(J90/I90,"")</f>
        <v/>
      </c>
      <c r="L90" s="13">
        <f>IFERROR(D90/C90,"")</f>
        <v/>
      </c>
      <c r="M90" s="13">
        <f>IFERROR(H90/D90*1000,"")</f>
        <v/>
      </c>
      <c r="N90" s="13" t="n">
        <v>1485</v>
      </c>
      <c r="O90" s="15">
        <f>IFERROR(IF(OR(N90="",ISBLANK(INDIRECT("'"&amp;$Q$2&amp;"'!N"&amp;ROW()))),"",N90-INDIRECT("'"&amp;$Q$2&amp;"'!N"&amp;ROW())),"")</f>
        <v/>
      </c>
      <c r="P90" s="2" t="n"/>
      <c r="Q90" s="2" t="n"/>
      <c r="R90" s="2" t="n"/>
      <c r="S90" s="18">
        <f>IFERROR(IF(ISBLANK(INDIRECT("'"&amp;$Q$2&amp;"'!G"&amp;ROW())),"",INDIRECT("'"&amp;$Q$2&amp;"'!G"&amp;ROW())),"")</f>
        <v/>
      </c>
      <c r="T90" s="20">
        <f>IF(OR($G90="",$S90=""),"",$G90-$S90)</f>
        <v/>
      </c>
      <c r="U90" s="18">
        <f>IFERROR(IF(ISBLANK(INDIRECT("'"&amp;$Q$2&amp;"'!K"&amp;ROW())),"",INDIRECT("'"&amp;$Q$2&amp;"'!K"&amp;ROW())),"")</f>
        <v/>
      </c>
      <c r="V90" s="20">
        <f>IF(OR($K90="",$U90=""),"",$K90-$U90)</f>
        <v/>
      </c>
      <c r="W90" s="21">
        <f>IFERROR(IF(ISBLANK(INDIRECT("'"&amp;$Q$2&amp;"'!O"&amp;ROW())),"",INDIRECT("'"&amp;$Q$2&amp;"'!O"&amp;ROW())),"")</f>
        <v/>
      </c>
      <c r="X90" s="21">
        <f>IF(OR($O90="",$W90=""),"",$O90-$W90)</f>
        <v/>
      </c>
      <c r="Y90" s="2" t="n"/>
      <c r="Z90" s="2" t="n"/>
    </row>
    <row r="91" ht="14.25" customHeight="1" s="58">
      <c r="A91" s="12" t="inlineStr">
        <is>
          <t>МАКС</t>
        </is>
      </c>
      <c r="B91" s="12" t="inlineStr">
        <is>
          <t>Муравленко</t>
        </is>
      </c>
      <c r="C91" s="13" t="n">
        <v>103</v>
      </c>
      <c r="D91" s="13" t="n">
        <v>111978</v>
      </c>
      <c r="E91" s="13">
        <f>IF($D91="","",IFERROR(IF(ISBLANK(INDIRECT("'"&amp;$Q$2&amp;"'!D"&amp;ROW())),"",INDIRECT("'"&amp;$Q$2&amp;"'!D"&amp;ROW())),""))</f>
        <v/>
      </c>
      <c r="F91" s="15">
        <f>IF(OR(D91="",E91=""),"",D91-E91)</f>
        <v/>
      </c>
      <c r="G91" s="16">
        <f>IFERROR(F91/E91,"")</f>
        <v/>
      </c>
      <c r="H91" s="13" t="n">
        <v>1157</v>
      </c>
      <c r="I91" s="13">
        <f>IF($H91="","",IFERROR(IF(ISBLANK(INDIRECT("'"&amp;$Q$2&amp;"'!H"&amp;ROW())),"",INDIRECT("'"&amp;$Q$2&amp;"'!H"&amp;ROW())),""))</f>
        <v/>
      </c>
      <c r="J91" s="15">
        <f>IF(OR(H91="",I91=""),"",H91-I91)</f>
        <v/>
      </c>
      <c r="K91" s="16">
        <f>IFERROR(J91/I91,"")</f>
        <v/>
      </c>
      <c r="L91" s="13">
        <f>IFERROR(D91/C91,"")</f>
        <v/>
      </c>
      <c r="M91" s="13">
        <f>IFERROR(H91/D91*1000,"")</f>
        <v/>
      </c>
      <c r="N91" s="13" t="n">
        <v>2583</v>
      </c>
      <c r="O91" s="15">
        <f>IFERROR(IF(OR(N91="",ISBLANK(INDIRECT("'"&amp;$Q$2&amp;"'!N"&amp;ROW()))),"",N91-INDIRECT("'"&amp;$Q$2&amp;"'!N"&amp;ROW())),"")</f>
        <v/>
      </c>
      <c r="P91" s="2" t="n"/>
      <c r="Q91" s="2" t="n"/>
      <c r="R91" s="2" t="n"/>
      <c r="S91" s="18">
        <f>IFERROR(IF(ISBLANK(INDIRECT("'"&amp;$Q$2&amp;"'!G"&amp;ROW())),"",INDIRECT("'"&amp;$Q$2&amp;"'!G"&amp;ROW())),"")</f>
        <v/>
      </c>
      <c r="T91" s="20">
        <f>IF(OR($G91="",$S91=""),"",$G91-$S91)</f>
        <v/>
      </c>
      <c r="U91" s="18">
        <f>IFERROR(IF(ISBLANK(INDIRECT("'"&amp;$Q$2&amp;"'!K"&amp;ROW())),"",INDIRECT("'"&amp;$Q$2&amp;"'!K"&amp;ROW())),"")</f>
        <v/>
      </c>
      <c r="V91" s="20">
        <f>IF(OR($K91="",$U91=""),"",$K91-$U91)</f>
        <v/>
      </c>
      <c r="W91" s="21">
        <f>IFERROR(IF(ISBLANK(INDIRECT("'"&amp;$Q$2&amp;"'!O"&amp;ROW())),"",INDIRECT("'"&amp;$Q$2&amp;"'!O"&amp;ROW())),"")</f>
        <v/>
      </c>
      <c r="X91" s="21">
        <f>IF(OR($O91="",$W91=""),"",$O91-$W91)</f>
        <v/>
      </c>
      <c r="Y91" s="2" t="n"/>
      <c r="Z91" s="2" t="n"/>
    </row>
    <row r="92" ht="14.25" customHeight="1" s="58">
      <c r="A92" s="12" t="inlineStr">
        <is>
          <t>МАКС</t>
        </is>
      </c>
      <c r="B92" s="12" t="inlineStr">
        <is>
          <t>Губкинский</t>
        </is>
      </c>
      <c r="C92" s="13" t="n">
        <v>112</v>
      </c>
      <c r="D92" s="13" t="n">
        <v>58955</v>
      </c>
      <c r="E92" s="13">
        <f>IF($D92="","",IFERROR(IF(ISBLANK(INDIRECT("'"&amp;$Q$2&amp;"'!D"&amp;ROW())),"",INDIRECT("'"&amp;$Q$2&amp;"'!D"&amp;ROW())),""))</f>
        <v/>
      </c>
      <c r="F92" s="15">
        <f>IF(OR(D92="",E92=""),"",D92-E92)</f>
        <v/>
      </c>
      <c r="G92" s="16">
        <f>IFERROR(F92/E92,"")</f>
        <v/>
      </c>
      <c r="H92" s="13" t="n">
        <v>642</v>
      </c>
      <c r="I92" s="13">
        <f>IF($H92="","",IFERROR(IF(ISBLANK(INDIRECT("'"&amp;$Q$2&amp;"'!H"&amp;ROW())),"",INDIRECT("'"&amp;$Q$2&amp;"'!H"&amp;ROW())),""))</f>
        <v/>
      </c>
      <c r="J92" s="15">
        <f>IF(OR(H92="",I92=""),"",H92-I92)</f>
        <v/>
      </c>
      <c r="K92" s="16">
        <f>IFERROR(J92/I92,"")</f>
        <v/>
      </c>
      <c r="L92" s="13">
        <f>IFERROR(D92/C92,"")</f>
        <v/>
      </c>
      <c r="M92" s="13">
        <f>IFERROR(H92/D92*1000,"")</f>
        <v/>
      </c>
      <c r="N92" s="13" t="n">
        <v>1211</v>
      </c>
      <c r="O92" s="15">
        <f>IFERROR(IF(OR(N92="",ISBLANK(INDIRECT("'"&amp;$Q$2&amp;"'!N"&amp;ROW()))),"",N92-INDIRECT("'"&amp;$Q$2&amp;"'!N"&amp;ROW())),"")</f>
        <v/>
      </c>
      <c r="P92" s="2" t="n"/>
      <c r="Q92" s="2" t="n"/>
      <c r="R92" s="2" t="n"/>
      <c r="S92" s="18">
        <f>IFERROR(IF(ISBLANK(INDIRECT("'"&amp;$Q$2&amp;"'!G"&amp;ROW())),"",INDIRECT("'"&amp;$Q$2&amp;"'!G"&amp;ROW())),"")</f>
        <v/>
      </c>
      <c r="T92" s="20">
        <f>IF(OR($G92="",$S92=""),"",$G92-$S92)</f>
        <v/>
      </c>
      <c r="U92" s="18">
        <f>IFERROR(IF(ISBLANK(INDIRECT("'"&amp;$Q$2&amp;"'!K"&amp;ROW())),"",INDIRECT("'"&amp;$Q$2&amp;"'!K"&amp;ROW())),"")</f>
        <v/>
      </c>
      <c r="V92" s="20">
        <f>IF(OR($K92="",$U92=""),"",$K92-$U92)</f>
        <v/>
      </c>
      <c r="W92" s="21">
        <f>IFERROR(IF(ISBLANK(INDIRECT("'"&amp;$Q$2&amp;"'!O"&amp;ROW())),"",INDIRECT("'"&amp;$Q$2&amp;"'!O"&amp;ROW())),"")</f>
        <v/>
      </c>
      <c r="X92" s="21">
        <f>IF(OR($O92="",$W92=""),"",$O92-$W92)</f>
        <v/>
      </c>
      <c r="Y92" s="2" t="n"/>
      <c r="Z92" s="2" t="n"/>
    </row>
    <row r="93" ht="14.25" customHeight="1" s="58">
      <c r="A93" s="12" t="inlineStr">
        <is>
          <t>МАКС</t>
        </is>
      </c>
      <c r="B93" s="12" t="inlineStr">
        <is>
          <t>Не олени</t>
        </is>
      </c>
      <c r="C93" s="13" t="n">
        <v>25</v>
      </c>
      <c r="D93" s="13" t="n">
        <v>11036</v>
      </c>
      <c r="E93" s="13">
        <f>IF($D93="","",IFERROR(IF(ISBLANK(INDIRECT("'"&amp;$Q$2&amp;"'!D"&amp;ROW())),"",INDIRECT("'"&amp;$Q$2&amp;"'!D"&amp;ROW())),""))</f>
        <v/>
      </c>
      <c r="F93" s="15">
        <f>IF(OR(D93="",E93=""),"",D93-E93)</f>
        <v/>
      </c>
      <c r="G93" s="16">
        <f>IFERROR(F93/E93,"")</f>
        <v/>
      </c>
      <c r="H93" s="13" t="n">
        <v>771</v>
      </c>
      <c r="I93" s="13">
        <f>IF($H93="","",IFERROR(IF(ISBLANK(INDIRECT("'"&amp;$Q$2&amp;"'!H"&amp;ROW())),"",INDIRECT("'"&amp;$Q$2&amp;"'!H"&amp;ROW())),""))</f>
        <v/>
      </c>
      <c r="J93" s="15">
        <f>IF(OR(H93="",I93=""),"",H93-I93)</f>
        <v/>
      </c>
      <c r="K93" s="16">
        <f>IFERROR(J93/I93,"")</f>
        <v/>
      </c>
      <c r="L93" s="13">
        <f>IFERROR(D93/C93,"")</f>
        <v/>
      </c>
      <c r="M93" s="13">
        <f>IFERROR(H93/D93*1000,"")</f>
        <v/>
      </c>
      <c r="N93" s="13" t="n">
        <v>1357</v>
      </c>
      <c r="O93" s="15">
        <f>IFERROR(IF(OR(N93="",ISBLANK(INDIRECT("'"&amp;$Q$2&amp;"'!N"&amp;ROW()))),"",N93-INDIRECT("'"&amp;$Q$2&amp;"'!N"&amp;ROW())),"")</f>
        <v/>
      </c>
      <c r="P93" s="2" t="n"/>
      <c r="Q93" s="2" t="n"/>
      <c r="R93" s="2" t="n"/>
      <c r="S93" s="18">
        <f>IFERROR(IF(ISBLANK(INDIRECT("'"&amp;$Q$2&amp;"'!G"&amp;ROW())),"",INDIRECT("'"&amp;$Q$2&amp;"'!G"&amp;ROW())),"")</f>
        <v/>
      </c>
      <c r="T93" s="20">
        <f>IF(OR($G93="",$S93=""),"",$G93-$S93)</f>
        <v/>
      </c>
      <c r="U93" s="18">
        <f>IFERROR(IF(ISBLANK(INDIRECT("'"&amp;$Q$2&amp;"'!K"&amp;ROW())),"",INDIRECT("'"&amp;$Q$2&amp;"'!K"&amp;ROW())),"")</f>
        <v/>
      </c>
      <c r="V93" s="20">
        <f>IF(OR($K93="",$U93=""),"",$K93-$U93)</f>
        <v/>
      </c>
      <c r="W93" s="21">
        <f>IFERROR(IF(ISBLANK(INDIRECT("'"&amp;$Q$2&amp;"'!O"&amp;ROW())),"",INDIRECT("'"&amp;$Q$2&amp;"'!O"&amp;ROW())),"")</f>
        <v/>
      </c>
      <c r="X93" s="21">
        <f>IF(OR($O93="",$W93=""),"",$O93-$W93)</f>
        <v/>
      </c>
      <c r="Y93" s="2" t="n"/>
      <c r="Z93" s="2" t="n"/>
    </row>
    <row r="94" ht="14.25" customHeight="1" s="58">
      <c r="A94" s="12" t="inlineStr">
        <is>
          <t>МАКС</t>
        </is>
      </c>
      <c r="B94" s="12" t="inlineStr">
        <is>
          <t>Ямальский меридиан</t>
        </is>
      </c>
      <c r="C94" s="13" t="n">
        <v>7</v>
      </c>
      <c r="D94" s="13" t="n">
        <v>895</v>
      </c>
      <c r="E94" s="13">
        <f>IF($D94="","",IFERROR(IF(ISBLANK(INDIRECT("'"&amp;$Q$2&amp;"'!D"&amp;ROW())),"",INDIRECT("'"&amp;$Q$2&amp;"'!D"&amp;ROW())),""))</f>
        <v/>
      </c>
      <c r="F94" s="15">
        <f>IF(OR(D94="",E94=""),"",D94-E94)</f>
        <v/>
      </c>
      <c r="G94" s="16">
        <f>IFERROR(F94/E94,"")</f>
        <v/>
      </c>
      <c r="H94" s="13" t="n">
        <v>41</v>
      </c>
      <c r="I94" s="13">
        <f>IF($H94="","",IFERROR(IF(ISBLANK(INDIRECT("'"&amp;$Q$2&amp;"'!H"&amp;ROW())),"",INDIRECT("'"&amp;$Q$2&amp;"'!H"&amp;ROW())),""))</f>
        <v/>
      </c>
      <c r="J94" s="15">
        <f>IF(OR(H94="",I94=""),"",H94-I94)</f>
        <v/>
      </c>
      <c r="K94" s="16">
        <f>IFERROR(J94/I94,"")</f>
        <v/>
      </c>
      <c r="L94" s="13">
        <f>IFERROR(D94/C94,"")</f>
        <v/>
      </c>
      <c r="M94" s="13">
        <f>IFERROR(H94/D94*1000,"")</f>
        <v/>
      </c>
      <c r="N94" s="13" t="n">
        <v>234</v>
      </c>
      <c r="O94" s="15">
        <f>IFERROR(IF(OR(N94="",ISBLANK(INDIRECT("'"&amp;$Q$2&amp;"'!N"&amp;ROW()))),"",N94-INDIRECT("'"&amp;$Q$2&amp;"'!N"&amp;ROW())),"")</f>
        <v/>
      </c>
      <c r="P94" s="2" t="n"/>
      <c r="Q94" s="2" t="n"/>
      <c r="R94" s="2" t="n"/>
      <c r="S94" s="18">
        <f>IFERROR(IF(ISBLANK(INDIRECT("'"&amp;$Q$2&amp;"'!G"&amp;ROW())),"",INDIRECT("'"&amp;$Q$2&amp;"'!G"&amp;ROW())),"")</f>
        <v/>
      </c>
      <c r="T94" s="20">
        <f>IF(OR($G94="",$S94=""),"",$G94-$S94)</f>
        <v/>
      </c>
      <c r="U94" s="18">
        <f>IFERROR(IF(ISBLANK(INDIRECT("'"&amp;$Q$2&amp;"'!K"&amp;ROW())),"",INDIRECT("'"&amp;$Q$2&amp;"'!K"&amp;ROW())),"")</f>
        <v/>
      </c>
      <c r="V94" s="20">
        <f>IF(OR($K94="",$U94=""),"",$K94-$U94)</f>
        <v/>
      </c>
      <c r="W94" s="21">
        <f>IFERROR(IF(ISBLANK(INDIRECT("'"&amp;$Q$2&amp;"'!O"&amp;ROW())),"",INDIRECT("'"&amp;$Q$2&amp;"'!O"&amp;ROW())),"")</f>
        <v/>
      </c>
      <c r="X94" s="21">
        <f>IF(OR($O94="",$W94=""),"",$O94-$W94)</f>
        <v/>
      </c>
      <c r="Y94" s="2" t="n"/>
      <c r="Z94" s="2" t="n"/>
    </row>
    <row r="95" ht="14.25" customHeight="1" s="58">
      <c r="A95" s="12" t="inlineStr">
        <is>
          <t>МАКС</t>
        </is>
      </c>
      <c r="B95" s="12" t="inlineStr">
        <is>
          <t>Морошка</t>
        </is>
      </c>
      <c r="C95" s="13" t="n">
        <v>6</v>
      </c>
      <c r="D95" s="13" t="n">
        <v>2103</v>
      </c>
      <c r="E95" s="13">
        <f>IF($D95="","",IFERROR(IF(ISBLANK(INDIRECT("'"&amp;$Q$2&amp;"'!D"&amp;ROW())),"",INDIRECT("'"&amp;$Q$2&amp;"'!D"&amp;ROW())),""))</f>
        <v/>
      </c>
      <c r="F95" s="15">
        <f>IF(OR(D95="",E95=""),"",D95-E95)</f>
        <v/>
      </c>
      <c r="G95" s="16">
        <f>IFERROR(F95/E95,"")</f>
        <v/>
      </c>
      <c r="H95" s="13" t="n">
        <v>57</v>
      </c>
      <c r="I95" s="13">
        <f>IF($H95="","",IFERROR(IF(ISBLANK(INDIRECT("'"&amp;$Q$2&amp;"'!H"&amp;ROW())),"",INDIRECT("'"&amp;$Q$2&amp;"'!H"&amp;ROW())),""))</f>
        <v/>
      </c>
      <c r="J95" s="15">
        <f>IF(OR(H95="",I95=""),"",H95-I95)</f>
        <v/>
      </c>
      <c r="K95" s="16">
        <f>IFERROR(J95/I95,"")</f>
        <v/>
      </c>
      <c r="L95" s="13">
        <f>IFERROR(D95/C95,"")</f>
        <v/>
      </c>
      <c r="M95" s="13">
        <f>IFERROR(H95/D95*1000,"")</f>
        <v/>
      </c>
      <c r="N95" s="13" t="n">
        <v>308</v>
      </c>
      <c r="O95" s="15">
        <f>IFERROR(IF(OR(N95="",ISBLANK(INDIRECT("'"&amp;$Q$2&amp;"'!N"&amp;ROW()))),"",N95-INDIRECT("'"&amp;$Q$2&amp;"'!N"&amp;ROW())),"")</f>
        <v/>
      </c>
      <c r="P95" s="2" t="n"/>
      <c r="Q95" s="2" t="n"/>
      <c r="R95" s="2" t="n"/>
      <c r="S95" s="18">
        <f>IFERROR(IF(ISBLANK(INDIRECT("'"&amp;$Q$2&amp;"'!G"&amp;ROW())),"",INDIRECT("'"&amp;$Q$2&amp;"'!G"&amp;ROW())),"")</f>
        <v/>
      </c>
      <c r="T95" s="20">
        <f>IF(OR($G95="",$S95=""),"",$G95-$S95)</f>
        <v/>
      </c>
      <c r="U95" s="18">
        <f>IFERROR(IF(ISBLANK(INDIRECT("'"&amp;$Q$2&amp;"'!K"&amp;ROW())),"",INDIRECT("'"&amp;$Q$2&amp;"'!K"&amp;ROW())),"")</f>
        <v/>
      </c>
      <c r="V95" s="20">
        <f>IF(OR($K95="",$U95=""),"",$K95-$U95)</f>
        <v/>
      </c>
      <c r="W95" s="21">
        <f>IFERROR(IF(ISBLANK(INDIRECT("'"&amp;$Q$2&amp;"'!O"&amp;ROW())),"",INDIRECT("'"&amp;$Q$2&amp;"'!O"&amp;ROW())),"")</f>
        <v/>
      </c>
      <c r="X95" s="21">
        <f>IF(OR($O95="",$W95=""),"",$O95-$W95)</f>
        <v/>
      </c>
      <c r="Y95" s="2" t="n"/>
      <c r="Z95" s="2" t="n"/>
    </row>
    <row r="96" ht="14.25" customHeight="1" s="58">
      <c r="A96" s="25" t="n"/>
      <c r="B96" s="25" t="inlineStr">
        <is>
          <t>Итого МАКС</t>
        </is>
      </c>
      <c r="C96" s="26">
        <f>SUM(C75:C95)</f>
        <v/>
      </c>
      <c r="D96" s="26">
        <f>SUM(D75:D95)</f>
        <v/>
      </c>
      <c r="E96" s="26">
        <f>SUM(E75:E95)</f>
        <v/>
      </c>
      <c r="F96" s="27">
        <f>SUM(F75:F95)</f>
        <v/>
      </c>
      <c r="G96" s="28">
        <f>IF(C96=0,"",IFERROR(F96/E96,""))</f>
        <v/>
      </c>
      <c r="H96" s="26">
        <f>SUM(H75:H95)</f>
        <v/>
      </c>
      <c r="I96" s="26">
        <f>SUM(I75:I95)</f>
        <v/>
      </c>
      <c r="J96" s="27">
        <f>SUM(J75:J95)</f>
        <v/>
      </c>
      <c r="K96" s="28">
        <f>IF(C96=0,"",IFERROR(J96/I96,""))</f>
        <v/>
      </c>
      <c r="L96" s="26">
        <f>IFERROR(D96/C96,"")</f>
        <v/>
      </c>
      <c r="M96" s="26">
        <f>IFERROR(H96/D96*1000,"")</f>
        <v/>
      </c>
      <c r="N96" s="26">
        <f>SUM(N75:N95)</f>
        <v/>
      </c>
      <c r="O96" s="27">
        <f>SUM(O75:O95)</f>
        <v/>
      </c>
      <c r="P96" s="2" t="n"/>
      <c r="Q96" s="2" t="n"/>
      <c r="R96" s="2" t="n"/>
      <c r="S96" s="29">
        <f>IFERROR(IF(ISBLANK(INDIRECT("'"&amp;$Q$2&amp;"'!G"&amp;ROW())),"",INDIRECT("'"&amp;$Q$2&amp;"'!G"&amp;ROW())),"")</f>
        <v/>
      </c>
      <c r="T96" s="30">
        <f>IF(OR($G96="",$S96=""),"",$G96-$S96)</f>
        <v/>
      </c>
      <c r="U96" s="29">
        <f>IFERROR(IF(ISBLANK(INDIRECT("'"&amp;$Q$2&amp;"'!K"&amp;ROW())),"",INDIRECT("'"&amp;$Q$2&amp;"'!K"&amp;ROW())),"")</f>
        <v/>
      </c>
      <c r="V96" s="30">
        <f>IF(OR($K96="",$U96=""),"",$K96-$U96)</f>
        <v/>
      </c>
      <c r="W96" s="31">
        <f>IFERROR(IF(ISBLANK(INDIRECT("'"&amp;$Q$2&amp;"'!O"&amp;ROW())),"",INDIRECT("'"&amp;$Q$2&amp;"'!O"&amp;ROW())),"")</f>
        <v/>
      </c>
      <c r="X96" s="31">
        <f>IF(OR(C96=0,$O96="",$W96=""),"",$O96-$W96)</f>
        <v/>
      </c>
      <c r="Y96" s="2" t="n"/>
      <c r="Z96" s="2" t="n"/>
    </row>
    <row r="97" ht="14.25" customHeight="1" s="58">
      <c r="A97" s="39" t="n"/>
      <c r="B97" s="39" t="inlineStr">
        <is>
          <t>ИТОГО по холдингу</t>
        </is>
      </c>
      <c r="C97" s="40">
        <f>C30+C51+C74+C96</f>
        <v/>
      </c>
      <c r="D97" s="40">
        <f>D30+D51+D74+D96</f>
        <v/>
      </c>
      <c r="E97" s="40">
        <f>E30+E51+E74+E96</f>
        <v/>
      </c>
      <c r="F97" s="41">
        <f>F30+F51+F74+F96</f>
        <v/>
      </c>
      <c r="G97" s="42">
        <f>IF(OR(C30=0,C51=0,C74=0,C96=0),"",IFERROR(F97/E97,""))</f>
        <v/>
      </c>
      <c r="H97" s="40">
        <f>H30+H51+H74+H96</f>
        <v/>
      </c>
      <c r="I97" s="40">
        <f>I30+I51+I74+I96</f>
        <v/>
      </c>
      <c r="J97" s="41">
        <f>J30+J51+J74+J96</f>
        <v/>
      </c>
      <c r="K97" s="42">
        <f>IF(OR(C30=0,C51=0,C74=0,C96=0),"",IFERROR(J97/I97,""))</f>
        <v/>
      </c>
      <c r="L97" s="40">
        <f>IFERROR(D97/C97,"")</f>
        <v/>
      </c>
      <c r="M97" s="40">
        <f>IFERROR(H97/D97*1000,"")</f>
        <v/>
      </c>
      <c r="N97" s="40">
        <f>N30+N51+N74+N96</f>
        <v/>
      </c>
      <c r="O97" s="41">
        <f>O30+O51+O74+O96</f>
        <v/>
      </c>
      <c r="P97" s="2" t="n"/>
      <c r="Q97" s="2" t="n"/>
      <c r="R97" s="2" t="n"/>
      <c r="S97" s="29">
        <f>IFERROR(IF(ISBLANK(INDIRECT("'"&amp;$Q$2&amp;"'!G"&amp;ROW())),"",INDIRECT("'"&amp;$Q$2&amp;"'!G"&amp;ROW())),"")</f>
        <v/>
      </c>
      <c r="T97" s="30">
        <f>IF(OR($G97="",$S97=""),"",$G97-$S97)</f>
        <v/>
      </c>
      <c r="U97" s="29">
        <f>IFERROR(IF(ISBLANK(INDIRECT("'"&amp;$Q$2&amp;"'!K"&amp;ROW())),"",INDIRECT("'"&amp;$Q$2&amp;"'!K"&amp;ROW())),"")</f>
        <v/>
      </c>
      <c r="V97" s="30">
        <f>IF(OR($K97="",$U97=""),"",$K97-$U97)</f>
        <v/>
      </c>
      <c r="W97" s="31">
        <f>IFERROR(IF(ISBLANK(INDIRECT("'"&amp;$Q$2&amp;"'!O"&amp;ROW())),"",INDIRECT("'"&amp;$Q$2&amp;"'!O"&amp;ROW())),"")</f>
        <v/>
      </c>
      <c r="X97" s="31">
        <f>IF(OR(C30=0,C51=0,C74=0,C96=0),"",$O97-$W97)</f>
        <v/>
      </c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conditionalFormatting sqref="G3:G97">
    <cfRule type="expression" priority="1" dxfId="3" stopIfTrue="1">
      <formula>AND(ISNUMBER(G3),G3&gt;=0.2)</formula>
    </cfRule>
    <cfRule type="expression" priority="2" dxfId="2" stopIfTrue="1">
      <formula>AND(ISNUMBER(G3),G3&lt;=-0.2)</formula>
    </cfRule>
    <cfRule type="expression" priority="3" dxfId="1" stopIfTrue="1">
      <formula>AND(ISNUMBER(G3),G3&gt;0)</formula>
    </cfRule>
    <cfRule type="expression" priority="4" dxfId="0" stopIfTrue="1">
      <formula>AND(ISNUMBER(G3),G3&lt;0)</formula>
    </cfRule>
  </conditionalFormatting>
  <conditionalFormatting sqref="K3:K97">
    <cfRule type="expression" priority="5" dxfId="3" stopIfTrue="1">
      <formula>AND(ISNUMBER(K3),K3&gt;=0.2)</formula>
    </cfRule>
    <cfRule type="expression" priority="6" dxfId="2" stopIfTrue="1">
      <formula>AND(ISNUMBER(K3),K3&lt;=-0.2)</formula>
    </cfRule>
    <cfRule type="expression" priority="7" dxfId="1" stopIfTrue="1">
      <formula>AND(ISNUMBER(K3),K3&gt;0)</formula>
    </cfRule>
    <cfRule type="expression" priority="8" dxfId="0" stopIfTrue="1">
      <formula>AND(ISNUMBER(K3),K3&lt;0)</formula>
    </cfRule>
  </conditionalFormatting>
  <conditionalFormatting sqref="T3:T97">
    <cfRule type="expression" priority="9" dxfId="3" stopIfTrue="1">
      <formula>AND(ISNUMBER(T3),T3&gt;=0.2)</formula>
    </cfRule>
    <cfRule type="expression" priority="10" dxfId="2" stopIfTrue="1">
      <formula>AND(ISNUMBER(T3),T3&lt;=-0.2)</formula>
    </cfRule>
    <cfRule type="expression" priority="11" dxfId="1" stopIfTrue="1">
      <formula>AND(ISNUMBER(T3),T3&gt;0)</formula>
    </cfRule>
    <cfRule type="expression" priority="12" dxfId="0" stopIfTrue="1">
      <formula>AND(ISNUMBER(T3),T3&lt;0)</formula>
    </cfRule>
  </conditionalFormatting>
  <conditionalFormatting sqref="V3:V97">
    <cfRule type="expression" priority="13" dxfId="3" stopIfTrue="1">
      <formula>AND(ISNUMBER(V3),V3&gt;=0.2)</formula>
    </cfRule>
    <cfRule type="expression" priority="14" dxfId="2" stopIfTrue="1">
      <formula>AND(ISNUMBER(V3),V3&lt;=-0.2)</formula>
    </cfRule>
    <cfRule type="expression" priority="15" dxfId="1" stopIfTrue="1">
      <formula>AND(ISNUMBER(V3),V3&gt;0)</formula>
    </cfRule>
    <cfRule type="expression" priority="16" dxfId="0" stopIfTrue="1">
      <formula>AND(ISNUMBER(V3),V3&lt;0)</formula>
    </cfRule>
  </conditionalFormatting>
  <conditionalFormatting sqref="F3:F97">
    <cfRule type="expression" priority="17" dxfId="1" stopIfTrue="1">
      <formula>AND(ISNUMBER(F3),F3&gt;0)</formula>
    </cfRule>
    <cfRule type="expression" priority="18" dxfId="0" stopIfTrue="1">
      <formula>AND(ISNUMBER(F3),F3&lt;0)</formula>
    </cfRule>
  </conditionalFormatting>
  <conditionalFormatting sqref="J3:J97">
    <cfRule type="expression" priority="19" dxfId="1" stopIfTrue="1">
      <formula>AND(ISNUMBER(J3),J3&gt;0)</formula>
    </cfRule>
    <cfRule type="expression" priority="20" dxfId="0" stopIfTrue="1">
      <formula>AND(ISNUMBER(J3),J3&lt;0)</formula>
    </cfRule>
  </conditionalFormatting>
  <conditionalFormatting sqref="O3:O97">
    <cfRule type="expression" priority="21" dxfId="1" stopIfTrue="1">
      <formula>AND(ISNUMBER(O3),O3&gt;0)</formula>
    </cfRule>
    <cfRule type="expression" priority="22" dxfId="0" stopIfTrue="1">
      <formula>AND(ISNUMBER(O3),O3&lt;0)</formula>
    </cfRule>
  </conditionalFormatting>
  <conditionalFormatting sqref="X3:X97">
    <cfRule type="expression" priority="23" dxfId="1" stopIfTrue="1">
      <formula>AND(ISNUMBER(X3),X3&gt;0)</formula>
    </cfRule>
    <cfRule type="expression" priority="24" dxfId="0" stopIfTrue="1">
      <formula>AND(ISNUMBER(X3),X3&lt;0)</formula>
    </cfRule>
  </conditionalFormatting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workbookViewId="0">
      <selection activeCell="A1" sqref="A1"/>
    </sheetView>
  </sheetViews>
  <sheetFormatPr baseColWidth="8" defaultColWidth="14.3984375" defaultRowHeight="15" customHeight="1"/>
  <cols>
    <col width="15" customWidth="1" style="58" min="1" max="1"/>
    <col width="22" customWidth="1" style="58" min="2" max="2"/>
    <col width="11" customWidth="1" style="58" min="3" max="3"/>
    <col width="12" customWidth="1" style="58" min="4" max="4"/>
    <col width="13" customWidth="1" style="58" min="5" max="6"/>
    <col width="9" customWidth="1" style="58" min="7" max="7"/>
    <col width="10" customWidth="1" style="58" min="8" max="8"/>
    <col width="12" customWidth="1" style="58" min="9" max="9"/>
    <col width="11" customWidth="1" style="58" min="10" max="10"/>
    <col width="9" customWidth="1" style="58" min="11" max="11"/>
    <col width="14" customWidth="1" style="58" min="12" max="13"/>
    <col width="12" customWidth="1" style="58" min="14" max="15"/>
    <col width="8.73046875" customWidth="1" style="58" min="16" max="16"/>
    <col width="46" customWidth="1" style="58" min="17" max="17"/>
    <col width="8.73046875" customWidth="1" style="58" min="18" max="18"/>
    <col width="15" customWidth="1" style="58" min="19" max="24"/>
  </cols>
  <sheetData>
    <row r="1" ht="17.25" customHeight="1" s="58">
      <c r="A1" s="1" t="inlineStr">
        <is>
          <t>Недельный съём · 07–13.09.2026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" t="inlineStr">
        <is>
          <t>Лист прошлой недели (питает колонки E, I, O):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2" customHeight="1" s="58">
      <c r="A2" s="5" t="inlineStr">
        <is>
          <t>Площадка</t>
        </is>
      </c>
      <c r="B2" s="5" t="inlineStr">
        <is>
          <t>Ресурс</t>
        </is>
      </c>
      <c r="C2" s="5" t="inlineStr">
        <is>
          <t>Публикаций</t>
        </is>
      </c>
      <c r="D2" s="5" t="inlineStr">
        <is>
          <t>Просмотры</t>
        </is>
      </c>
      <c r="E2" s="5" t="inlineStr">
        <is>
          <t>Просмотры
пред. неделя</t>
        </is>
      </c>
      <c r="F2" s="5" t="inlineStr">
        <is>
          <t>Δ просмотров</t>
        </is>
      </c>
      <c r="G2" s="5" t="inlineStr">
        <is>
          <t>Δ %</t>
        </is>
      </c>
      <c r="H2" s="5" t="inlineStr">
        <is>
          <t>Лайки</t>
        </is>
      </c>
      <c r="I2" s="5" t="inlineStr">
        <is>
          <t>Лайки
пред. неделя</t>
        </is>
      </c>
      <c r="J2" s="5" t="inlineStr">
        <is>
          <t>Δ лайков</t>
        </is>
      </c>
      <c r="K2" s="5" t="inlineStr">
        <is>
          <t>Δ %</t>
        </is>
      </c>
      <c r="L2" s="5" t="inlineStr">
        <is>
          <t>Ср. просмотров
на пост</t>
        </is>
      </c>
      <c r="M2" s="5" t="inlineStr">
        <is>
          <t>Лайков на 1000
просмотров</t>
        </is>
      </c>
      <c r="N2" s="5" t="inlineStr">
        <is>
          <t>Подписчики</t>
        </is>
      </c>
      <c r="O2" s="5" t="inlineStr">
        <is>
          <t>Прирост
подписчиков</t>
        </is>
      </c>
      <c r="P2" s="2" t="n"/>
      <c r="Q2" s="9" t="inlineStr">
        <is>
          <t>31.08-06.09</t>
        </is>
      </c>
      <c r="R2" s="2" t="n"/>
      <c r="S2" s="10" t="inlineStr">
        <is>
          <t>Δ % просмотров
пред. неделя</t>
        </is>
      </c>
      <c r="T2" s="10" t="inlineStr">
        <is>
          <t>Ускорение
просмотров, п.п.</t>
        </is>
      </c>
      <c r="U2" s="10" t="inlineStr">
        <is>
          <t>Δ % лайков
пред. неделя</t>
        </is>
      </c>
      <c r="V2" s="10" t="inlineStr">
        <is>
          <t>Ускорение
лайков, п.п.</t>
        </is>
      </c>
      <c r="W2" s="10" t="inlineStr">
        <is>
          <t>Прирост подписч.
пред. неделя</t>
        </is>
      </c>
      <c r="X2" s="10" t="inlineStr">
        <is>
          <t>Ускорение
подписчиков, чел.</t>
        </is>
      </c>
      <c r="Y2" s="2" t="n"/>
      <c r="Z2" s="2" t="n"/>
    </row>
    <row r="3" ht="14.25" customHeight="1" s="58">
      <c r="A3" s="12" t="inlineStr">
        <is>
          <t>ВКонтакте</t>
        </is>
      </c>
      <c r="B3" s="12" t="inlineStr">
        <is>
          <t>Ямал-Медиа</t>
        </is>
      </c>
      <c r="C3" s="13" t="n">
        <v>115</v>
      </c>
      <c r="D3" s="13" t="n">
        <v>367169</v>
      </c>
      <c r="E3" s="13">
        <f>IF($D3="","",IFERROR(IF(ISBLANK(INDIRECT("'"&amp;$Q$2&amp;"'!D"&amp;ROW())),"",INDIRECT("'"&amp;$Q$2&amp;"'!D"&amp;ROW())),""))</f>
        <v/>
      </c>
      <c r="F3" s="15">
        <f>IF(OR(D3="",E3=""),"",D3-E3)</f>
        <v/>
      </c>
      <c r="G3" s="16">
        <f>IFERROR(F3/E3,"")</f>
        <v/>
      </c>
      <c r="H3" s="13" t="n">
        <v>1463</v>
      </c>
      <c r="I3" s="13">
        <f>IF($H3="","",IFERROR(IF(ISBLANK(INDIRECT("'"&amp;$Q$2&amp;"'!H"&amp;ROW())),"",INDIRECT("'"&amp;$Q$2&amp;"'!H"&amp;ROW())),""))</f>
        <v/>
      </c>
      <c r="J3" s="15">
        <f>IF(OR(H3="",I3=""),"",H3-I3)</f>
        <v/>
      </c>
      <c r="K3" s="16">
        <f>IFERROR(J3/I3,"")</f>
        <v/>
      </c>
      <c r="L3" s="13">
        <f>IFERROR(D3/C3,"")</f>
        <v/>
      </c>
      <c r="M3" s="13">
        <f>IFERROR(H3/D3*1000,"")</f>
        <v/>
      </c>
      <c r="N3" s="13" t="n">
        <v>87991</v>
      </c>
      <c r="O3" s="15">
        <f>IFERROR(IF(OR(N3="",ISBLANK(INDIRECT("'"&amp;$Q$2&amp;"'!N"&amp;ROW()))),"",N3-INDIRECT("'"&amp;$Q$2&amp;"'!N"&amp;ROW())),"")</f>
        <v/>
      </c>
      <c r="P3" s="2" t="n"/>
      <c r="Q3" s="8" t="inlineStr">
        <is>
          <t>Колонки E и I берут прошлую неделю только по строкам, снятым в текущей — сравнение идёт по сопоставимому периметру.</t>
        </is>
      </c>
      <c r="R3" s="2" t="n"/>
      <c r="S3" s="18">
        <f>IFERROR(IF(ISBLANK(INDIRECT("'"&amp;$Q$2&amp;"'!G"&amp;ROW())),"",INDIRECT("'"&amp;$Q$2&amp;"'!G"&amp;ROW())),"")</f>
        <v/>
      </c>
      <c r="T3" s="20">
        <f>IF(OR($G3="",$S3=""),"",$G3-$S3)</f>
        <v/>
      </c>
      <c r="U3" s="18">
        <f>IFERROR(IF(ISBLANK(INDIRECT("'"&amp;$Q$2&amp;"'!K"&amp;ROW())),"",INDIRECT("'"&amp;$Q$2&amp;"'!K"&amp;ROW())),"")</f>
        <v/>
      </c>
      <c r="V3" s="20">
        <f>IF(OR($K3="",$U3=""),"",$K3-$U3)</f>
        <v/>
      </c>
      <c r="W3" s="21">
        <f>IFERROR(IF(ISBLANK(INDIRECT("'"&amp;$Q$2&amp;"'!O"&amp;ROW())),"",INDIRECT("'"&amp;$Q$2&amp;"'!O"&amp;ROW())),"")</f>
        <v/>
      </c>
      <c r="X3" s="21">
        <f>IF(OR($O3="",$W3=""),"",$O3-$W3)</f>
        <v/>
      </c>
      <c r="Y3" s="2" t="n"/>
      <c r="Z3" s="2" t="n"/>
    </row>
    <row r="4" ht="14.25" customHeight="1" s="58">
      <c r="A4" s="12" t="inlineStr">
        <is>
          <t>ВКонтакте</t>
        </is>
      </c>
      <c r="B4" s="12" t="inlineStr">
        <is>
          <t>Север-Пресс</t>
        </is>
      </c>
      <c r="C4" s="13" t="n">
        <v>129</v>
      </c>
      <c r="D4" s="13" t="n">
        <v>131208</v>
      </c>
      <c r="E4" s="13">
        <f>IF($D4="","",IFERROR(IF(ISBLANK(INDIRECT("'"&amp;$Q$2&amp;"'!D"&amp;ROW())),"",INDIRECT("'"&amp;$Q$2&amp;"'!D"&amp;ROW())),""))</f>
        <v/>
      </c>
      <c r="F4" s="15">
        <f>IF(OR(D4="",E4=""),"",D4-E4)</f>
        <v/>
      </c>
      <c r="G4" s="16">
        <f>IFERROR(F4/E4,"")</f>
        <v/>
      </c>
      <c r="H4" s="13" t="n">
        <v>570</v>
      </c>
      <c r="I4" s="13">
        <f>IF($H4="","",IFERROR(IF(ISBLANK(INDIRECT("'"&amp;$Q$2&amp;"'!H"&amp;ROW())),"",INDIRECT("'"&amp;$Q$2&amp;"'!H"&amp;ROW())),""))</f>
        <v/>
      </c>
      <c r="J4" s="15">
        <f>IF(OR(H4="",I4=""),"",H4-I4)</f>
        <v/>
      </c>
      <c r="K4" s="16">
        <f>IFERROR(J4/I4,"")</f>
        <v/>
      </c>
      <c r="L4" s="13">
        <f>IFERROR(D4/C4,"")</f>
        <v/>
      </c>
      <c r="M4" s="13">
        <f>IFERROR(H4/D4*1000,"")</f>
        <v/>
      </c>
      <c r="N4" s="13" t="n">
        <v>26224</v>
      </c>
      <c r="O4" s="15">
        <f>IFERROR(IF(OR(N4="",ISBLANK(INDIRECT("'"&amp;$Q$2&amp;"'!N"&amp;ROW()))),"",N4-INDIRECT("'"&amp;$Q$2&amp;"'!N"&amp;ROW())),"")</f>
        <v/>
      </c>
      <c r="P4" s="2" t="n"/>
      <c r="Q4" s="22" t="inlineStr">
        <is>
          <t>ОК: «просмотры» = VIEWS листа Topics, лайки = сумма LIKES листа Actions (по группе, как в прошлых съёмах).</t>
        </is>
      </c>
      <c r="R4" s="2" t="n"/>
      <c r="S4" s="18">
        <f>IFERROR(IF(ISBLANK(INDIRECT("'"&amp;$Q$2&amp;"'!G"&amp;ROW())),"",INDIRECT("'"&amp;$Q$2&amp;"'!G"&amp;ROW())),"")</f>
        <v/>
      </c>
      <c r="T4" s="20">
        <f>IF(OR($G4="",$S4=""),"",$G4-$S4)</f>
        <v/>
      </c>
      <c r="U4" s="18">
        <f>IFERROR(IF(ISBLANK(INDIRECT("'"&amp;$Q$2&amp;"'!K"&amp;ROW())),"",INDIRECT("'"&amp;$Q$2&amp;"'!K"&amp;ROW())),"")</f>
        <v/>
      </c>
      <c r="V4" s="20">
        <f>IF(OR($K4="",$U4=""),"",$K4-$U4)</f>
        <v/>
      </c>
      <c r="W4" s="21">
        <f>IFERROR(IF(ISBLANK(INDIRECT("'"&amp;$Q$2&amp;"'!O"&amp;ROW())),"",INDIRECT("'"&amp;$Q$2&amp;"'!O"&amp;ROW())),"")</f>
        <v/>
      </c>
      <c r="X4" s="21">
        <f>IF(OR($O4="",$W4=""),"",$O4-$W4)</f>
        <v/>
      </c>
      <c r="Y4" s="2" t="n"/>
      <c r="Z4" s="2" t="n"/>
    </row>
    <row r="5" ht="14.25" customHeight="1" s="58">
      <c r="A5" s="12" t="inlineStr">
        <is>
          <t>ВКонтакте</t>
        </is>
      </c>
      <c r="B5" s="12" t="inlineStr">
        <is>
          <t>Лента СП</t>
        </is>
      </c>
      <c r="C5" s="13" t="n">
        <v>295</v>
      </c>
      <c r="D5" s="13" t="n">
        <v>6090</v>
      </c>
      <c r="E5" s="13">
        <f>IF($D5="","",IFERROR(IF(ISBLANK(INDIRECT("'"&amp;$Q$2&amp;"'!D"&amp;ROW())),"",INDIRECT("'"&amp;$Q$2&amp;"'!D"&amp;ROW())),""))</f>
        <v/>
      </c>
      <c r="F5" s="15">
        <f>IF(OR(D5="",E5=""),"",D5-E5)</f>
        <v/>
      </c>
      <c r="G5" s="16">
        <f>IFERROR(F5/E5,"")</f>
        <v/>
      </c>
      <c r="H5" s="13" t="n">
        <v>14</v>
      </c>
      <c r="I5" s="13">
        <f>IF($H5="","",IFERROR(IF(ISBLANK(INDIRECT("'"&amp;$Q$2&amp;"'!H"&amp;ROW())),"",INDIRECT("'"&amp;$Q$2&amp;"'!H"&amp;ROW())),""))</f>
        <v/>
      </c>
      <c r="J5" s="15">
        <f>IF(OR(H5="",I5=""),"",H5-I5)</f>
        <v/>
      </c>
      <c r="K5" s="16">
        <f>IFERROR(J5/I5,"")</f>
        <v/>
      </c>
      <c r="L5" s="13">
        <f>IFERROR(D5/C5,"")</f>
        <v/>
      </c>
      <c r="M5" s="13">
        <f>IFERROR(H5/D5*1000,"")</f>
        <v/>
      </c>
      <c r="N5" s="13" t="n">
        <v>3503</v>
      </c>
      <c r="O5" s="15">
        <f>IFERROR(IF(OR(N5="",ISBLANK(INDIRECT("'"&amp;$Q$2&amp;"'!N"&amp;ROW()))),"",N5-INDIRECT("'"&amp;$Q$2&amp;"'!N"&amp;ROW())),"")</f>
        <v/>
      </c>
      <c r="P5" s="2" t="n"/>
      <c r="Q5" s="2" t="n"/>
      <c r="R5" s="2" t="n"/>
      <c r="S5" s="18">
        <f>IFERROR(IF(ISBLANK(INDIRECT("'"&amp;$Q$2&amp;"'!G"&amp;ROW())),"",INDIRECT("'"&amp;$Q$2&amp;"'!G"&amp;ROW())),"")</f>
        <v/>
      </c>
      <c r="T5" s="20">
        <f>IF(OR($G5="",$S5=""),"",$G5-$S5)</f>
        <v/>
      </c>
      <c r="U5" s="18">
        <f>IFERROR(IF(ISBLANK(INDIRECT("'"&amp;$Q$2&amp;"'!K"&amp;ROW())),"",INDIRECT("'"&amp;$Q$2&amp;"'!K"&amp;ROW())),"")</f>
        <v/>
      </c>
      <c r="V5" s="20">
        <f>IF(OR($K5="",$U5=""),"",$K5-$U5)</f>
        <v/>
      </c>
      <c r="W5" s="21">
        <f>IFERROR(IF(ISBLANK(INDIRECT("'"&amp;$Q$2&amp;"'!O"&amp;ROW())),"",INDIRECT("'"&amp;$Q$2&amp;"'!O"&amp;ROW())),"")</f>
        <v/>
      </c>
      <c r="X5" s="21">
        <f>IF(OR($O5="",$W5=""),"",$O5-$W5)</f>
        <v/>
      </c>
      <c r="Y5" s="2" t="n"/>
      <c r="Z5" s="2" t="n"/>
    </row>
    <row r="6" ht="14.25" customHeight="1" s="58">
      <c r="A6" s="12" t="inlineStr">
        <is>
          <t>ВКонтакте</t>
        </is>
      </c>
      <c r="B6" s="12" t="inlineStr">
        <is>
          <t>Красный Север</t>
        </is>
      </c>
      <c r="C6" s="13" t="n">
        <v>87</v>
      </c>
      <c r="D6" s="13" t="n">
        <v>56436</v>
      </c>
      <c r="E6" s="13">
        <f>IF($D6="","",IFERROR(IF(ISBLANK(INDIRECT("'"&amp;$Q$2&amp;"'!D"&amp;ROW())),"",INDIRECT("'"&amp;$Q$2&amp;"'!D"&amp;ROW())),""))</f>
        <v/>
      </c>
      <c r="F6" s="15">
        <f>IF(OR(D6="",E6=""),"",D6-E6)</f>
        <v/>
      </c>
      <c r="G6" s="16">
        <f>IFERROR(F6/E6,"")</f>
        <v/>
      </c>
      <c r="H6" s="13" t="n">
        <v>269</v>
      </c>
      <c r="I6" s="13">
        <f>IF($H6="","",IFERROR(IF(ISBLANK(INDIRECT("'"&amp;$Q$2&amp;"'!H"&amp;ROW())),"",INDIRECT("'"&amp;$Q$2&amp;"'!H"&amp;ROW())),""))</f>
        <v/>
      </c>
      <c r="J6" s="15">
        <f>IF(OR(H6="",I6=""),"",H6-I6)</f>
        <v/>
      </c>
      <c r="K6" s="16">
        <f>IFERROR(J6/I6,"")</f>
        <v/>
      </c>
      <c r="L6" s="13">
        <f>IFERROR(D6/C6,"")</f>
        <v/>
      </c>
      <c r="M6" s="13">
        <f>IFERROR(H6/D6*1000,"")</f>
        <v/>
      </c>
      <c r="N6" s="13" t="n">
        <v>22935</v>
      </c>
      <c r="O6" s="15">
        <f>IFERROR(IF(OR(N6="",ISBLANK(INDIRECT("'"&amp;$Q$2&amp;"'!N"&amp;ROW()))),"",N6-INDIRECT("'"&amp;$Q$2&amp;"'!N"&amp;ROW())),"")</f>
        <v/>
      </c>
      <c r="P6" s="2" t="n"/>
      <c r="Q6" s="2" t="n"/>
      <c r="R6" s="2" t="n"/>
      <c r="S6" s="18">
        <f>IFERROR(IF(ISBLANK(INDIRECT("'"&amp;$Q$2&amp;"'!G"&amp;ROW())),"",INDIRECT("'"&amp;$Q$2&amp;"'!G"&amp;ROW())),"")</f>
        <v/>
      </c>
      <c r="T6" s="20">
        <f>IF(OR($G6="",$S6=""),"",$G6-$S6)</f>
        <v/>
      </c>
      <c r="U6" s="18">
        <f>IFERROR(IF(ISBLANK(INDIRECT("'"&amp;$Q$2&amp;"'!K"&amp;ROW())),"",INDIRECT("'"&amp;$Q$2&amp;"'!K"&amp;ROW())),"")</f>
        <v/>
      </c>
      <c r="V6" s="20">
        <f>IF(OR($K6="",$U6=""),"",$K6-$U6)</f>
        <v/>
      </c>
      <c r="W6" s="21">
        <f>IFERROR(IF(ISBLANK(INDIRECT("'"&amp;$Q$2&amp;"'!O"&amp;ROW())),"",INDIRECT("'"&amp;$Q$2&amp;"'!O"&amp;ROW())),"")</f>
        <v/>
      </c>
      <c r="X6" s="21">
        <f>IF(OR($O6="",$W6=""),"",$O6-$W6)</f>
        <v/>
      </c>
      <c r="Y6" s="2" t="n"/>
      <c r="Z6" s="2" t="n"/>
    </row>
    <row r="7" ht="14.25" customHeight="1" s="58">
      <c r="A7" s="12" t="inlineStr">
        <is>
          <t>ВКонтакте</t>
        </is>
      </c>
      <c r="B7" s="12" t="inlineStr">
        <is>
          <t>Новый Уренгой</t>
        </is>
      </c>
      <c r="C7" s="13" t="n">
        <v>97</v>
      </c>
      <c r="D7" s="13" t="n">
        <v>105221</v>
      </c>
      <c r="E7" s="13">
        <f>IF($D7="","",IFERROR(IF(ISBLANK(INDIRECT("'"&amp;$Q$2&amp;"'!D"&amp;ROW())),"",INDIRECT("'"&amp;$Q$2&amp;"'!D"&amp;ROW())),""))</f>
        <v/>
      </c>
      <c r="F7" s="15">
        <f>IF(OR(D7="",E7=""),"",D7-E7)</f>
        <v/>
      </c>
      <c r="G7" s="16">
        <f>IFERROR(F7/E7,"")</f>
        <v/>
      </c>
      <c r="H7" s="13" t="n">
        <v>1220</v>
      </c>
      <c r="I7" s="13">
        <f>IF($H7="","",IFERROR(IF(ISBLANK(INDIRECT("'"&amp;$Q$2&amp;"'!H"&amp;ROW())),"",INDIRECT("'"&amp;$Q$2&amp;"'!H"&amp;ROW())),""))</f>
        <v/>
      </c>
      <c r="J7" s="15">
        <f>IF(OR(H7="",I7=""),"",H7-I7)</f>
        <v/>
      </c>
      <c r="K7" s="16">
        <f>IFERROR(J7/I7,"")</f>
        <v/>
      </c>
      <c r="L7" s="13">
        <f>IFERROR(D7/C7,"")</f>
        <v/>
      </c>
      <c r="M7" s="13">
        <f>IFERROR(H7/D7*1000,"")</f>
        <v/>
      </c>
      <c r="N7" s="13" t="n">
        <v>24515</v>
      </c>
      <c r="O7" s="15">
        <f>IFERROR(IF(OR(N7="",ISBLANK(INDIRECT("'"&amp;$Q$2&amp;"'!N"&amp;ROW()))),"",N7-INDIRECT("'"&amp;$Q$2&amp;"'!N"&amp;ROW())),"")</f>
        <v/>
      </c>
      <c r="P7" s="2" t="n"/>
      <c r="Q7" s="2" t="n"/>
      <c r="R7" s="2" t="n"/>
      <c r="S7" s="18">
        <f>IFERROR(IF(ISBLANK(INDIRECT("'"&amp;$Q$2&amp;"'!G"&amp;ROW())),"",INDIRECT("'"&amp;$Q$2&amp;"'!G"&amp;ROW())),"")</f>
        <v/>
      </c>
      <c r="T7" s="20">
        <f>IF(OR($G7="",$S7=""),"",$G7-$S7)</f>
        <v/>
      </c>
      <c r="U7" s="18">
        <f>IFERROR(IF(ISBLANK(INDIRECT("'"&amp;$Q$2&amp;"'!K"&amp;ROW())),"",INDIRECT("'"&amp;$Q$2&amp;"'!K"&amp;ROW())),"")</f>
        <v/>
      </c>
      <c r="V7" s="20">
        <f>IF(OR($K7="",$U7=""),"",$K7-$U7)</f>
        <v/>
      </c>
      <c r="W7" s="21">
        <f>IFERROR(IF(ISBLANK(INDIRECT("'"&amp;$Q$2&amp;"'!O"&amp;ROW())),"",INDIRECT("'"&amp;$Q$2&amp;"'!O"&amp;ROW())),"")</f>
        <v/>
      </c>
      <c r="X7" s="21">
        <f>IF(OR($O7="",$W7=""),"",$O7-$W7)</f>
        <v/>
      </c>
      <c r="Y7" s="2" t="n"/>
      <c r="Z7" s="2" t="n"/>
    </row>
    <row r="8" ht="14.25" customHeight="1" s="58">
      <c r="A8" s="12" t="inlineStr">
        <is>
          <t>ВКонтакте</t>
        </is>
      </c>
      <c r="B8" s="12" t="inlineStr">
        <is>
          <t>Надым</t>
        </is>
      </c>
      <c r="C8" s="13" t="n">
        <v>99</v>
      </c>
      <c r="D8" s="13" t="n">
        <v>272210</v>
      </c>
      <c r="E8" s="13">
        <f>IF($D8="","",IFERROR(IF(ISBLANK(INDIRECT("'"&amp;$Q$2&amp;"'!D"&amp;ROW())),"",INDIRECT("'"&amp;$Q$2&amp;"'!D"&amp;ROW())),""))</f>
        <v/>
      </c>
      <c r="F8" s="15">
        <f>IF(OR(D8="",E8=""),"",D8-E8)</f>
        <v/>
      </c>
      <c r="G8" s="16">
        <f>IFERROR(F8/E8,"")</f>
        <v/>
      </c>
      <c r="H8" s="13" t="n">
        <v>4342</v>
      </c>
      <c r="I8" s="13">
        <f>IF($H8="","",IFERROR(IF(ISBLANK(INDIRECT("'"&amp;$Q$2&amp;"'!H"&amp;ROW())),"",INDIRECT("'"&amp;$Q$2&amp;"'!H"&amp;ROW())),""))</f>
        <v/>
      </c>
      <c r="J8" s="15">
        <f>IF(OR(H8="",I8=""),"",H8-I8)</f>
        <v/>
      </c>
      <c r="K8" s="16">
        <f>IFERROR(J8/I8,"")</f>
        <v/>
      </c>
      <c r="L8" s="13">
        <f>IFERROR(D8/C8,"")</f>
        <v/>
      </c>
      <c r="M8" s="13">
        <f>IFERROR(H8/D8*1000,"")</f>
        <v/>
      </c>
      <c r="N8" s="13" t="n">
        <v>21497</v>
      </c>
      <c r="O8" s="15">
        <f>IFERROR(IF(OR(N8="",ISBLANK(INDIRECT("'"&amp;$Q$2&amp;"'!N"&amp;ROW()))),"",N8-INDIRECT("'"&amp;$Q$2&amp;"'!N"&amp;ROW())),"")</f>
        <v/>
      </c>
      <c r="P8" s="2" t="n"/>
      <c r="Q8" s="2" t="n"/>
      <c r="R8" s="2" t="n"/>
      <c r="S8" s="18">
        <f>IFERROR(IF(ISBLANK(INDIRECT("'"&amp;$Q$2&amp;"'!G"&amp;ROW())),"",INDIRECT("'"&amp;$Q$2&amp;"'!G"&amp;ROW())),"")</f>
        <v/>
      </c>
      <c r="T8" s="20">
        <f>IF(OR($G8="",$S8=""),"",$G8-$S8)</f>
        <v/>
      </c>
      <c r="U8" s="18">
        <f>IFERROR(IF(ISBLANK(INDIRECT("'"&amp;$Q$2&amp;"'!K"&amp;ROW())),"",INDIRECT("'"&amp;$Q$2&amp;"'!K"&amp;ROW())),"")</f>
        <v/>
      </c>
      <c r="V8" s="20">
        <f>IF(OR($K8="",$U8=""),"",$K8-$U8)</f>
        <v/>
      </c>
      <c r="W8" s="21">
        <f>IFERROR(IF(ISBLANK(INDIRECT("'"&amp;$Q$2&amp;"'!O"&amp;ROW())),"",INDIRECT("'"&amp;$Q$2&amp;"'!O"&amp;ROW())),"")</f>
        <v/>
      </c>
      <c r="X8" s="21">
        <f>IF(OR($O8="",$W8=""),"",$O8-$W8)</f>
        <v/>
      </c>
      <c r="Y8" s="2" t="n"/>
      <c r="Z8" s="2" t="n"/>
    </row>
    <row r="9" ht="14.25" customHeight="1" s="58">
      <c r="A9" s="12" t="inlineStr">
        <is>
          <t>ВКонтакте</t>
        </is>
      </c>
      <c r="B9" s="12" t="inlineStr">
        <is>
          <t>Ноябрьск</t>
        </is>
      </c>
      <c r="C9" s="13" t="n">
        <v>93</v>
      </c>
      <c r="D9" s="13" t="n">
        <v>319358</v>
      </c>
      <c r="E9" s="13">
        <f>IF($D9="","",IFERROR(IF(ISBLANK(INDIRECT("'"&amp;$Q$2&amp;"'!D"&amp;ROW())),"",INDIRECT("'"&amp;$Q$2&amp;"'!D"&amp;ROW())),""))</f>
        <v/>
      </c>
      <c r="F9" s="15">
        <f>IF(OR(D9="",E9=""),"",D9-E9)</f>
        <v/>
      </c>
      <c r="G9" s="16">
        <f>IFERROR(F9/E9,"")</f>
        <v/>
      </c>
      <c r="H9" s="13" t="n">
        <v>4035</v>
      </c>
      <c r="I9" s="13">
        <f>IF($H9="","",IFERROR(IF(ISBLANK(INDIRECT("'"&amp;$Q$2&amp;"'!H"&amp;ROW())),"",INDIRECT("'"&amp;$Q$2&amp;"'!H"&amp;ROW())),""))</f>
        <v/>
      </c>
      <c r="J9" s="15">
        <f>IF(OR(H9="",I9=""),"",H9-I9)</f>
        <v/>
      </c>
      <c r="K9" s="16">
        <f>IFERROR(J9/I9,"")</f>
        <v/>
      </c>
      <c r="L9" s="13">
        <f>IFERROR(D9/C9,"")</f>
        <v/>
      </c>
      <c r="M9" s="13">
        <f>IFERROR(H9/D9*1000,"")</f>
        <v/>
      </c>
      <c r="N9" s="13" t="n">
        <v>31030</v>
      </c>
      <c r="O9" s="15">
        <f>IFERROR(IF(OR(N9="",ISBLANK(INDIRECT("'"&amp;$Q$2&amp;"'!N"&amp;ROW()))),"",N9-INDIRECT("'"&amp;$Q$2&amp;"'!N"&amp;ROW())),"")</f>
        <v/>
      </c>
      <c r="P9" s="2" t="n"/>
      <c r="Q9" s="2" t="n"/>
      <c r="R9" s="2" t="n"/>
      <c r="S9" s="18">
        <f>IFERROR(IF(ISBLANK(INDIRECT("'"&amp;$Q$2&amp;"'!G"&amp;ROW())),"",INDIRECT("'"&amp;$Q$2&amp;"'!G"&amp;ROW())),"")</f>
        <v/>
      </c>
      <c r="T9" s="20">
        <f>IF(OR($G9="",$S9=""),"",$G9-$S9)</f>
        <v/>
      </c>
      <c r="U9" s="18">
        <f>IFERROR(IF(ISBLANK(INDIRECT("'"&amp;$Q$2&amp;"'!K"&amp;ROW())),"",INDIRECT("'"&amp;$Q$2&amp;"'!K"&amp;ROW())),"")</f>
        <v/>
      </c>
      <c r="V9" s="20">
        <f>IF(OR($K9="",$U9=""),"",$K9-$U9)</f>
        <v/>
      </c>
      <c r="W9" s="21">
        <f>IFERROR(IF(ISBLANK(INDIRECT("'"&amp;$Q$2&amp;"'!O"&amp;ROW())),"",INDIRECT("'"&amp;$Q$2&amp;"'!O"&amp;ROW())),"")</f>
        <v/>
      </c>
      <c r="X9" s="21">
        <f>IF(OR($O9="",$W9=""),"",$O9-$W9)</f>
        <v/>
      </c>
      <c r="Y9" s="2" t="n"/>
      <c r="Z9" s="2" t="n"/>
    </row>
    <row r="10" ht="14.25" customHeight="1" s="58">
      <c r="A10" s="12" t="inlineStr">
        <is>
          <t>ВКонтакте</t>
        </is>
      </c>
      <c r="B10" s="12" t="inlineStr">
        <is>
          <t>Салехард</t>
        </is>
      </c>
      <c r="C10" s="13" t="n">
        <v>148</v>
      </c>
      <c r="D10" s="13" t="n">
        <v>197749</v>
      </c>
      <c r="E10" s="13">
        <f>IF($D10="","",IFERROR(IF(ISBLANK(INDIRECT("'"&amp;$Q$2&amp;"'!D"&amp;ROW())),"",INDIRECT("'"&amp;$Q$2&amp;"'!D"&amp;ROW())),""))</f>
        <v/>
      </c>
      <c r="F10" s="15">
        <f>IF(OR(D10="",E10=""),"",D10-E10)</f>
        <v/>
      </c>
      <c r="G10" s="16">
        <f>IFERROR(F10/E10,"")</f>
        <v/>
      </c>
      <c r="H10" s="13" t="n">
        <v>1527</v>
      </c>
      <c r="I10" s="13">
        <f>IF($H10="","",IFERROR(IF(ISBLANK(INDIRECT("'"&amp;$Q$2&amp;"'!H"&amp;ROW())),"",INDIRECT("'"&amp;$Q$2&amp;"'!H"&amp;ROW())),""))</f>
        <v/>
      </c>
      <c r="J10" s="15">
        <f>IF(OR(H10="",I10=""),"",H10-I10)</f>
        <v/>
      </c>
      <c r="K10" s="16">
        <f>IFERROR(J10/I10,"")</f>
        <v/>
      </c>
      <c r="L10" s="13">
        <f>IFERROR(D10/C10,"")</f>
        <v/>
      </c>
      <c r="M10" s="13">
        <f>IFERROR(H10/D10*1000,"")</f>
        <v/>
      </c>
      <c r="N10" s="13" t="n">
        <v>21375</v>
      </c>
      <c r="O10" s="15">
        <f>IFERROR(IF(OR(N10="",ISBLANK(INDIRECT("'"&amp;$Q$2&amp;"'!N"&amp;ROW()))),"",N10-INDIRECT("'"&amp;$Q$2&amp;"'!N"&amp;ROW())),"")</f>
        <v/>
      </c>
      <c r="P10" s="2" t="n"/>
      <c r="Q10" s="2" t="n"/>
      <c r="R10" s="2" t="n"/>
      <c r="S10" s="18">
        <f>IFERROR(IF(ISBLANK(INDIRECT("'"&amp;$Q$2&amp;"'!G"&amp;ROW())),"",INDIRECT("'"&amp;$Q$2&amp;"'!G"&amp;ROW())),"")</f>
        <v/>
      </c>
      <c r="T10" s="20">
        <f>IF(OR($G10="",$S10=""),"",$G10-$S10)</f>
        <v/>
      </c>
      <c r="U10" s="18">
        <f>IFERROR(IF(ISBLANK(INDIRECT("'"&amp;$Q$2&amp;"'!K"&amp;ROW())),"",INDIRECT("'"&amp;$Q$2&amp;"'!K"&amp;ROW())),"")</f>
        <v/>
      </c>
      <c r="V10" s="20">
        <f>IF(OR($K10="",$U10=""),"",$K10-$U10)</f>
        <v/>
      </c>
      <c r="W10" s="21">
        <f>IFERROR(IF(ISBLANK(INDIRECT("'"&amp;$Q$2&amp;"'!O"&amp;ROW())),"",INDIRECT("'"&amp;$Q$2&amp;"'!O"&amp;ROW())),"")</f>
        <v/>
      </c>
      <c r="X10" s="21">
        <f>IF(OR($O10="",$W10=""),"",$O10-$W10)</f>
        <v/>
      </c>
      <c r="Y10" s="2" t="n"/>
      <c r="Z10" s="2" t="n"/>
    </row>
    <row r="11" ht="14.25" customHeight="1" s="58">
      <c r="A11" s="12" t="inlineStr">
        <is>
          <t>ВКонтакте</t>
        </is>
      </c>
      <c r="B11" s="12" t="inlineStr">
        <is>
          <t>Приуралье</t>
        </is>
      </c>
      <c r="C11" s="13" t="n">
        <v>100</v>
      </c>
      <c r="D11" s="13" t="n">
        <v>383862</v>
      </c>
      <c r="E11" s="13">
        <f>IF($D11="","",IFERROR(IF(ISBLANK(INDIRECT("'"&amp;$Q$2&amp;"'!D"&amp;ROW())),"",INDIRECT("'"&amp;$Q$2&amp;"'!D"&amp;ROW())),""))</f>
        <v/>
      </c>
      <c r="F11" s="15">
        <f>IF(OR(D11="",E11=""),"",D11-E11)</f>
        <v/>
      </c>
      <c r="G11" s="16">
        <f>IFERROR(F11/E11,"")</f>
        <v/>
      </c>
      <c r="H11" s="13" t="n">
        <v>3494</v>
      </c>
      <c r="I11" s="13">
        <f>IF($H11="","",IFERROR(IF(ISBLANK(INDIRECT("'"&amp;$Q$2&amp;"'!H"&amp;ROW())),"",INDIRECT("'"&amp;$Q$2&amp;"'!H"&amp;ROW())),""))</f>
        <v/>
      </c>
      <c r="J11" s="15">
        <f>IF(OR(H11="",I11=""),"",H11-I11)</f>
        <v/>
      </c>
      <c r="K11" s="16">
        <f>IFERROR(J11/I11,"")</f>
        <v/>
      </c>
      <c r="L11" s="13">
        <f>IFERROR(D11/C11,"")</f>
        <v/>
      </c>
      <c r="M11" s="13">
        <f>IFERROR(H11/D11*1000,"")</f>
        <v/>
      </c>
      <c r="N11" s="13" t="n">
        <v>20636</v>
      </c>
      <c r="O11" s="15">
        <f>IFERROR(IF(OR(N11="",ISBLANK(INDIRECT("'"&amp;$Q$2&amp;"'!N"&amp;ROW()))),"",N11-INDIRECT("'"&amp;$Q$2&amp;"'!N"&amp;ROW())),"")</f>
        <v/>
      </c>
      <c r="P11" s="2" t="n"/>
      <c r="Q11" s="2" t="n"/>
      <c r="R11" s="2" t="n"/>
      <c r="S11" s="18">
        <f>IFERROR(IF(ISBLANK(INDIRECT("'"&amp;$Q$2&amp;"'!G"&amp;ROW())),"",INDIRECT("'"&amp;$Q$2&amp;"'!G"&amp;ROW())),"")</f>
        <v/>
      </c>
      <c r="T11" s="20">
        <f>IF(OR($G11="",$S11=""),"",$G11-$S11)</f>
        <v/>
      </c>
      <c r="U11" s="18">
        <f>IFERROR(IF(ISBLANK(INDIRECT("'"&amp;$Q$2&amp;"'!K"&amp;ROW())),"",INDIRECT("'"&amp;$Q$2&amp;"'!K"&amp;ROW())),"")</f>
        <v/>
      </c>
      <c r="V11" s="20">
        <f>IF(OR($K11="",$U11=""),"",$K11-$U11)</f>
        <v/>
      </c>
      <c r="W11" s="21">
        <f>IFERROR(IF(ISBLANK(INDIRECT("'"&amp;$Q$2&amp;"'!O"&amp;ROW())),"",INDIRECT("'"&amp;$Q$2&amp;"'!O"&amp;ROW())),"")</f>
        <v/>
      </c>
      <c r="X11" s="21">
        <f>IF(OR($O11="",$W11=""),"",$O11-$W11)</f>
        <v/>
      </c>
      <c r="Y11" s="2" t="n"/>
      <c r="Z11" s="2" t="n"/>
    </row>
    <row r="12" ht="14.25" customHeight="1" s="58">
      <c r="A12" s="12" t="inlineStr">
        <is>
          <t>ВКонтакте</t>
        </is>
      </c>
      <c r="B12" s="12" t="inlineStr">
        <is>
          <t>Лабытнанги</t>
        </is>
      </c>
      <c r="C12" s="13" t="n">
        <v>75</v>
      </c>
      <c r="D12" s="13" t="n">
        <v>150944</v>
      </c>
      <c r="E12" s="13">
        <f>IF($D12="","",IFERROR(IF(ISBLANK(INDIRECT("'"&amp;$Q$2&amp;"'!D"&amp;ROW())),"",INDIRECT("'"&amp;$Q$2&amp;"'!D"&amp;ROW())),""))</f>
        <v/>
      </c>
      <c r="F12" s="15">
        <f>IF(OR(D12="",E12=""),"",D12-E12)</f>
        <v/>
      </c>
      <c r="G12" s="16">
        <f>IFERROR(F12/E12,"")</f>
        <v/>
      </c>
      <c r="H12" s="13" t="n">
        <v>2726</v>
      </c>
      <c r="I12" s="13">
        <f>IF($H12="","",IFERROR(IF(ISBLANK(INDIRECT("'"&amp;$Q$2&amp;"'!H"&amp;ROW())),"",INDIRECT("'"&amp;$Q$2&amp;"'!H"&amp;ROW())),""))</f>
        <v/>
      </c>
      <c r="J12" s="15">
        <f>IF(OR(H12="",I12=""),"",H12-I12)</f>
        <v/>
      </c>
      <c r="K12" s="16">
        <f>IFERROR(J12/I12,"")</f>
        <v/>
      </c>
      <c r="L12" s="13">
        <f>IFERROR(D12/C12,"")</f>
        <v/>
      </c>
      <c r="M12" s="13">
        <f>IFERROR(H12/D12*1000,"")</f>
        <v/>
      </c>
      <c r="N12" s="13" t="n">
        <v>15378</v>
      </c>
      <c r="O12" s="15">
        <f>IFERROR(IF(OR(N12="",ISBLANK(INDIRECT("'"&amp;$Q$2&amp;"'!N"&amp;ROW()))),"",N12-INDIRECT("'"&amp;$Q$2&amp;"'!N"&amp;ROW())),"")</f>
        <v/>
      </c>
      <c r="P12" s="2" t="n"/>
      <c r="Q12" s="2" t="n"/>
      <c r="R12" s="2" t="n"/>
      <c r="S12" s="18">
        <f>IFERROR(IF(ISBLANK(INDIRECT("'"&amp;$Q$2&amp;"'!G"&amp;ROW())),"",INDIRECT("'"&amp;$Q$2&amp;"'!G"&amp;ROW())),"")</f>
        <v/>
      </c>
      <c r="T12" s="20">
        <f>IF(OR($G12="",$S12=""),"",$G12-$S12)</f>
        <v/>
      </c>
      <c r="U12" s="18">
        <f>IFERROR(IF(ISBLANK(INDIRECT("'"&amp;$Q$2&amp;"'!K"&amp;ROW())),"",INDIRECT("'"&amp;$Q$2&amp;"'!K"&amp;ROW())),"")</f>
        <v/>
      </c>
      <c r="V12" s="20">
        <f>IF(OR($K12="",$U12=""),"",$K12-$U12)</f>
        <v/>
      </c>
      <c r="W12" s="21">
        <f>IFERROR(IF(ISBLANK(INDIRECT("'"&amp;$Q$2&amp;"'!O"&amp;ROW())),"",INDIRECT("'"&amp;$Q$2&amp;"'!O"&amp;ROW())),"")</f>
        <v/>
      </c>
      <c r="X12" s="21">
        <f>IF(OR($O12="",$W12=""),"",$O12-$W12)</f>
        <v/>
      </c>
      <c r="Y12" s="2" t="n"/>
      <c r="Z12" s="2" t="n"/>
    </row>
    <row r="13" ht="14.25" customHeight="1" s="58">
      <c r="A13" s="12" t="inlineStr">
        <is>
          <t>ВКонтакте</t>
        </is>
      </c>
      <c r="B13" s="12" t="inlineStr">
        <is>
          <t>Пуровский</t>
        </is>
      </c>
      <c r="C13" s="13" t="n">
        <v>52</v>
      </c>
      <c r="D13" s="13" t="n">
        <v>29162</v>
      </c>
      <c r="E13" s="13">
        <f>IF($D13="","",IFERROR(IF(ISBLANK(INDIRECT("'"&amp;$Q$2&amp;"'!D"&amp;ROW())),"",INDIRECT("'"&amp;$Q$2&amp;"'!D"&amp;ROW())),""))</f>
        <v/>
      </c>
      <c r="F13" s="15">
        <f>IF(OR(D13="",E13=""),"",D13-E13)</f>
        <v/>
      </c>
      <c r="G13" s="16">
        <f>IFERROR(F13/E13,"")</f>
        <v/>
      </c>
      <c r="H13" s="13" t="n">
        <v>487</v>
      </c>
      <c r="I13" s="13">
        <f>IF($H13="","",IFERROR(IF(ISBLANK(INDIRECT("'"&amp;$Q$2&amp;"'!H"&amp;ROW())),"",INDIRECT("'"&amp;$Q$2&amp;"'!H"&amp;ROW())),""))</f>
        <v/>
      </c>
      <c r="J13" s="15">
        <f>IF(OR(H13="",I13=""),"",H13-I13)</f>
        <v/>
      </c>
      <c r="K13" s="16">
        <f>IFERROR(J13/I13,"")</f>
        <v/>
      </c>
      <c r="L13" s="13">
        <f>IFERROR(D13/C13,"")</f>
        <v/>
      </c>
      <c r="M13" s="13">
        <f>IFERROR(H13/D13*1000,"")</f>
        <v/>
      </c>
      <c r="N13" s="13" t="n">
        <v>16346</v>
      </c>
      <c r="O13" s="15">
        <f>IFERROR(IF(OR(N13="",ISBLANK(INDIRECT("'"&amp;$Q$2&amp;"'!N"&amp;ROW()))),"",N13-INDIRECT("'"&amp;$Q$2&amp;"'!N"&amp;ROW())),"")</f>
        <v/>
      </c>
      <c r="P13" s="2" t="n"/>
      <c r="Q13" s="2" t="n"/>
      <c r="R13" s="2" t="n"/>
      <c r="S13" s="18">
        <f>IFERROR(IF(ISBLANK(INDIRECT("'"&amp;$Q$2&amp;"'!G"&amp;ROW())),"",INDIRECT("'"&amp;$Q$2&amp;"'!G"&amp;ROW())),"")</f>
        <v/>
      </c>
      <c r="T13" s="20">
        <f>IF(OR($G13="",$S13=""),"",$G13-$S13)</f>
        <v/>
      </c>
      <c r="U13" s="18">
        <f>IFERROR(IF(ISBLANK(INDIRECT("'"&amp;$Q$2&amp;"'!K"&amp;ROW())),"",INDIRECT("'"&amp;$Q$2&amp;"'!K"&amp;ROW())),"")</f>
        <v/>
      </c>
      <c r="V13" s="20">
        <f>IF(OR($K13="",$U13=""),"",$K13-$U13)</f>
        <v/>
      </c>
      <c r="W13" s="21">
        <f>IFERROR(IF(ISBLANK(INDIRECT("'"&amp;$Q$2&amp;"'!O"&amp;ROW())),"",INDIRECT("'"&amp;$Q$2&amp;"'!O"&amp;ROW())),"")</f>
        <v/>
      </c>
      <c r="X13" s="21">
        <f>IF(OR($O13="",$W13=""),"",$O13-$W13)</f>
        <v/>
      </c>
      <c r="Y13" s="2" t="n"/>
      <c r="Z13" s="2" t="n"/>
    </row>
    <row r="14" ht="14.25" customHeight="1" s="58">
      <c r="A14" s="12" t="inlineStr">
        <is>
          <t>ВКонтакте</t>
        </is>
      </c>
      <c r="B14" s="12" t="inlineStr">
        <is>
          <t>Тазовский</t>
        </is>
      </c>
      <c r="C14" s="13" t="n">
        <v>61</v>
      </c>
      <c r="D14" s="13" t="n">
        <v>52435</v>
      </c>
      <c r="E14" s="13">
        <f>IF($D14="","",IFERROR(IF(ISBLANK(INDIRECT("'"&amp;$Q$2&amp;"'!D"&amp;ROW())),"",INDIRECT("'"&amp;$Q$2&amp;"'!D"&amp;ROW())),""))</f>
        <v/>
      </c>
      <c r="F14" s="15">
        <f>IF(OR(D14="",E14=""),"",D14-E14)</f>
        <v/>
      </c>
      <c r="G14" s="16">
        <f>IFERROR(F14/E14,"")</f>
        <v/>
      </c>
      <c r="H14" s="13" t="n">
        <v>477</v>
      </c>
      <c r="I14" s="13">
        <f>IF($H14="","",IFERROR(IF(ISBLANK(INDIRECT("'"&amp;$Q$2&amp;"'!H"&amp;ROW())),"",INDIRECT("'"&amp;$Q$2&amp;"'!H"&amp;ROW())),""))</f>
        <v/>
      </c>
      <c r="J14" s="15">
        <f>IF(OR(H14="",I14=""),"",H14-I14)</f>
        <v/>
      </c>
      <c r="K14" s="16">
        <f>IFERROR(J14/I14,"")</f>
        <v/>
      </c>
      <c r="L14" s="13">
        <f>IFERROR(D14/C14,"")</f>
        <v/>
      </c>
      <c r="M14" s="13">
        <f>IFERROR(H14/D14*1000,"")</f>
        <v/>
      </c>
      <c r="N14" s="13" t="n">
        <v>6328</v>
      </c>
      <c r="O14" s="15">
        <f>IFERROR(IF(OR(N14="",ISBLANK(INDIRECT("'"&amp;$Q$2&amp;"'!N"&amp;ROW()))),"",N14-INDIRECT("'"&amp;$Q$2&amp;"'!N"&amp;ROW())),"")</f>
        <v/>
      </c>
      <c r="P14" s="2" t="n"/>
      <c r="Q14" s="2" t="n"/>
      <c r="R14" s="2" t="n"/>
      <c r="S14" s="18">
        <f>IFERROR(IF(ISBLANK(INDIRECT("'"&amp;$Q$2&amp;"'!G"&amp;ROW())),"",INDIRECT("'"&amp;$Q$2&amp;"'!G"&amp;ROW())),"")</f>
        <v/>
      </c>
      <c r="T14" s="20">
        <f>IF(OR($G14="",$S14=""),"",$G14-$S14)</f>
        <v/>
      </c>
      <c r="U14" s="18">
        <f>IFERROR(IF(ISBLANK(INDIRECT("'"&amp;$Q$2&amp;"'!K"&amp;ROW())),"",INDIRECT("'"&amp;$Q$2&amp;"'!K"&amp;ROW())),"")</f>
        <v/>
      </c>
      <c r="V14" s="20">
        <f>IF(OR($K14="",$U14=""),"",$K14-$U14)</f>
        <v/>
      </c>
      <c r="W14" s="21">
        <f>IFERROR(IF(ISBLANK(INDIRECT("'"&amp;$Q$2&amp;"'!O"&amp;ROW())),"",INDIRECT("'"&amp;$Q$2&amp;"'!O"&amp;ROW())),"")</f>
        <v/>
      </c>
      <c r="X14" s="21">
        <f>IF(OR($O14="",$W14=""),"",$O14-$W14)</f>
        <v/>
      </c>
      <c r="Y14" s="2" t="n"/>
      <c r="Z14" s="2" t="n"/>
    </row>
    <row r="15" ht="14.25" customHeight="1" s="58">
      <c r="A15" s="12" t="inlineStr">
        <is>
          <t>ВКонтакте</t>
        </is>
      </c>
      <c r="B15" s="12" t="inlineStr">
        <is>
          <t>Красноселькуп</t>
        </is>
      </c>
      <c r="C15" s="13" t="n">
        <v>31</v>
      </c>
      <c r="D15" s="13" t="n">
        <v>31393</v>
      </c>
      <c r="E15" s="13">
        <f>IF($D15="","",IFERROR(IF(ISBLANK(INDIRECT("'"&amp;$Q$2&amp;"'!D"&amp;ROW())),"",INDIRECT("'"&amp;$Q$2&amp;"'!D"&amp;ROW())),""))</f>
        <v/>
      </c>
      <c r="F15" s="15">
        <f>IF(OR(D15="",E15=""),"",D15-E15)</f>
        <v/>
      </c>
      <c r="G15" s="16">
        <f>IFERROR(F15/E15,"")</f>
        <v/>
      </c>
      <c r="H15" s="13" t="n">
        <v>543</v>
      </c>
      <c r="I15" s="13">
        <f>IF($H15="","",IFERROR(IF(ISBLANK(INDIRECT("'"&amp;$Q$2&amp;"'!H"&amp;ROW())),"",INDIRECT("'"&amp;$Q$2&amp;"'!H"&amp;ROW())),""))</f>
        <v/>
      </c>
      <c r="J15" s="15">
        <f>IF(OR(H15="",I15=""),"",H15-I15)</f>
        <v/>
      </c>
      <c r="K15" s="16">
        <f>IFERROR(J15/I15,"")</f>
        <v/>
      </c>
      <c r="L15" s="13">
        <f>IFERROR(D15/C15,"")</f>
        <v/>
      </c>
      <c r="M15" s="13">
        <f>IFERROR(H15/D15*1000,"")</f>
        <v/>
      </c>
      <c r="N15" s="13" t="n">
        <v>3655</v>
      </c>
      <c r="O15" s="15">
        <f>IFERROR(IF(OR(N15="",ISBLANK(INDIRECT("'"&amp;$Q$2&amp;"'!N"&amp;ROW()))),"",N15-INDIRECT("'"&amp;$Q$2&amp;"'!N"&amp;ROW())),"")</f>
        <v/>
      </c>
      <c r="P15" s="2" t="n"/>
      <c r="Q15" s="2" t="n"/>
      <c r="R15" s="2" t="n"/>
      <c r="S15" s="18">
        <f>IFERROR(IF(ISBLANK(INDIRECT("'"&amp;$Q$2&amp;"'!G"&amp;ROW())),"",INDIRECT("'"&amp;$Q$2&amp;"'!G"&amp;ROW())),"")</f>
        <v/>
      </c>
      <c r="T15" s="20">
        <f>IF(OR($G15="",$S15=""),"",$G15-$S15)</f>
        <v/>
      </c>
      <c r="U15" s="18">
        <f>IFERROR(IF(ISBLANK(INDIRECT("'"&amp;$Q$2&amp;"'!K"&amp;ROW())),"",INDIRECT("'"&amp;$Q$2&amp;"'!K"&amp;ROW())),"")</f>
        <v/>
      </c>
      <c r="V15" s="20">
        <f>IF(OR($K15="",$U15=""),"",$K15-$U15)</f>
        <v/>
      </c>
      <c r="W15" s="21">
        <f>IFERROR(IF(ISBLANK(INDIRECT("'"&amp;$Q$2&amp;"'!O"&amp;ROW())),"",INDIRECT("'"&amp;$Q$2&amp;"'!O"&amp;ROW())),"")</f>
        <v/>
      </c>
      <c r="X15" s="21">
        <f>IF(OR($O15="",$W15=""),"",$O15-$W15)</f>
        <v/>
      </c>
      <c r="Y15" s="2" t="n"/>
      <c r="Z15" s="2" t="n"/>
    </row>
    <row r="16" ht="14.25" customHeight="1" s="58">
      <c r="A16" s="12" t="inlineStr">
        <is>
          <t>ВКонтакте</t>
        </is>
      </c>
      <c r="B16" s="12" t="inlineStr">
        <is>
          <t>Ямальский</t>
        </is>
      </c>
      <c r="C16" s="13" t="n">
        <v>62</v>
      </c>
      <c r="D16" s="13" t="n">
        <v>136318</v>
      </c>
      <c r="E16" s="13">
        <f>IF($D16="","",IFERROR(IF(ISBLANK(INDIRECT("'"&amp;$Q$2&amp;"'!D"&amp;ROW())),"",INDIRECT("'"&amp;$Q$2&amp;"'!D"&amp;ROW())),""))</f>
        <v/>
      </c>
      <c r="F16" s="15">
        <f>IF(OR(D16="",E16=""),"",D16-E16)</f>
        <v/>
      </c>
      <c r="G16" s="16">
        <f>IFERROR(F16/E16,"")</f>
        <v/>
      </c>
      <c r="H16" s="13" t="n">
        <v>1960</v>
      </c>
      <c r="I16" s="13">
        <f>IF($H16="","",IFERROR(IF(ISBLANK(INDIRECT("'"&amp;$Q$2&amp;"'!H"&amp;ROW())),"",INDIRECT("'"&amp;$Q$2&amp;"'!H"&amp;ROW())),""))</f>
        <v/>
      </c>
      <c r="J16" s="15">
        <f>IF(OR(H16="",I16=""),"",H16-I16)</f>
        <v/>
      </c>
      <c r="K16" s="16">
        <f>IFERROR(J16/I16,"")</f>
        <v/>
      </c>
      <c r="L16" s="13">
        <f>IFERROR(D16/C16,"")</f>
        <v/>
      </c>
      <c r="M16" s="13">
        <f>IFERROR(H16/D16*1000,"")</f>
        <v/>
      </c>
      <c r="N16" s="13" t="n">
        <v>12465</v>
      </c>
      <c r="O16" s="15">
        <f>IFERROR(IF(OR(N16="",ISBLANK(INDIRECT("'"&amp;$Q$2&amp;"'!N"&amp;ROW()))),"",N16-INDIRECT("'"&amp;$Q$2&amp;"'!N"&amp;ROW())),"")</f>
        <v/>
      </c>
      <c r="P16" s="2" t="n"/>
      <c r="Q16" s="2" t="n"/>
      <c r="R16" s="2" t="n"/>
      <c r="S16" s="18">
        <f>IFERROR(IF(ISBLANK(INDIRECT("'"&amp;$Q$2&amp;"'!G"&amp;ROW())),"",INDIRECT("'"&amp;$Q$2&amp;"'!G"&amp;ROW())),"")</f>
        <v/>
      </c>
      <c r="T16" s="20">
        <f>IF(OR($G16="",$S16=""),"",$G16-$S16)</f>
        <v/>
      </c>
      <c r="U16" s="18">
        <f>IFERROR(IF(ISBLANK(INDIRECT("'"&amp;$Q$2&amp;"'!K"&amp;ROW())),"",INDIRECT("'"&amp;$Q$2&amp;"'!K"&amp;ROW())),"")</f>
        <v/>
      </c>
      <c r="V16" s="20">
        <f>IF(OR($K16="",$U16=""),"",$K16-$U16)</f>
        <v/>
      </c>
      <c r="W16" s="21">
        <f>IFERROR(IF(ISBLANK(INDIRECT("'"&amp;$Q$2&amp;"'!O"&amp;ROW())),"",INDIRECT("'"&amp;$Q$2&amp;"'!O"&amp;ROW())),"")</f>
        <v/>
      </c>
      <c r="X16" s="21">
        <f>IF(OR($O16="",$W16=""),"",$O16-$W16)</f>
        <v/>
      </c>
      <c r="Y16" s="2" t="n"/>
      <c r="Z16" s="2" t="n"/>
    </row>
    <row r="17" ht="14.25" customHeight="1" s="58">
      <c r="A17" s="12" t="inlineStr">
        <is>
          <t>ВКонтакте</t>
        </is>
      </c>
      <c r="B17" s="12" t="inlineStr">
        <is>
          <t>Шурышкарский</t>
        </is>
      </c>
      <c r="C17" s="13" t="n">
        <v>67</v>
      </c>
      <c r="D17" s="13" t="n">
        <v>243443</v>
      </c>
      <c r="E17" s="13">
        <f>IF($D17="","",IFERROR(IF(ISBLANK(INDIRECT("'"&amp;$Q$2&amp;"'!D"&amp;ROW())),"",INDIRECT("'"&amp;$Q$2&amp;"'!D"&amp;ROW())),""))</f>
        <v/>
      </c>
      <c r="F17" s="15">
        <f>IF(OR(D17="",E17=""),"",D17-E17)</f>
        <v/>
      </c>
      <c r="G17" s="16">
        <f>IFERROR(F17/E17,"")</f>
        <v/>
      </c>
      <c r="H17" s="13" t="n">
        <v>3376</v>
      </c>
      <c r="I17" s="13">
        <f>IF($H17="","",IFERROR(IF(ISBLANK(INDIRECT("'"&amp;$Q$2&amp;"'!H"&amp;ROW())),"",INDIRECT("'"&amp;$Q$2&amp;"'!H"&amp;ROW())),""))</f>
        <v/>
      </c>
      <c r="J17" s="15">
        <f>IF(OR(H17="",I17=""),"",H17-I17)</f>
        <v/>
      </c>
      <c r="K17" s="16">
        <f>IFERROR(J17/I17,"")</f>
        <v/>
      </c>
      <c r="L17" s="13">
        <f>IFERROR(D17/C17,"")</f>
        <v/>
      </c>
      <c r="M17" s="13">
        <f>IFERROR(H17/D17*1000,"")</f>
        <v/>
      </c>
      <c r="N17" s="13" t="n">
        <v>7779</v>
      </c>
      <c r="O17" s="15">
        <f>IFERROR(IF(OR(N17="",ISBLANK(INDIRECT("'"&amp;$Q$2&amp;"'!N"&amp;ROW()))),"",N17-INDIRECT("'"&amp;$Q$2&amp;"'!N"&amp;ROW())),"")</f>
        <v/>
      </c>
      <c r="P17" s="2" t="n"/>
      <c r="Q17" s="2" t="n"/>
      <c r="R17" s="2" t="n"/>
      <c r="S17" s="18">
        <f>IFERROR(IF(ISBLANK(INDIRECT("'"&amp;$Q$2&amp;"'!G"&amp;ROW())),"",INDIRECT("'"&amp;$Q$2&amp;"'!G"&amp;ROW())),"")</f>
        <v/>
      </c>
      <c r="T17" s="20">
        <f>IF(OR($G17="",$S17=""),"",$G17-$S17)</f>
        <v/>
      </c>
      <c r="U17" s="18">
        <f>IFERROR(IF(ISBLANK(INDIRECT("'"&amp;$Q$2&amp;"'!K"&amp;ROW())),"",INDIRECT("'"&amp;$Q$2&amp;"'!K"&amp;ROW())),"")</f>
        <v/>
      </c>
      <c r="V17" s="20">
        <f>IF(OR($K17="",$U17=""),"",$K17-$U17)</f>
        <v/>
      </c>
      <c r="W17" s="21">
        <f>IFERROR(IF(ISBLANK(INDIRECT("'"&amp;$Q$2&amp;"'!O"&amp;ROW())),"",INDIRECT("'"&amp;$Q$2&amp;"'!O"&amp;ROW())),"")</f>
        <v/>
      </c>
      <c r="X17" s="21">
        <f>IF(OR($O17="",$W17=""),"",$O17-$W17)</f>
        <v/>
      </c>
      <c r="Y17" s="2" t="n"/>
      <c r="Z17" s="2" t="n"/>
    </row>
    <row r="18" ht="14.25" customHeight="1" s="58">
      <c r="A18" s="12" t="inlineStr">
        <is>
          <t>ВКонтакте</t>
        </is>
      </c>
      <c r="B18" s="12" t="inlineStr">
        <is>
          <t>Муравленко</t>
        </is>
      </c>
      <c r="C18" s="13" t="n">
        <v>65</v>
      </c>
      <c r="D18" s="13" t="n">
        <v>131060</v>
      </c>
      <c r="E18" s="13">
        <f>IF($D18="","",IFERROR(IF(ISBLANK(INDIRECT("'"&amp;$Q$2&amp;"'!D"&amp;ROW())),"",INDIRECT("'"&amp;$Q$2&amp;"'!D"&amp;ROW())),""))</f>
        <v/>
      </c>
      <c r="F18" s="15">
        <f>IF(OR(D18="",E18=""),"",D18-E18)</f>
        <v/>
      </c>
      <c r="G18" s="16">
        <f>IFERROR(F18/E18,"")</f>
        <v/>
      </c>
      <c r="H18" s="13" t="n">
        <v>1519</v>
      </c>
      <c r="I18" s="13">
        <f>IF($H18="","",IFERROR(IF(ISBLANK(INDIRECT("'"&amp;$Q$2&amp;"'!H"&amp;ROW())),"",INDIRECT("'"&amp;$Q$2&amp;"'!H"&amp;ROW())),""))</f>
        <v/>
      </c>
      <c r="J18" s="15">
        <f>IF(OR(H18="",I18=""),"",H18-I18)</f>
        <v/>
      </c>
      <c r="K18" s="16">
        <f>IFERROR(J18/I18,"")</f>
        <v/>
      </c>
      <c r="L18" s="13">
        <f>IFERROR(D18/C18,"")</f>
        <v/>
      </c>
      <c r="M18" s="13">
        <f>IFERROR(H18/D18*1000,"")</f>
        <v/>
      </c>
      <c r="N18" s="13" t="n">
        <v>18165</v>
      </c>
      <c r="O18" s="15">
        <f>IFERROR(IF(OR(N18="",ISBLANK(INDIRECT("'"&amp;$Q$2&amp;"'!N"&amp;ROW()))),"",N18-INDIRECT("'"&amp;$Q$2&amp;"'!N"&amp;ROW())),"")</f>
        <v/>
      </c>
      <c r="P18" s="2" t="n"/>
      <c r="Q18" s="2" t="n"/>
      <c r="R18" s="2" t="n"/>
      <c r="S18" s="18">
        <f>IFERROR(IF(ISBLANK(INDIRECT("'"&amp;$Q$2&amp;"'!G"&amp;ROW())),"",INDIRECT("'"&amp;$Q$2&amp;"'!G"&amp;ROW())),"")</f>
        <v/>
      </c>
      <c r="T18" s="20">
        <f>IF(OR($G18="",$S18=""),"",$G18-$S18)</f>
        <v/>
      </c>
      <c r="U18" s="18">
        <f>IFERROR(IF(ISBLANK(INDIRECT("'"&amp;$Q$2&amp;"'!K"&amp;ROW())),"",INDIRECT("'"&amp;$Q$2&amp;"'!K"&amp;ROW())),"")</f>
        <v/>
      </c>
      <c r="V18" s="20">
        <f>IF(OR($K18="",$U18=""),"",$K18-$U18)</f>
        <v/>
      </c>
      <c r="W18" s="21">
        <f>IFERROR(IF(ISBLANK(INDIRECT("'"&amp;$Q$2&amp;"'!O"&amp;ROW())),"",INDIRECT("'"&amp;$Q$2&amp;"'!O"&amp;ROW())),"")</f>
        <v/>
      </c>
      <c r="X18" s="21">
        <f>IF(OR($O18="",$W18=""),"",$O18-$W18)</f>
        <v/>
      </c>
      <c r="Y18" s="2" t="n"/>
      <c r="Z18" s="2" t="n"/>
    </row>
    <row r="19" ht="14.25" customHeight="1" s="58">
      <c r="A19" s="12" t="inlineStr">
        <is>
          <t>ВКонтакте</t>
        </is>
      </c>
      <c r="B19" s="12" t="inlineStr">
        <is>
          <t>Губкинский</t>
        </is>
      </c>
      <c r="C19" s="13" t="n">
        <v>66</v>
      </c>
      <c r="D19" s="13" t="n">
        <v>95175</v>
      </c>
      <c r="E19" s="13">
        <f>IF($D19="","",IFERROR(IF(ISBLANK(INDIRECT("'"&amp;$Q$2&amp;"'!D"&amp;ROW())),"",INDIRECT("'"&amp;$Q$2&amp;"'!D"&amp;ROW())),""))</f>
        <v/>
      </c>
      <c r="F19" s="15">
        <f>IF(OR(D19="",E19=""),"",D19-E19)</f>
        <v/>
      </c>
      <c r="G19" s="16">
        <f>IFERROR(F19/E19,"")</f>
        <v/>
      </c>
      <c r="H19" s="13" t="n">
        <v>856</v>
      </c>
      <c r="I19" s="13">
        <f>IF($H19="","",IFERROR(IF(ISBLANK(INDIRECT("'"&amp;$Q$2&amp;"'!H"&amp;ROW())),"",INDIRECT("'"&amp;$Q$2&amp;"'!H"&amp;ROW())),""))</f>
        <v/>
      </c>
      <c r="J19" s="15">
        <f>IF(OR(H19="",I19=""),"",H19-I19)</f>
        <v/>
      </c>
      <c r="K19" s="16">
        <f>IFERROR(J19/I19,"")</f>
        <v/>
      </c>
      <c r="L19" s="13">
        <f>IFERROR(D19/C19,"")</f>
        <v/>
      </c>
      <c r="M19" s="13">
        <f>IFERROR(H19/D19*1000,"")</f>
        <v/>
      </c>
      <c r="N19" s="13" t="n">
        <v>18956</v>
      </c>
      <c r="O19" s="15">
        <f>IFERROR(IF(OR(N19="",ISBLANK(INDIRECT("'"&amp;$Q$2&amp;"'!N"&amp;ROW()))),"",N19-INDIRECT("'"&amp;$Q$2&amp;"'!N"&amp;ROW())),"")</f>
        <v/>
      </c>
      <c r="P19" s="2" t="n"/>
      <c r="Q19" s="2" t="n"/>
      <c r="R19" s="2" t="n"/>
      <c r="S19" s="18">
        <f>IFERROR(IF(ISBLANK(INDIRECT("'"&amp;$Q$2&amp;"'!G"&amp;ROW())),"",INDIRECT("'"&amp;$Q$2&amp;"'!G"&amp;ROW())),"")</f>
        <v/>
      </c>
      <c r="T19" s="20">
        <f>IF(OR($G19="",$S19=""),"",$G19-$S19)</f>
        <v/>
      </c>
      <c r="U19" s="18">
        <f>IFERROR(IF(ISBLANK(INDIRECT("'"&amp;$Q$2&amp;"'!K"&amp;ROW())),"",INDIRECT("'"&amp;$Q$2&amp;"'!K"&amp;ROW())),"")</f>
        <v/>
      </c>
      <c r="V19" s="20">
        <f>IF(OR($K19="",$U19=""),"",$K19-$U19)</f>
        <v/>
      </c>
      <c r="W19" s="21">
        <f>IFERROR(IF(ISBLANK(INDIRECT("'"&amp;$Q$2&amp;"'!O"&amp;ROW())),"",INDIRECT("'"&amp;$Q$2&amp;"'!O"&amp;ROW())),"")</f>
        <v/>
      </c>
      <c r="X19" s="21">
        <f>IF(OR($O19="",$W19=""),"",$O19-$W19)</f>
        <v/>
      </c>
      <c r="Y19" s="2" t="n"/>
      <c r="Z19" s="2" t="n"/>
    </row>
    <row r="20" ht="14.25" customHeight="1" s="58">
      <c r="A20" s="12" t="inlineStr">
        <is>
          <t>ВКонтакте</t>
        </is>
      </c>
      <c r="B20" s="12" t="inlineStr">
        <is>
          <t>Не олени</t>
        </is>
      </c>
      <c r="C20" s="13" t="n">
        <v>23</v>
      </c>
      <c r="D20" s="13" t="n">
        <v>72937</v>
      </c>
      <c r="E20" s="13">
        <f>IF($D20="","",IFERROR(IF(ISBLANK(INDIRECT("'"&amp;$Q$2&amp;"'!D"&amp;ROW())),"",INDIRECT("'"&amp;$Q$2&amp;"'!D"&amp;ROW())),""))</f>
        <v/>
      </c>
      <c r="F20" s="15">
        <f>IF(OR(D20="",E20=""),"",D20-E20)</f>
        <v/>
      </c>
      <c r="G20" s="16">
        <f>IFERROR(F20/E20,"")</f>
        <v/>
      </c>
      <c r="H20" s="13" t="n">
        <v>1638</v>
      </c>
      <c r="I20" s="13">
        <f>IF($H20="","",IFERROR(IF(ISBLANK(INDIRECT("'"&amp;$Q$2&amp;"'!H"&amp;ROW())),"",INDIRECT("'"&amp;$Q$2&amp;"'!H"&amp;ROW())),""))</f>
        <v/>
      </c>
      <c r="J20" s="15">
        <f>IF(OR(H20="",I20=""),"",H20-I20)</f>
        <v/>
      </c>
      <c r="K20" s="16">
        <f>IFERROR(J20/I20,"")</f>
        <v/>
      </c>
      <c r="L20" s="13">
        <f>IFERROR(D20/C20,"")</f>
        <v/>
      </c>
      <c r="M20" s="13">
        <f>IFERROR(H20/D20*1000,"")</f>
        <v/>
      </c>
      <c r="N20" s="13" t="n">
        <v>14506</v>
      </c>
      <c r="O20" s="15">
        <f>IFERROR(IF(OR(N20="",ISBLANK(INDIRECT("'"&amp;$Q$2&amp;"'!N"&amp;ROW()))),"",N20-INDIRECT("'"&amp;$Q$2&amp;"'!N"&amp;ROW())),"")</f>
        <v/>
      </c>
      <c r="P20" s="2" t="n"/>
      <c r="Q20" s="2" t="n"/>
      <c r="R20" s="2" t="n"/>
      <c r="S20" s="18">
        <f>IFERROR(IF(ISBLANK(INDIRECT("'"&amp;$Q$2&amp;"'!G"&amp;ROW())),"",INDIRECT("'"&amp;$Q$2&amp;"'!G"&amp;ROW())),"")</f>
        <v/>
      </c>
      <c r="T20" s="20">
        <f>IF(OR($G20="",$S20=""),"",$G20-$S20)</f>
        <v/>
      </c>
      <c r="U20" s="18">
        <f>IFERROR(IF(ISBLANK(INDIRECT("'"&amp;$Q$2&amp;"'!K"&amp;ROW())),"",INDIRECT("'"&amp;$Q$2&amp;"'!K"&amp;ROW())),"")</f>
        <v/>
      </c>
      <c r="V20" s="20">
        <f>IF(OR($K20="",$U20=""),"",$K20-$U20)</f>
        <v/>
      </c>
      <c r="W20" s="21">
        <f>IFERROR(IF(ISBLANK(INDIRECT("'"&amp;$Q$2&amp;"'!O"&amp;ROW())),"",INDIRECT("'"&amp;$Q$2&amp;"'!O"&amp;ROW())),"")</f>
        <v/>
      </c>
      <c r="X20" s="21">
        <f>IF(OR($O20="",$W20=""),"",$O20-$W20)</f>
        <v/>
      </c>
      <c r="Y20" s="2" t="n"/>
      <c r="Z20" s="2" t="n"/>
    </row>
    <row r="21" ht="14.25" customHeight="1" s="58">
      <c r="A21" s="12" t="inlineStr">
        <is>
          <t>ВКонтакте</t>
        </is>
      </c>
      <c r="B21" s="12" t="inlineStr">
        <is>
          <t>Этноарктика</t>
        </is>
      </c>
      <c r="C21" s="13" t="n">
        <v>6</v>
      </c>
      <c r="D21" s="13" t="n">
        <v>5597</v>
      </c>
      <c r="E21" s="13">
        <f>IF($D21="","",IFERROR(IF(ISBLANK(INDIRECT("'"&amp;$Q$2&amp;"'!D"&amp;ROW())),"",INDIRECT("'"&amp;$Q$2&amp;"'!D"&amp;ROW())),""))</f>
        <v/>
      </c>
      <c r="F21" s="15">
        <f>IF(OR(D21="",E21=""),"",D21-E21)</f>
        <v/>
      </c>
      <c r="G21" s="16">
        <f>IFERROR(F21/E21,"")</f>
        <v/>
      </c>
      <c r="H21" s="13" t="n">
        <v>173</v>
      </c>
      <c r="I21" s="13">
        <f>IF($H21="","",IFERROR(IF(ISBLANK(INDIRECT("'"&amp;$Q$2&amp;"'!H"&amp;ROW())),"",INDIRECT("'"&amp;$Q$2&amp;"'!H"&amp;ROW())),""))</f>
        <v/>
      </c>
      <c r="J21" s="15">
        <f>IF(OR(H21="",I21=""),"",H21-I21)</f>
        <v/>
      </c>
      <c r="K21" s="16">
        <f>IFERROR(J21/I21,"")</f>
        <v/>
      </c>
      <c r="L21" s="13">
        <f>IFERROR(D21/C21,"")</f>
        <v/>
      </c>
      <c r="M21" s="13">
        <f>IFERROR(H21/D21*1000,"")</f>
        <v/>
      </c>
      <c r="N21" s="13" t="n">
        <v>10602</v>
      </c>
      <c r="O21" s="15">
        <f>IFERROR(IF(OR(N21="",ISBLANK(INDIRECT("'"&amp;$Q$2&amp;"'!N"&amp;ROW()))),"",N21-INDIRECT("'"&amp;$Q$2&amp;"'!N"&amp;ROW())),"")</f>
        <v/>
      </c>
      <c r="P21" s="2" t="n"/>
      <c r="Q21" s="2" t="n"/>
      <c r="R21" s="2" t="n"/>
      <c r="S21" s="18">
        <f>IFERROR(IF(ISBLANK(INDIRECT("'"&amp;$Q$2&amp;"'!G"&amp;ROW())),"",INDIRECT("'"&amp;$Q$2&amp;"'!G"&amp;ROW())),"")</f>
        <v/>
      </c>
      <c r="T21" s="20">
        <f>IF(OR($G21="",$S21=""),"",$G21-$S21)</f>
        <v/>
      </c>
      <c r="U21" s="18">
        <f>IFERROR(IF(ISBLANK(INDIRECT("'"&amp;$Q$2&amp;"'!K"&amp;ROW())),"",INDIRECT("'"&amp;$Q$2&amp;"'!K"&amp;ROW())),"")</f>
        <v/>
      </c>
      <c r="V21" s="20">
        <f>IF(OR($K21="",$U21=""),"",$K21-$U21)</f>
        <v/>
      </c>
      <c r="W21" s="21">
        <f>IFERROR(IF(ISBLANK(INDIRECT("'"&amp;$Q$2&amp;"'!O"&amp;ROW())),"",INDIRECT("'"&amp;$Q$2&amp;"'!O"&amp;ROW())),"")</f>
        <v/>
      </c>
      <c r="X21" s="21">
        <f>IF(OR($O21="",$W21=""),"",$O21-$W21)</f>
        <v/>
      </c>
      <c r="Y21" s="2" t="n"/>
      <c r="Z21" s="2" t="n"/>
    </row>
    <row r="22" ht="14.25" customHeight="1" s="58">
      <c r="A22" s="12" t="inlineStr">
        <is>
          <t>ВКонтакте</t>
        </is>
      </c>
      <c r="B22" s="12" t="inlineStr">
        <is>
          <t>ЗажгиФакел</t>
        </is>
      </c>
      <c r="C22" s="13" t="n">
        <v>26</v>
      </c>
      <c r="D22" s="13" t="n">
        <v>6203</v>
      </c>
      <c r="E22" s="13">
        <f>IF($D22="","",IFERROR(IF(ISBLANK(INDIRECT("'"&amp;$Q$2&amp;"'!D"&amp;ROW())),"",INDIRECT("'"&amp;$Q$2&amp;"'!D"&amp;ROW())),""))</f>
        <v/>
      </c>
      <c r="F22" s="15">
        <f>IF(OR(D22="",E22=""),"",D22-E22)</f>
        <v/>
      </c>
      <c r="G22" s="16">
        <f>IFERROR(F22/E22,"")</f>
        <v/>
      </c>
      <c r="H22" s="13" t="n">
        <v>198</v>
      </c>
      <c r="I22" s="13">
        <f>IF($H22="","",IFERROR(IF(ISBLANK(INDIRECT("'"&amp;$Q$2&amp;"'!H"&amp;ROW())),"",INDIRECT("'"&amp;$Q$2&amp;"'!H"&amp;ROW())),""))</f>
        <v/>
      </c>
      <c r="J22" s="15">
        <f>IF(OR(H22="",I22=""),"",H22-I22)</f>
        <v/>
      </c>
      <c r="K22" s="16">
        <f>IFERROR(J22/I22,"")</f>
        <v/>
      </c>
      <c r="L22" s="13">
        <f>IFERROR(D22/C22,"")</f>
        <v/>
      </c>
      <c r="M22" s="13">
        <f>IFERROR(H22/D22*1000,"")</f>
        <v/>
      </c>
      <c r="N22" s="13" t="n">
        <v>7381</v>
      </c>
      <c r="O22" s="15">
        <f>IFERROR(IF(OR(N22="",ISBLANK(INDIRECT("'"&amp;$Q$2&amp;"'!N"&amp;ROW()))),"",N22-INDIRECT("'"&amp;$Q$2&amp;"'!N"&amp;ROW())),"")</f>
        <v/>
      </c>
      <c r="P22" s="2" t="n"/>
      <c r="Q22" s="2" t="n"/>
      <c r="R22" s="2" t="n"/>
      <c r="S22" s="18">
        <f>IFERROR(IF(ISBLANK(INDIRECT("'"&amp;$Q$2&amp;"'!G"&amp;ROW())),"",INDIRECT("'"&amp;$Q$2&amp;"'!G"&amp;ROW())),"")</f>
        <v/>
      </c>
      <c r="T22" s="20">
        <f>IF(OR($G22="",$S22=""),"",$G22-$S22)</f>
        <v/>
      </c>
      <c r="U22" s="18">
        <f>IFERROR(IF(ISBLANK(INDIRECT("'"&amp;$Q$2&amp;"'!K"&amp;ROW())),"",INDIRECT("'"&amp;$Q$2&amp;"'!K"&amp;ROW())),"")</f>
        <v/>
      </c>
      <c r="V22" s="20">
        <f>IF(OR($K22="",$U22=""),"",$K22-$U22)</f>
        <v/>
      </c>
      <c r="W22" s="21">
        <f>IFERROR(IF(ISBLANK(INDIRECT("'"&amp;$Q$2&amp;"'!O"&amp;ROW())),"",INDIRECT("'"&amp;$Q$2&amp;"'!O"&amp;ROW())),"")</f>
        <v/>
      </c>
      <c r="X22" s="21">
        <f>IF(OR($O22="",$W22=""),"",$O22-$W22)</f>
        <v/>
      </c>
      <c r="Y22" s="2" t="n"/>
      <c r="Z22" s="2" t="n"/>
    </row>
    <row r="23" ht="14.25" customHeight="1" s="58">
      <c r="A23" s="12" t="inlineStr">
        <is>
          <t>ВКонтакте</t>
        </is>
      </c>
      <c r="B23" s="12" t="inlineStr">
        <is>
          <t>Нярьяна Нгэрм</t>
        </is>
      </c>
      <c r="C23" s="13" t="n">
        <v>9</v>
      </c>
      <c r="D23" s="13" t="n">
        <v>13590</v>
      </c>
      <c r="E23" s="13">
        <f>IF($D23="","",IFERROR(IF(ISBLANK(INDIRECT("'"&amp;$Q$2&amp;"'!D"&amp;ROW())),"",INDIRECT("'"&amp;$Q$2&amp;"'!D"&amp;ROW())),""))</f>
        <v/>
      </c>
      <c r="F23" s="15">
        <f>IF(OR(D23="",E23=""),"",D23-E23)</f>
        <v/>
      </c>
      <c r="G23" s="16">
        <f>IFERROR(F23/E23,"")</f>
        <v/>
      </c>
      <c r="H23" s="13" t="n">
        <v>332</v>
      </c>
      <c r="I23" s="13">
        <f>IF($H23="","",IFERROR(IF(ISBLANK(INDIRECT("'"&amp;$Q$2&amp;"'!H"&amp;ROW())),"",INDIRECT("'"&amp;$Q$2&amp;"'!H"&amp;ROW())),""))</f>
        <v/>
      </c>
      <c r="J23" s="15">
        <f>IF(OR(H23="",I23=""),"",H23-I23)</f>
        <v/>
      </c>
      <c r="K23" s="16">
        <f>IFERROR(J23/I23,"")</f>
        <v/>
      </c>
      <c r="L23" s="13">
        <f>IFERROR(D23/C23,"")</f>
        <v/>
      </c>
      <c r="M23" s="13">
        <f>IFERROR(H23/D23*1000,"")</f>
        <v/>
      </c>
      <c r="N23" s="13" t="n">
        <v>5614</v>
      </c>
      <c r="O23" s="15">
        <f>IFERROR(IF(OR(N23="",ISBLANK(INDIRECT("'"&amp;$Q$2&amp;"'!N"&amp;ROW()))),"",N23-INDIRECT("'"&amp;$Q$2&amp;"'!N"&amp;ROW())),"")</f>
        <v/>
      </c>
      <c r="P23" s="2" t="n"/>
      <c r="Q23" s="2" t="n"/>
      <c r="R23" s="2" t="n"/>
      <c r="S23" s="18">
        <f>IFERROR(IF(ISBLANK(INDIRECT("'"&amp;$Q$2&amp;"'!G"&amp;ROW())),"",INDIRECT("'"&amp;$Q$2&amp;"'!G"&amp;ROW())),"")</f>
        <v/>
      </c>
      <c r="T23" s="20">
        <f>IF(OR($G23="",$S23=""),"",$G23-$S23)</f>
        <v/>
      </c>
      <c r="U23" s="18">
        <f>IFERROR(IF(ISBLANK(INDIRECT("'"&amp;$Q$2&amp;"'!K"&amp;ROW())),"",INDIRECT("'"&amp;$Q$2&amp;"'!K"&amp;ROW())),"")</f>
        <v/>
      </c>
      <c r="V23" s="20">
        <f>IF(OR($K23="",$U23=""),"",$K23-$U23)</f>
        <v/>
      </c>
      <c r="W23" s="21">
        <f>IFERROR(IF(ISBLANK(INDIRECT("'"&amp;$Q$2&amp;"'!O"&amp;ROW())),"",INDIRECT("'"&amp;$Q$2&amp;"'!O"&amp;ROW())),"")</f>
        <v/>
      </c>
      <c r="X23" s="21">
        <f>IF(OR($O23="",$W23=""),"",$O23-$W23)</f>
        <v/>
      </c>
      <c r="Y23" s="2" t="n"/>
      <c r="Z23" s="2" t="n"/>
    </row>
    <row r="24" ht="14.25" customHeight="1" s="58">
      <c r="A24" s="12" t="inlineStr">
        <is>
          <t>ВКонтакте</t>
        </is>
      </c>
      <c r="B24" s="12" t="inlineStr">
        <is>
          <t>Лух Авт</t>
        </is>
      </c>
      <c r="C24" s="13" t="n">
        <v>7</v>
      </c>
      <c r="D24" s="13" t="n">
        <v>14743</v>
      </c>
      <c r="E24" s="13">
        <f>IF($D24="","",IFERROR(IF(ISBLANK(INDIRECT("'"&amp;$Q$2&amp;"'!D"&amp;ROW())),"",INDIRECT("'"&amp;$Q$2&amp;"'!D"&amp;ROW())),""))</f>
        <v/>
      </c>
      <c r="F24" s="15">
        <f>IF(OR(D24="",E24=""),"",D24-E24)</f>
        <v/>
      </c>
      <c r="G24" s="16">
        <f>IFERROR(F24/E24,"")</f>
        <v/>
      </c>
      <c r="H24" s="13" t="n">
        <v>351</v>
      </c>
      <c r="I24" s="13">
        <f>IF($H24="","",IFERROR(IF(ISBLANK(INDIRECT("'"&amp;$Q$2&amp;"'!H"&amp;ROW())),"",INDIRECT("'"&amp;$Q$2&amp;"'!H"&amp;ROW())),""))</f>
        <v/>
      </c>
      <c r="J24" s="15">
        <f>IF(OR(H24="",I24=""),"",H24-I24)</f>
        <v/>
      </c>
      <c r="K24" s="16">
        <f>IFERROR(J24/I24,"")</f>
        <v/>
      </c>
      <c r="L24" s="13">
        <f>IFERROR(D24/C24,"")</f>
        <v/>
      </c>
      <c r="M24" s="13">
        <f>IFERROR(H24/D24*1000,"")</f>
        <v/>
      </c>
      <c r="N24" s="13" t="n">
        <v>2318</v>
      </c>
      <c r="O24" s="15">
        <f>IFERROR(IF(OR(N24="",ISBLANK(INDIRECT("'"&amp;$Q$2&amp;"'!N"&amp;ROW()))),"",N24-INDIRECT("'"&amp;$Q$2&amp;"'!N"&amp;ROW())),"")</f>
        <v/>
      </c>
      <c r="P24" s="2" t="n"/>
      <c r="Q24" s="2" t="n"/>
      <c r="R24" s="2" t="n"/>
      <c r="S24" s="18">
        <f>IFERROR(IF(ISBLANK(INDIRECT("'"&amp;$Q$2&amp;"'!G"&amp;ROW())),"",INDIRECT("'"&amp;$Q$2&amp;"'!G"&amp;ROW())),"")</f>
        <v/>
      </c>
      <c r="T24" s="20">
        <f>IF(OR($G24="",$S24=""),"",$G24-$S24)</f>
        <v/>
      </c>
      <c r="U24" s="18">
        <f>IFERROR(IF(ISBLANK(INDIRECT("'"&amp;$Q$2&amp;"'!K"&amp;ROW())),"",INDIRECT("'"&amp;$Q$2&amp;"'!K"&amp;ROW())),"")</f>
        <v/>
      </c>
      <c r="V24" s="20">
        <f>IF(OR($K24="",$U24=""),"",$K24-$U24)</f>
        <v/>
      </c>
      <c r="W24" s="21">
        <f>IFERROR(IF(ISBLANK(INDIRECT("'"&amp;$Q$2&amp;"'!O"&amp;ROW())),"",INDIRECT("'"&amp;$Q$2&amp;"'!O"&amp;ROW())),"")</f>
        <v/>
      </c>
      <c r="X24" s="21">
        <f>IF(OR($O24="",$W24=""),"",$O24-$W24)</f>
        <v/>
      </c>
      <c r="Y24" s="2" t="n"/>
      <c r="Z24" s="2" t="n"/>
    </row>
    <row r="25" ht="14.25" customHeight="1" s="58">
      <c r="A25" s="12" t="inlineStr">
        <is>
          <t>ВКонтакте</t>
        </is>
      </c>
      <c r="B25" s="12" t="inlineStr">
        <is>
          <t>Ямальский меридиан</t>
        </is>
      </c>
      <c r="C25" s="13" t="n">
        <v>8</v>
      </c>
      <c r="D25" s="13" t="n">
        <v>113039</v>
      </c>
      <c r="E25" s="13">
        <f>IF($D25="","",IFERROR(IF(ISBLANK(INDIRECT("'"&amp;$Q$2&amp;"'!D"&amp;ROW())),"",INDIRECT("'"&amp;$Q$2&amp;"'!D"&amp;ROW())),""))</f>
        <v/>
      </c>
      <c r="F25" s="15">
        <f>IF(OR(D25="",E25=""),"",D25-E25)</f>
        <v/>
      </c>
      <c r="G25" s="16">
        <f>IFERROR(F25/E25,"")</f>
        <v/>
      </c>
      <c r="H25" s="13" t="n">
        <v>670</v>
      </c>
      <c r="I25" s="13">
        <f>IF($H25="","",IFERROR(IF(ISBLANK(INDIRECT("'"&amp;$Q$2&amp;"'!H"&amp;ROW())),"",INDIRECT("'"&amp;$Q$2&amp;"'!H"&amp;ROW())),""))</f>
        <v/>
      </c>
      <c r="J25" s="15">
        <f>IF(OR(H25="",I25=""),"",H25-I25)</f>
        <v/>
      </c>
      <c r="K25" s="16">
        <f>IFERROR(J25/I25,"")</f>
        <v/>
      </c>
      <c r="L25" s="13">
        <f>IFERROR(D25/C25,"")</f>
        <v/>
      </c>
      <c r="M25" s="13">
        <f>IFERROR(H25/D25*1000,"")</f>
        <v/>
      </c>
      <c r="N25" s="13" t="n">
        <v>6169</v>
      </c>
      <c r="O25" s="15">
        <f>IFERROR(IF(OR(N25="",ISBLANK(INDIRECT("'"&amp;$Q$2&amp;"'!N"&amp;ROW()))),"",N25-INDIRECT("'"&amp;$Q$2&amp;"'!N"&amp;ROW())),"")</f>
        <v/>
      </c>
      <c r="P25" s="2" t="n"/>
      <c r="Q25" s="2" t="n"/>
      <c r="R25" s="2" t="n"/>
      <c r="S25" s="18">
        <f>IFERROR(IF(ISBLANK(INDIRECT("'"&amp;$Q$2&amp;"'!G"&amp;ROW())),"",INDIRECT("'"&amp;$Q$2&amp;"'!G"&amp;ROW())),"")</f>
        <v/>
      </c>
      <c r="T25" s="20">
        <f>IF(OR($G25="",$S25=""),"",$G25-$S25)</f>
        <v/>
      </c>
      <c r="U25" s="18">
        <f>IFERROR(IF(ISBLANK(INDIRECT("'"&amp;$Q$2&amp;"'!K"&amp;ROW())),"",INDIRECT("'"&amp;$Q$2&amp;"'!K"&amp;ROW())),"")</f>
        <v/>
      </c>
      <c r="V25" s="20">
        <f>IF(OR($K25="",$U25=""),"",$K25-$U25)</f>
        <v/>
      </c>
      <c r="W25" s="21">
        <f>IFERROR(IF(ISBLANK(INDIRECT("'"&amp;$Q$2&amp;"'!O"&amp;ROW())),"",INDIRECT("'"&amp;$Q$2&amp;"'!O"&amp;ROW())),"")</f>
        <v/>
      </c>
      <c r="X25" s="21">
        <f>IF(OR($O25="",$W25=""),"",$O25-$W25)</f>
        <v/>
      </c>
      <c r="Y25" s="2" t="n"/>
      <c r="Z25" s="2" t="n"/>
    </row>
    <row r="26" ht="14.25" customHeight="1" s="58">
      <c r="A26" s="12" t="inlineStr">
        <is>
          <t>ВКонтакте</t>
        </is>
      </c>
      <c r="B26" s="12" t="inlineStr">
        <is>
          <t>МК-Ямал</t>
        </is>
      </c>
      <c r="C26" s="13" t="n">
        <v>234</v>
      </c>
      <c r="D26" s="13" t="n">
        <v>40025</v>
      </c>
      <c r="E26" s="13">
        <f>IF($D26="","",IFERROR(IF(ISBLANK(INDIRECT("'"&amp;$Q$2&amp;"'!D"&amp;ROW())),"",INDIRECT("'"&amp;$Q$2&amp;"'!D"&amp;ROW())),""))</f>
        <v/>
      </c>
      <c r="F26" s="15">
        <f>IF(OR(D26="",E26=""),"",D26-E26)</f>
        <v/>
      </c>
      <c r="G26" s="16">
        <f>IFERROR(F26/E26,"")</f>
        <v/>
      </c>
      <c r="H26" s="13" t="n">
        <v>130</v>
      </c>
      <c r="I26" s="13">
        <f>IF($H26="","",IFERROR(IF(ISBLANK(INDIRECT("'"&amp;$Q$2&amp;"'!H"&amp;ROW())),"",INDIRECT("'"&amp;$Q$2&amp;"'!H"&amp;ROW())),""))</f>
        <v/>
      </c>
      <c r="J26" s="15">
        <f>IF(OR(H26="",I26=""),"",H26-I26)</f>
        <v/>
      </c>
      <c r="K26" s="16">
        <f>IFERROR(J26/I26,"")</f>
        <v/>
      </c>
      <c r="L26" s="13">
        <f>IFERROR(D26/C26,"")</f>
        <v/>
      </c>
      <c r="M26" s="13">
        <f>IFERROR(H26/D26*1000,"")</f>
        <v/>
      </c>
      <c r="N26" s="13" t="n">
        <v>7898</v>
      </c>
      <c r="O26" s="15">
        <f>IFERROR(IF(OR(N26="",ISBLANK(INDIRECT("'"&amp;$Q$2&amp;"'!N"&amp;ROW()))),"",N26-INDIRECT("'"&amp;$Q$2&amp;"'!N"&amp;ROW())),"")</f>
        <v/>
      </c>
      <c r="P26" s="2" t="n"/>
      <c r="Q26" s="2" t="n"/>
      <c r="R26" s="2" t="n"/>
      <c r="S26" s="18">
        <f>IFERROR(IF(ISBLANK(INDIRECT("'"&amp;$Q$2&amp;"'!G"&amp;ROW())),"",INDIRECT("'"&amp;$Q$2&amp;"'!G"&amp;ROW())),"")</f>
        <v/>
      </c>
      <c r="T26" s="20">
        <f>IF(OR($G26="",$S26=""),"",$G26-$S26)</f>
        <v/>
      </c>
      <c r="U26" s="18">
        <f>IFERROR(IF(ISBLANK(INDIRECT("'"&amp;$Q$2&amp;"'!K"&amp;ROW())),"",INDIRECT("'"&amp;$Q$2&amp;"'!K"&amp;ROW())),"")</f>
        <v/>
      </c>
      <c r="V26" s="20">
        <f>IF(OR($K26="",$U26=""),"",$K26-$U26)</f>
        <v/>
      </c>
      <c r="W26" s="21">
        <f>IFERROR(IF(ISBLANK(INDIRECT("'"&amp;$Q$2&amp;"'!O"&amp;ROW())),"",INDIRECT("'"&amp;$Q$2&amp;"'!O"&amp;ROW())),"")</f>
        <v/>
      </c>
      <c r="X26" s="21">
        <f>IF(OR($O26="",$W26=""),"",$O26-$W26)</f>
        <v/>
      </c>
      <c r="Y26" s="2" t="n"/>
      <c r="Z26" s="2" t="n"/>
    </row>
    <row r="27" ht="14.25" customHeight="1" s="58">
      <c r="A27" s="12" t="inlineStr">
        <is>
          <t>ВКонтакте</t>
        </is>
      </c>
      <c r="B27" s="12" t="inlineStr">
        <is>
          <t>Арктика Вконтакте</t>
        </is>
      </c>
      <c r="C27" s="13" t="n">
        <v>10</v>
      </c>
      <c r="D27" s="13" t="n">
        <v>1912</v>
      </c>
      <c r="E27" s="13">
        <f>IF($D27="","",IFERROR(IF(ISBLANK(INDIRECT("'"&amp;$Q$2&amp;"'!D"&amp;ROW())),"",INDIRECT("'"&amp;$Q$2&amp;"'!D"&amp;ROW())),""))</f>
        <v/>
      </c>
      <c r="F27" s="15">
        <f>IF(OR(D27="",E27=""),"",D27-E27)</f>
        <v/>
      </c>
      <c r="G27" s="16">
        <f>IFERROR(F27/E27,"")</f>
        <v/>
      </c>
      <c r="H27" s="13" t="n">
        <v>37</v>
      </c>
      <c r="I27" s="13">
        <f>IF($H27="","",IFERROR(IF(ISBLANK(INDIRECT("'"&amp;$Q$2&amp;"'!H"&amp;ROW())),"",INDIRECT("'"&amp;$Q$2&amp;"'!H"&amp;ROW())),""))</f>
        <v/>
      </c>
      <c r="J27" s="15">
        <f>IF(OR(H27="",I27=""),"",H27-I27)</f>
        <v/>
      </c>
      <c r="K27" s="16">
        <f>IFERROR(J27/I27,"")</f>
        <v/>
      </c>
      <c r="L27" s="13">
        <f>IFERROR(D27/C27,"")</f>
        <v/>
      </c>
      <c r="M27" s="13">
        <f>IFERROR(H27/D27*1000,"")</f>
        <v/>
      </c>
      <c r="N27" s="13" t="n">
        <v>16721</v>
      </c>
      <c r="O27" s="15">
        <f>IFERROR(IF(OR(N27="",ISBLANK(INDIRECT("'"&amp;$Q$2&amp;"'!N"&amp;ROW()))),"",N27-INDIRECT("'"&amp;$Q$2&amp;"'!N"&amp;ROW())),"")</f>
        <v/>
      </c>
      <c r="P27" s="2" t="n"/>
      <c r="Q27" s="2" t="n"/>
      <c r="R27" s="2" t="n"/>
      <c r="S27" s="18">
        <f>IFERROR(IF(ISBLANK(INDIRECT("'"&amp;$Q$2&amp;"'!G"&amp;ROW())),"",INDIRECT("'"&amp;$Q$2&amp;"'!G"&amp;ROW())),"")</f>
        <v/>
      </c>
      <c r="T27" s="20">
        <f>IF(OR($G27="",$S27=""),"",$G27-$S27)</f>
        <v/>
      </c>
      <c r="U27" s="18">
        <f>IFERROR(IF(ISBLANK(INDIRECT("'"&amp;$Q$2&amp;"'!K"&amp;ROW())),"",INDIRECT("'"&amp;$Q$2&amp;"'!K"&amp;ROW())),"")</f>
        <v/>
      </c>
      <c r="V27" s="20">
        <f>IF(OR($K27="",$U27=""),"",$K27-$U27)</f>
        <v/>
      </c>
      <c r="W27" s="21">
        <f>IFERROR(IF(ISBLANK(INDIRECT("'"&amp;$Q$2&amp;"'!O"&amp;ROW())),"",INDIRECT("'"&amp;$Q$2&amp;"'!O"&amp;ROW())),"")</f>
        <v/>
      </c>
      <c r="X27" s="21">
        <f>IF(OR($O27="",$W27=""),"",$O27-$W27)</f>
        <v/>
      </c>
      <c r="Y27" s="2" t="n"/>
      <c r="Z27" s="2" t="n"/>
    </row>
    <row r="28" ht="14.25" customHeight="1" s="58">
      <c r="A28" s="12" t="inlineStr">
        <is>
          <t>ВКонтакте</t>
        </is>
      </c>
      <c r="B28" s="12" t="inlineStr">
        <is>
          <t>Ямал Live</t>
        </is>
      </c>
      <c r="C28" s="13" t="n">
        <v>20</v>
      </c>
      <c r="D28" s="13" t="n">
        <v>4983</v>
      </c>
      <c r="E28" s="13">
        <f>IF($D28="","",IFERROR(IF(ISBLANK(INDIRECT("'"&amp;$Q$2&amp;"'!D"&amp;ROW())),"",INDIRECT("'"&amp;$Q$2&amp;"'!D"&amp;ROW())),""))</f>
        <v/>
      </c>
      <c r="F28" s="15">
        <f>IF(OR(D28="",E28=""),"",D28-E28)</f>
        <v/>
      </c>
      <c r="G28" s="16">
        <f>IFERROR(F28/E28,"")</f>
        <v/>
      </c>
      <c r="H28" s="13" t="n">
        <v>31</v>
      </c>
      <c r="I28" s="13">
        <f>IF($H28="","",IFERROR(IF(ISBLANK(INDIRECT("'"&amp;$Q$2&amp;"'!H"&amp;ROW())),"",INDIRECT("'"&amp;$Q$2&amp;"'!H"&amp;ROW())),""))</f>
        <v/>
      </c>
      <c r="J28" s="15">
        <f>IF(OR(H28="",I28=""),"",H28-I28)</f>
        <v/>
      </c>
      <c r="K28" s="16">
        <f>IFERROR(J28/I28,"")</f>
        <v/>
      </c>
      <c r="L28" s="13">
        <f>IFERROR(D28/C28,"")</f>
        <v/>
      </c>
      <c r="M28" s="13">
        <f>IFERROR(H28/D28*1000,"")</f>
        <v/>
      </c>
      <c r="N28" s="13" t="n">
        <v>21916</v>
      </c>
      <c r="O28" s="15">
        <f>IFERROR(IF(OR(N28="",ISBLANK(INDIRECT("'"&amp;$Q$2&amp;"'!N"&amp;ROW()))),"",N28-INDIRECT("'"&amp;$Q$2&amp;"'!N"&amp;ROW())),"")</f>
        <v/>
      </c>
      <c r="P28" s="2" t="n"/>
      <c r="Q28" s="2" t="n"/>
      <c r="R28" s="2" t="n"/>
      <c r="S28" s="18">
        <f>IFERROR(IF(ISBLANK(INDIRECT("'"&amp;$Q$2&amp;"'!G"&amp;ROW())),"",INDIRECT("'"&amp;$Q$2&amp;"'!G"&amp;ROW())),"")</f>
        <v/>
      </c>
      <c r="T28" s="20">
        <f>IF(OR($G28="",$S28=""),"",$G28-$S28)</f>
        <v/>
      </c>
      <c r="U28" s="18">
        <f>IFERROR(IF(ISBLANK(INDIRECT("'"&amp;$Q$2&amp;"'!K"&amp;ROW())),"",INDIRECT("'"&amp;$Q$2&amp;"'!K"&amp;ROW())),"")</f>
        <v/>
      </c>
      <c r="V28" s="20">
        <f>IF(OR($K28="",$U28=""),"",$K28-$U28)</f>
        <v/>
      </c>
      <c r="W28" s="21">
        <f>IFERROR(IF(ISBLANK(INDIRECT("'"&amp;$Q$2&amp;"'!O"&amp;ROW())),"",INDIRECT("'"&amp;$Q$2&amp;"'!O"&amp;ROW())),"")</f>
        <v/>
      </c>
      <c r="X28" s="21">
        <f>IF(OR($O28="",$W28=""),"",$O28-$W28)</f>
        <v/>
      </c>
      <c r="Y28" s="2" t="n"/>
      <c r="Z28" s="2" t="n"/>
    </row>
    <row r="29" ht="14.25" customHeight="1" s="58">
      <c r="A29" s="12" t="inlineStr">
        <is>
          <t>ВКонтакте</t>
        </is>
      </c>
      <c r="B29" s="12" t="inlineStr">
        <is>
          <t>Морошка</t>
        </is>
      </c>
      <c r="C29" s="13" t="n">
        <v>6</v>
      </c>
      <c r="D29" s="13" t="n">
        <v>37678</v>
      </c>
      <c r="E29" s="13">
        <f>IF($D29="","",IFERROR(IF(ISBLANK(INDIRECT("'"&amp;$Q$2&amp;"'!D"&amp;ROW())),"",INDIRECT("'"&amp;$Q$2&amp;"'!D"&amp;ROW())),""))</f>
        <v/>
      </c>
      <c r="F29" s="15">
        <f>IF(OR(D29="",E29=""),"",D29-E29)</f>
        <v/>
      </c>
      <c r="G29" s="16">
        <f>IFERROR(F29/E29,"")</f>
        <v/>
      </c>
      <c r="H29" s="13" t="n">
        <v>52</v>
      </c>
      <c r="I29" s="13">
        <f>IF($H29="","",IFERROR(IF(ISBLANK(INDIRECT("'"&amp;$Q$2&amp;"'!H"&amp;ROW())),"",INDIRECT("'"&amp;$Q$2&amp;"'!H"&amp;ROW())),""))</f>
        <v/>
      </c>
      <c r="J29" s="15">
        <f>IF(OR(H29="",I29=""),"",H29-I29)</f>
        <v/>
      </c>
      <c r="K29" s="16">
        <f>IFERROR(J29/I29,"")</f>
        <v/>
      </c>
      <c r="L29" s="13">
        <f>IFERROR(D29/C29,"")</f>
        <v/>
      </c>
      <c r="M29" s="13">
        <f>IFERROR(H29/D29*1000,"")</f>
        <v/>
      </c>
      <c r="N29" s="13" t="n">
        <v>9572</v>
      </c>
      <c r="O29" s="15">
        <f>IFERROR(IF(OR(N29="",ISBLANK(INDIRECT("'"&amp;$Q$2&amp;"'!N"&amp;ROW()))),"",N29-INDIRECT("'"&amp;$Q$2&amp;"'!N"&amp;ROW())),"")</f>
        <v/>
      </c>
      <c r="P29" s="2" t="n"/>
      <c r="Q29" s="2" t="n"/>
      <c r="R29" s="2" t="n"/>
      <c r="S29" s="18">
        <f>IFERROR(IF(ISBLANK(INDIRECT("'"&amp;$Q$2&amp;"'!G"&amp;ROW())),"",INDIRECT("'"&amp;$Q$2&amp;"'!G"&amp;ROW())),"")</f>
        <v/>
      </c>
      <c r="T29" s="20">
        <f>IF(OR($G29="",$S29=""),"",$G29-$S29)</f>
        <v/>
      </c>
      <c r="U29" s="18">
        <f>IFERROR(IF(ISBLANK(INDIRECT("'"&amp;$Q$2&amp;"'!K"&amp;ROW())),"",INDIRECT("'"&amp;$Q$2&amp;"'!K"&amp;ROW())),"")</f>
        <v/>
      </c>
      <c r="V29" s="20">
        <f>IF(OR($K29="",$U29=""),"",$K29-$U29)</f>
        <v/>
      </c>
      <c r="W29" s="21">
        <f>IFERROR(IF(ISBLANK(INDIRECT("'"&amp;$Q$2&amp;"'!O"&amp;ROW())),"",INDIRECT("'"&amp;$Q$2&amp;"'!O"&amp;ROW())),"")</f>
        <v/>
      </c>
      <c r="X29" s="21">
        <f>IF(OR($O29="",$W29=""),"",$O29-$W29)</f>
        <v/>
      </c>
      <c r="Y29" s="2" t="n"/>
      <c r="Z29" s="2" t="n"/>
    </row>
    <row r="30" ht="14.25" customHeight="1" s="58">
      <c r="A30" s="25" t="n"/>
      <c r="B30" s="25" t="inlineStr">
        <is>
          <t>Итого ВКонтакте</t>
        </is>
      </c>
      <c r="C30" s="26">
        <f>SUM(C3:C29)</f>
        <v/>
      </c>
      <c r="D30" s="26">
        <f>SUM(D3:D29)</f>
        <v/>
      </c>
      <c r="E30" s="26">
        <f>SUM(E3:E29)</f>
        <v/>
      </c>
      <c r="F30" s="27">
        <f>SUM(F3:F29)</f>
        <v/>
      </c>
      <c r="G30" s="28">
        <f>IF(C30=0,"",IFERROR(F30/E30,""))</f>
        <v/>
      </c>
      <c r="H30" s="26">
        <f>SUM(H3:H29)</f>
        <v/>
      </c>
      <c r="I30" s="26">
        <f>SUM(I3:I29)</f>
        <v/>
      </c>
      <c r="J30" s="27">
        <f>SUM(J3:J29)</f>
        <v/>
      </c>
      <c r="K30" s="28">
        <f>IF(C30=0,"",IFERROR(J30/I30,""))</f>
        <v/>
      </c>
      <c r="L30" s="26">
        <f>IFERROR(D30/C30,"")</f>
        <v/>
      </c>
      <c r="M30" s="26">
        <f>IFERROR(H30/D30*1000,"")</f>
        <v/>
      </c>
      <c r="N30" s="26">
        <f>SUM(N3:N29)</f>
        <v/>
      </c>
      <c r="O30" s="27">
        <f>SUM(O3:O29)</f>
        <v/>
      </c>
      <c r="P30" s="2" t="n"/>
      <c r="Q30" s="2" t="n"/>
      <c r="R30" s="2" t="n"/>
      <c r="S30" s="29">
        <f>IFERROR(IF(ISBLANK(INDIRECT("'"&amp;$Q$2&amp;"'!G"&amp;ROW())),"",INDIRECT("'"&amp;$Q$2&amp;"'!G"&amp;ROW())),"")</f>
        <v/>
      </c>
      <c r="T30" s="30">
        <f>IF(OR($G30="",$S30=""),"",$G30-$S30)</f>
        <v/>
      </c>
      <c r="U30" s="29">
        <f>IFERROR(IF(ISBLANK(INDIRECT("'"&amp;$Q$2&amp;"'!K"&amp;ROW())),"",INDIRECT("'"&amp;$Q$2&amp;"'!K"&amp;ROW())),"")</f>
        <v/>
      </c>
      <c r="V30" s="30">
        <f>IF(OR($K30="",$U30=""),"",$K30-$U30)</f>
        <v/>
      </c>
      <c r="W30" s="31">
        <f>IFERROR(IF(ISBLANK(INDIRECT("'"&amp;$Q$2&amp;"'!O"&amp;ROW())),"",INDIRECT("'"&amp;$Q$2&amp;"'!O"&amp;ROW())),"")</f>
        <v/>
      </c>
      <c r="X30" s="31">
        <f>IF(OR(C30=0,$O30="",$W30=""),"",$O30-$W30)</f>
        <v/>
      </c>
      <c r="Y30" s="2" t="n"/>
      <c r="Z30" s="2" t="n"/>
    </row>
    <row r="31" ht="14.25" customHeight="1" s="58">
      <c r="A31" s="12" t="inlineStr">
        <is>
          <t>Одноклассники</t>
        </is>
      </c>
      <c r="B31" s="12" t="inlineStr">
        <is>
          <t>Ямал-Медиа</t>
        </is>
      </c>
      <c r="C31" s="13" t="n">
        <v>138</v>
      </c>
      <c r="D31" s="13" t="n">
        <v>291577</v>
      </c>
      <c r="E31" s="13">
        <f>IF($D31="","",IFERROR(IF(ISBLANK(INDIRECT("'"&amp;$Q$2&amp;"'!D"&amp;ROW())),"",INDIRECT("'"&amp;$Q$2&amp;"'!D"&amp;ROW())),""))</f>
        <v/>
      </c>
      <c r="F31" s="15">
        <f>IF(OR(D31="",E31=""),"",D31-E31)</f>
        <v/>
      </c>
      <c r="G31" s="16">
        <f>IFERROR(F31/E31,"")</f>
        <v/>
      </c>
      <c r="H31" s="13" t="n">
        <v>127</v>
      </c>
      <c r="I31" s="13">
        <f>IF($H31="","",IFERROR(IF(ISBLANK(INDIRECT("'"&amp;$Q$2&amp;"'!H"&amp;ROW())),"",INDIRECT("'"&amp;$Q$2&amp;"'!H"&amp;ROW())),""))</f>
        <v/>
      </c>
      <c r="J31" s="15">
        <f>IF(OR(H31="",I31=""),"",H31-I31)</f>
        <v/>
      </c>
      <c r="K31" s="16">
        <f>IFERROR(J31/I31,"")</f>
        <v/>
      </c>
      <c r="L31" s="13">
        <f>IFERROR(D31/C31,"")</f>
        <v/>
      </c>
      <c r="M31" s="13">
        <f>IFERROR(H31/D31*1000,"")</f>
        <v/>
      </c>
      <c r="N31" s="13" t="n">
        <v>32473</v>
      </c>
      <c r="O31" s="15">
        <f>IFERROR(IF(OR(N31="",ISBLANK(INDIRECT("'"&amp;$Q$2&amp;"'!N"&amp;ROW()))),"",N31-INDIRECT("'"&amp;$Q$2&amp;"'!N"&amp;ROW())),"")</f>
        <v/>
      </c>
      <c r="P31" s="2" t="n"/>
      <c r="Q31" s="2" t="n"/>
      <c r="R31" s="2" t="n"/>
      <c r="S31" s="18">
        <f>IFERROR(IF(ISBLANK(INDIRECT("'"&amp;$Q$2&amp;"'!G"&amp;ROW())),"",INDIRECT("'"&amp;$Q$2&amp;"'!G"&amp;ROW())),"")</f>
        <v/>
      </c>
      <c r="T31" s="20">
        <f>IF(OR($G31="",$S31=""),"",$G31-$S31)</f>
        <v/>
      </c>
      <c r="U31" s="18">
        <f>IFERROR(IF(ISBLANK(INDIRECT("'"&amp;$Q$2&amp;"'!K"&amp;ROW())),"",INDIRECT("'"&amp;$Q$2&amp;"'!K"&amp;ROW())),"")</f>
        <v/>
      </c>
      <c r="V31" s="20">
        <f>IF(OR($K31="",$U31=""),"",$K31-$U31)</f>
        <v/>
      </c>
      <c r="W31" s="21">
        <f>IFERROR(IF(ISBLANK(INDIRECT("'"&amp;$Q$2&amp;"'!O"&amp;ROW())),"",INDIRECT("'"&amp;$Q$2&amp;"'!O"&amp;ROW())),"")</f>
        <v/>
      </c>
      <c r="X31" s="21">
        <f>IF(OR($O31="",$W31=""),"",$O31-$W31)</f>
        <v/>
      </c>
      <c r="Y31" s="2" t="n"/>
      <c r="Z31" s="2" t="n"/>
    </row>
    <row r="32" ht="14.25" customHeight="1" s="58">
      <c r="A32" s="12" t="inlineStr">
        <is>
          <t>Одноклассники</t>
        </is>
      </c>
      <c r="B32" s="12" t="inlineStr">
        <is>
          <t>Север-Пресс</t>
        </is>
      </c>
      <c r="C32" s="13" t="n">
        <v>125</v>
      </c>
      <c r="D32" s="13" t="n">
        <v>40747</v>
      </c>
      <c r="E32" s="13">
        <f>IF($D32="","",IFERROR(IF(ISBLANK(INDIRECT("'"&amp;$Q$2&amp;"'!D"&amp;ROW())),"",INDIRECT("'"&amp;$Q$2&amp;"'!D"&amp;ROW())),""))</f>
        <v/>
      </c>
      <c r="F32" s="15">
        <f>IF(OR(D32="",E32=""),"",D32-E32)</f>
        <v/>
      </c>
      <c r="G32" s="16">
        <f>IFERROR(F32/E32,"")</f>
        <v/>
      </c>
      <c r="H32" s="13" t="n">
        <v>68</v>
      </c>
      <c r="I32" s="13">
        <f>IF($H32="","",IFERROR(IF(ISBLANK(INDIRECT("'"&amp;$Q$2&amp;"'!H"&amp;ROW())),"",INDIRECT("'"&amp;$Q$2&amp;"'!H"&amp;ROW())),""))</f>
        <v/>
      </c>
      <c r="J32" s="15">
        <f>IF(OR(H32="",I32=""),"",H32-I32)</f>
        <v/>
      </c>
      <c r="K32" s="16">
        <f>IFERROR(J32/I32,"")</f>
        <v/>
      </c>
      <c r="L32" s="13">
        <f>IFERROR(D32/C32,"")</f>
        <v/>
      </c>
      <c r="M32" s="13">
        <f>IFERROR(H32/D32*1000,"")</f>
        <v/>
      </c>
      <c r="N32" s="13" t="n">
        <v>21735</v>
      </c>
      <c r="O32" s="15">
        <f>IFERROR(IF(OR(N32="",ISBLANK(INDIRECT("'"&amp;$Q$2&amp;"'!N"&amp;ROW()))),"",N32-INDIRECT("'"&amp;$Q$2&amp;"'!N"&amp;ROW())),"")</f>
        <v/>
      </c>
      <c r="P32" s="2" t="n"/>
      <c r="Q32" s="2" t="n"/>
      <c r="R32" s="2" t="n"/>
      <c r="S32" s="18">
        <f>IFERROR(IF(ISBLANK(INDIRECT("'"&amp;$Q$2&amp;"'!G"&amp;ROW())),"",INDIRECT("'"&amp;$Q$2&amp;"'!G"&amp;ROW())),"")</f>
        <v/>
      </c>
      <c r="T32" s="20">
        <f>IF(OR($G32="",$S32=""),"",$G32-$S32)</f>
        <v/>
      </c>
      <c r="U32" s="18">
        <f>IFERROR(IF(ISBLANK(INDIRECT("'"&amp;$Q$2&amp;"'!K"&amp;ROW())),"",INDIRECT("'"&amp;$Q$2&amp;"'!K"&amp;ROW())),"")</f>
        <v/>
      </c>
      <c r="V32" s="20">
        <f>IF(OR($K32="",$U32=""),"",$K32-$U32)</f>
        <v/>
      </c>
      <c r="W32" s="21">
        <f>IFERROR(IF(ISBLANK(INDIRECT("'"&amp;$Q$2&amp;"'!O"&amp;ROW())),"",INDIRECT("'"&amp;$Q$2&amp;"'!O"&amp;ROW())),"")</f>
        <v/>
      </c>
      <c r="X32" s="21">
        <f>IF(OR($O32="",$W32=""),"",$O32-$W32)</f>
        <v/>
      </c>
      <c r="Y32" s="2" t="n"/>
      <c r="Z32" s="2" t="n"/>
    </row>
    <row r="33" ht="14.25" customHeight="1" s="58">
      <c r="A33" s="12" t="inlineStr">
        <is>
          <t>Одноклассники</t>
        </is>
      </c>
      <c r="B33" s="12" t="inlineStr">
        <is>
          <t>Красный Север</t>
        </is>
      </c>
      <c r="C33" s="13" t="n">
        <v>87</v>
      </c>
      <c r="D33" s="13" t="n">
        <v>18335</v>
      </c>
      <c r="E33" s="13">
        <f>IF($D33="","",IFERROR(IF(ISBLANK(INDIRECT("'"&amp;$Q$2&amp;"'!D"&amp;ROW())),"",INDIRECT("'"&amp;$Q$2&amp;"'!D"&amp;ROW())),""))</f>
        <v/>
      </c>
      <c r="F33" s="15">
        <f>IF(OR(D33="",E33=""),"",D33-E33)</f>
        <v/>
      </c>
      <c r="G33" s="16">
        <f>IFERROR(F33/E33,"")</f>
        <v/>
      </c>
      <c r="H33" s="13" t="n">
        <v>4</v>
      </c>
      <c r="I33" s="13">
        <f>IF($H33="","",IFERROR(IF(ISBLANK(INDIRECT("'"&amp;$Q$2&amp;"'!H"&amp;ROW())),"",INDIRECT("'"&amp;$Q$2&amp;"'!H"&amp;ROW())),""))</f>
        <v/>
      </c>
      <c r="J33" s="15">
        <f>IF(OR(H33="",I33=""),"",H33-I33)</f>
        <v/>
      </c>
      <c r="K33" s="16">
        <f>IFERROR(J33/I33,"")</f>
        <v/>
      </c>
      <c r="L33" s="13">
        <f>IFERROR(D33/C33,"")</f>
        <v/>
      </c>
      <c r="M33" s="13">
        <f>IFERROR(H33/D33*1000,"")</f>
        <v/>
      </c>
      <c r="N33" s="13" t="n">
        <v>8961</v>
      </c>
      <c r="O33" s="15">
        <f>IFERROR(IF(OR(N33="",ISBLANK(INDIRECT("'"&amp;$Q$2&amp;"'!N"&amp;ROW()))),"",N33-INDIRECT("'"&amp;$Q$2&amp;"'!N"&amp;ROW())),"")</f>
        <v/>
      </c>
      <c r="P33" s="2" t="n"/>
      <c r="Q33" s="2" t="n"/>
      <c r="R33" s="2" t="n"/>
      <c r="S33" s="18">
        <f>IFERROR(IF(ISBLANK(INDIRECT("'"&amp;$Q$2&amp;"'!G"&amp;ROW())),"",INDIRECT("'"&amp;$Q$2&amp;"'!G"&amp;ROW())),"")</f>
        <v/>
      </c>
      <c r="T33" s="20">
        <f>IF(OR($G33="",$S33=""),"",$G33-$S33)</f>
        <v/>
      </c>
      <c r="U33" s="18">
        <f>IFERROR(IF(ISBLANK(INDIRECT("'"&amp;$Q$2&amp;"'!K"&amp;ROW())),"",INDIRECT("'"&amp;$Q$2&amp;"'!K"&amp;ROW())),"")</f>
        <v/>
      </c>
      <c r="V33" s="20">
        <f>IF(OR($K33="",$U33=""),"",$K33-$U33)</f>
        <v/>
      </c>
      <c r="W33" s="21">
        <f>IFERROR(IF(ISBLANK(INDIRECT("'"&amp;$Q$2&amp;"'!O"&amp;ROW())),"",INDIRECT("'"&amp;$Q$2&amp;"'!O"&amp;ROW())),"")</f>
        <v/>
      </c>
      <c r="X33" s="21">
        <f>IF(OR($O33="",$W33=""),"",$O33-$W33)</f>
        <v/>
      </c>
      <c r="Y33" s="2" t="n"/>
      <c r="Z33" s="2" t="n"/>
    </row>
    <row r="34" ht="14.25" customHeight="1" s="58">
      <c r="A34" s="12" t="inlineStr">
        <is>
          <t>Одноклассники</t>
        </is>
      </c>
      <c r="B34" s="12" t="inlineStr">
        <is>
          <t>Новый Уренгой</t>
        </is>
      </c>
      <c r="C34" s="13" t="n">
        <v>91</v>
      </c>
      <c r="D34" s="13" t="n">
        <v>905</v>
      </c>
      <c r="E34" s="13">
        <f>IF($D34="","",IFERROR(IF(ISBLANK(INDIRECT("'"&amp;$Q$2&amp;"'!D"&amp;ROW())),"",INDIRECT("'"&amp;$Q$2&amp;"'!D"&amp;ROW())),""))</f>
        <v/>
      </c>
      <c r="F34" s="15">
        <f>IF(OR(D34="",E34=""),"",D34-E34)</f>
        <v/>
      </c>
      <c r="G34" s="16">
        <f>IFERROR(F34/E34,"")</f>
        <v/>
      </c>
      <c r="H34" s="13" t="n">
        <v>0</v>
      </c>
      <c r="I34" s="13">
        <f>IF($H34="","",IFERROR(IF(ISBLANK(INDIRECT("'"&amp;$Q$2&amp;"'!H"&amp;ROW())),"",INDIRECT("'"&amp;$Q$2&amp;"'!H"&amp;ROW())),""))</f>
        <v/>
      </c>
      <c r="J34" s="15">
        <f>IF(OR(H34="",I34=""),"",H34-I34)</f>
        <v/>
      </c>
      <c r="K34" s="16">
        <f>IFERROR(J34/I34,"")</f>
        <v/>
      </c>
      <c r="L34" s="13">
        <f>IFERROR(D34/C34,"")</f>
        <v/>
      </c>
      <c r="M34" s="13">
        <f>IFERROR(H34/D34*1000,"")</f>
        <v/>
      </c>
      <c r="N34" s="13" t="n">
        <v>6</v>
      </c>
      <c r="O34" s="15">
        <f>IFERROR(IF(OR(N34="",ISBLANK(INDIRECT("'"&amp;$Q$2&amp;"'!N"&amp;ROW()))),"",N34-INDIRECT("'"&amp;$Q$2&amp;"'!N"&amp;ROW())),"")</f>
        <v/>
      </c>
      <c r="P34" s="2" t="n"/>
      <c r="Q34" s="2" t="n"/>
      <c r="R34" s="2" t="n"/>
      <c r="S34" s="18">
        <f>IFERROR(IF(ISBLANK(INDIRECT("'"&amp;$Q$2&amp;"'!G"&amp;ROW())),"",INDIRECT("'"&amp;$Q$2&amp;"'!G"&amp;ROW())),"")</f>
        <v/>
      </c>
      <c r="T34" s="20">
        <f>IF(OR($G34="",$S34=""),"",$G34-$S34)</f>
        <v/>
      </c>
      <c r="U34" s="18">
        <f>IFERROR(IF(ISBLANK(INDIRECT("'"&amp;$Q$2&amp;"'!K"&amp;ROW())),"",INDIRECT("'"&amp;$Q$2&amp;"'!K"&amp;ROW())),"")</f>
        <v/>
      </c>
      <c r="V34" s="20">
        <f>IF(OR($K34="",$U34=""),"",$K34-$U34)</f>
        <v/>
      </c>
      <c r="W34" s="21">
        <f>IFERROR(IF(ISBLANK(INDIRECT("'"&amp;$Q$2&amp;"'!O"&amp;ROW())),"",INDIRECT("'"&amp;$Q$2&amp;"'!O"&amp;ROW())),"")</f>
        <v/>
      </c>
      <c r="X34" s="21">
        <f>IF(OR($O34="",$W34=""),"",$O34-$W34)</f>
        <v/>
      </c>
      <c r="Y34" s="2" t="n"/>
      <c r="Z34" s="2" t="n"/>
    </row>
    <row r="35" ht="14.25" customHeight="1" s="58">
      <c r="A35" s="12" t="inlineStr">
        <is>
          <t>Одноклассники</t>
        </is>
      </c>
      <c r="B35" s="12" t="inlineStr">
        <is>
          <t>Надым</t>
        </is>
      </c>
      <c r="C35" s="13" t="n">
        <v>96</v>
      </c>
      <c r="D35" s="13" t="n">
        <v>10237</v>
      </c>
      <c r="E35" s="13">
        <f>IF($D35="","",IFERROR(IF(ISBLANK(INDIRECT("'"&amp;$Q$2&amp;"'!D"&amp;ROW())),"",INDIRECT("'"&amp;$Q$2&amp;"'!D"&amp;ROW())),""))</f>
        <v/>
      </c>
      <c r="F35" s="15">
        <f>IF(OR(D35="",E35=""),"",D35-E35)</f>
        <v/>
      </c>
      <c r="G35" s="16">
        <f>IFERROR(F35/E35,"")</f>
        <v/>
      </c>
      <c r="H35" s="13" t="n">
        <v>126</v>
      </c>
      <c r="I35" s="13">
        <f>IF($H35="","",IFERROR(IF(ISBLANK(INDIRECT("'"&amp;$Q$2&amp;"'!H"&amp;ROW())),"",INDIRECT("'"&amp;$Q$2&amp;"'!H"&amp;ROW())),""))</f>
        <v/>
      </c>
      <c r="J35" s="15">
        <f>IF(OR(H35="",I35=""),"",H35-I35)</f>
        <v/>
      </c>
      <c r="K35" s="16">
        <f>IFERROR(J35/I35,"")</f>
        <v/>
      </c>
      <c r="L35" s="13">
        <f>IFERROR(D35/C35,"")</f>
        <v/>
      </c>
      <c r="M35" s="13">
        <f>IFERROR(H35/D35*1000,"")</f>
        <v/>
      </c>
      <c r="N35" s="13" t="n">
        <v>1937</v>
      </c>
      <c r="O35" s="15">
        <f>IFERROR(IF(OR(N35="",ISBLANK(INDIRECT("'"&amp;$Q$2&amp;"'!N"&amp;ROW()))),"",N35-INDIRECT("'"&amp;$Q$2&amp;"'!N"&amp;ROW())),"")</f>
        <v/>
      </c>
      <c r="P35" s="2" t="n"/>
      <c r="Q35" s="2" t="n"/>
      <c r="R35" s="2" t="n"/>
      <c r="S35" s="18">
        <f>IFERROR(IF(ISBLANK(INDIRECT("'"&amp;$Q$2&amp;"'!G"&amp;ROW())),"",INDIRECT("'"&amp;$Q$2&amp;"'!G"&amp;ROW())),"")</f>
        <v/>
      </c>
      <c r="T35" s="20">
        <f>IF(OR($G35="",$S35=""),"",$G35-$S35)</f>
        <v/>
      </c>
      <c r="U35" s="18">
        <f>IFERROR(IF(ISBLANK(INDIRECT("'"&amp;$Q$2&amp;"'!K"&amp;ROW())),"",INDIRECT("'"&amp;$Q$2&amp;"'!K"&amp;ROW())),"")</f>
        <v/>
      </c>
      <c r="V35" s="20">
        <f>IF(OR($K35="",$U35=""),"",$K35-$U35)</f>
        <v/>
      </c>
      <c r="W35" s="21">
        <f>IFERROR(IF(ISBLANK(INDIRECT("'"&amp;$Q$2&amp;"'!O"&amp;ROW())),"",INDIRECT("'"&amp;$Q$2&amp;"'!O"&amp;ROW())),"")</f>
        <v/>
      </c>
      <c r="X35" s="21">
        <f>IF(OR($O35="",$W35=""),"",$O35-$W35)</f>
        <v/>
      </c>
      <c r="Y35" s="2" t="n"/>
      <c r="Z35" s="2" t="n"/>
    </row>
    <row r="36" ht="14.25" customHeight="1" s="58">
      <c r="A36" s="12" t="inlineStr">
        <is>
          <t>Одноклассники</t>
        </is>
      </c>
      <c r="B36" s="12" t="inlineStr">
        <is>
          <t>Ноябрьск</t>
        </is>
      </c>
      <c r="C36" s="13" t="n">
        <v>90</v>
      </c>
      <c r="D36" s="13" t="n">
        <v>40666</v>
      </c>
      <c r="E36" s="13">
        <f>IF($D36="","",IFERROR(IF(ISBLANK(INDIRECT("'"&amp;$Q$2&amp;"'!D"&amp;ROW())),"",INDIRECT("'"&amp;$Q$2&amp;"'!D"&amp;ROW())),""))</f>
        <v/>
      </c>
      <c r="F36" s="15">
        <f>IF(OR(D36="",E36=""),"",D36-E36)</f>
        <v/>
      </c>
      <c r="G36" s="16">
        <f>IFERROR(F36/E36,"")</f>
        <v/>
      </c>
      <c r="H36" s="13" t="n">
        <v>944</v>
      </c>
      <c r="I36" s="13">
        <f>IF($H36="","",IFERROR(IF(ISBLANK(INDIRECT("'"&amp;$Q$2&amp;"'!H"&amp;ROW())),"",INDIRECT("'"&amp;$Q$2&amp;"'!H"&amp;ROW())),""))</f>
        <v/>
      </c>
      <c r="J36" s="15">
        <f>IF(OR(H36="",I36=""),"",H36-I36)</f>
        <v/>
      </c>
      <c r="K36" s="16">
        <f>IFERROR(J36/I36,"")</f>
        <v/>
      </c>
      <c r="L36" s="13">
        <f>IFERROR(D36/C36,"")</f>
        <v/>
      </c>
      <c r="M36" s="13">
        <f>IFERROR(H36/D36*1000,"")</f>
        <v/>
      </c>
      <c r="N36" s="13" t="n">
        <v>5881</v>
      </c>
      <c r="O36" s="15">
        <f>IFERROR(IF(OR(N36="",ISBLANK(INDIRECT("'"&amp;$Q$2&amp;"'!N"&amp;ROW()))),"",N36-INDIRECT("'"&amp;$Q$2&amp;"'!N"&amp;ROW())),"")</f>
        <v/>
      </c>
      <c r="P36" s="2" t="n"/>
      <c r="Q36" s="2" t="n"/>
      <c r="R36" s="2" t="n"/>
      <c r="S36" s="18">
        <f>IFERROR(IF(ISBLANK(INDIRECT("'"&amp;$Q$2&amp;"'!G"&amp;ROW())),"",INDIRECT("'"&amp;$Q$2&amp;"'!G"&amp;ROW())),"")</f>
        <v/>
      </c>
      <c r="T36" s="20">
        <f>IF(OR($G36="",$S36=""),"",$G36-$S36)</f>
        <v/>
      </c>
      <c r="U36" s="18">
        <f>IFERROR(IF(ISBLANK(INDIRECT("'"&amp;$Q$2&amp;"'!K"&amp;ROW())),"",INDIRECT("'"&amp;$Q$2&amp;"'!K"&amp;ROW())),"")</f>
        <v/>
      </c>
      <c r="V36" s="20">
        <f>IF(OR($K36="",$U36=""),"",$K36-$U36)</f>
        <v/>
      </c>
      <c r="W36" s="21">
        <f>IFERROR(IF(ISBLANK(INDIRECT("'"&amp;$Q$2&amp;"'!O"&amp;ROW())),"",INDIRECT("'"&amp;$Q$2&amp;"'!O"&amp;ROW())),"")</f>
        <v/>
      </c>
      <c r="X36" s="21">
        <f>IF(OR($O36="",$W36=""),"",$O36-$W36)</f>
        <v/>
      </c>
      <c r="Y36" s="2" t="n"/>
      <c r="Z36" s="2" t="n"/>
    </row>
    <row r="37" ht="14.25" customHeight="1" s="58">
      <c r="A37" s="12" t="inlineStr">
        <is>
          <t>Одноклассники</t>
        </is>
      </c>
      <c r="B37" s="12" t="inlineStr">
        <is>
          <t>Салехард</t>
        </is>
      </c>
      <c r="C37" s="13" t="n">
        <v>146</v>
      </c>
      <c r="D37" s="13" t="n">
        <v>7612</v>
      </c>
      <c r="E37" s="13">
        <f>IF($D37="","",IFERROR(IF(ISBLANK(INDIRECT("'"&amp;$Q$2&amp;"'!D"&amp;ROW())),"",INDIRECT("'"&amp;$Q$2&amp;"'!D"&amp;ROW())),""))</f>
        <v/>
      </c>
      <c r="F37" s="15">
        <f>IF(OR(D37="",E37=""),"",D37-E37)</f>
        <v/>
      </c>
      <c r="G37" s="16">
        <f>IFERROR(F37/E37,"")</f>
        <v/>
      </c>
      <c r="H37" s="13" t="n">
        <v>59</v>
      </c>
      <c r="I37" s="13">
        <f>IF($H37="","",IFERROR(IF(ISBLANK(INDIRECT("'"&amp;$Q$2&amp;"'!H"&amp;ROW())),"",INDIRECT("'"&amp;$Q$2&amp;"'!H"&amp;ROW())),""))</f>
        <v/>
      </c>
      <c r="J37" s="15">
        <f>IF(OR(H37="",I37=""),"",H37-I37)</f>
        <v/>
      </c>
      <c r="K37" s="16">
        <f>IFERROR(J37/I37,"")</f>
        <v/>
      </c>
      <c r="L37" s="13">
        <f>IFERROR(D37/C37,"")</f>
        <v/>
      </c>
      <c r="M37" s="13">
        <f>IFERROR(H37/D37*1000,"")</f>
        <v/>
      </c>
      <c r="N37" s="13" t="n">
        <v>3236</v>
      </c>
      <c r="O37" s="15">
        <f>IFERROR(IF(OR(N37="",ISBLANK(INDIRECT("'"&amp;$Q$2&amp;"'!N"&amp;ROW()))),"",N37-INDIRECT("'"&amp;$Q$2&amp;"'!N"&amp;ROW())),"")</f>
        <v/>
      </c>
      <c r="P37" s="2" t="n"/>
      <c r="Q37" s="2" t="n"/>
      <c r="R37" s="2" t="n"/>
      <c r="S37" s="18">
        <f>IFERROR(IF(ISBLANK(INDIRECT("'"&amp;$Q$2&amp;"'!G"&amp;ROW())),"",INDIRECT("'"&amp;$Q$2&amp;"'!G"&amp;ROW())),"")</f>
        <v/>
      </c>
      <c r="T37" s="20">
        <f>IF(OR($G37="",$S37=""),"",$G37-$S37)</f>
        <v/>
      </c>
      <c r="U37" s="18">
        <f>IFERROR(IF(ISBLANK(INDIRECT("'"&amp;$Q$2&amp;"'!K"&amp;ROW())),"",INDIRECT("'"&amp;$Q$2&amp;"'!K"&amp;ROW())),"")</f>
        <v/>
      </c>
      <c r="V37" s="20">
        <f>IF(OR($K37="",$U37=""),"",$K37-$U37)</f>
        <v/>
      </c>
      <c r="W37" s="21">
        <f>IFERROR(IF(ISBLANK(INDIRECT("'"&amp;$Q$2&amp;"'!O"&amp;ROW())),"",INDIRECT("'"&amp;$Q$2&amp;"'!O"&amp;ROW())),"")</f>
        <v/>
      </c>
      <c r="X37" s="21">
        <f>IF(OR($O37="",$W37=""),"",$O37-$W37)</f>
        <v/>
      </c>
      <c r="Y37" s="2" t="n"/>
      <c r="Z37" s="2" t="n"/>
    </row>
    <row r="38" ht="14.25" customHeight="1" s="58">
      <c r="A38" s="12" t="inlineStr">
        <is>
          <t>Одноклассники</t>
        </is>
      </c>
      <c r="B38" s="12" t="inlineStr">
        <is>
          <t>Приуралье</t>
        </is>
      </c>
      <c r="C38" s="13" t="n">
        <v>114</v>
      </c>
      <c r="D38" s="13" t="n">
        <v>8056</v>
      </c>
      <c r="E38" s="13">
        <f>IF($D38="","",IFERROR(IF(ISBLANK(INDIRECT("'"&amp;$Q$2&amp;"'!D"&amp;ROW())),"",INDIRECT("'"&amp;$Q$2&amp;"'!D"&amp;ROW())),""))</f>
        <v/>
      </c>
      <c r="F38" s="15">
        <f>IF(OR(D38="",E38=""),"",D38-E38)</f>
        <v/>
      </c>
      <c r="G38" s="16">
        <f>IFERROR(F38/E38,"")</f>
        <v/>
      </c>
      <c r="H38" s="13" t="n">
        <v>172</v>
      </c>
      <c r="I38" s="13">
        <f>IF($H38="","",IFERROR(IF(ISBLANK(INDIRECT("'"&amp;$Q$2&amp;"'!H"&amp;ROW())),"",INDIRECT("'"&amp;$Q$2&amp;"'!H"&amp;ROW())),""))</f>
        <v/>
      </c>
      <c r="J38" s="15">
        <f>IF(OR(H38="",I38=""),"",H38-I38)</f>
        <v/>
      </c>
      <c r="K38" s="16">
        <f>IFERROR(J38/I38,"")</f>
        <v/>
      </c>
      <c r="L38" s="13">
        <f>IFERROR(D38/C38,"")</f>
        <v/>
      </c>
      <c r="M38" s="13">
        <f>IFERROR(H38/D38*1000,"")</f>
        <v/>
      </c>
      <c r="N38" s="13" t="n">
        <v>1705</v>
      </c>
      <c r="O38" s="15">
        <f>IFERROR(IF(OR(N38="",ISBLANK(INDIRECT("'"&amp;$Q$2&amp;"'!N"&amp;ROW()))),"",N38-INDIRECT("'"&amp;$Q$2&amp;"'!N"&amp;ROW())),"")</f>
        <v/>
      </c>
      <c r="P38" s="2" t="n"/>
      <c r="Q38" s="2" t="n"/>
      <c r="R38" s="2" t="n"/>
      <c r="S38" s="18">
        <f>IFERROR(IF(ISBLANK(INDIRECT("'"&amp;$Q$2&amp;"'!G"&amp;ROW())),"",INDIRECT("'"&amp;$Q$2&amp;"'!G"&amp;ROW())),"")</f>
        <v/>
      </c>
      <c r="T38" s="20">
        <f>IF(OR($G38="",$S38=""),"",$G38-$S38)</f>
        <v/>
      </c>
      <c r="U38" s="18">
        <f>IFERROR(IF(ISBLANK(INDIRECT("'"&amp;$Q$2&amp;"'!K"&amp;ROW())),"",INDIRECT("'"&amp;$Q$2&amp;"'!K"&amp;ROW())),"")</f>
        <v/>
      </c>
      <c r="V38" s="20">
        <f>IF(OR($K38="",$U38=""),"",$K38-$U38)</f>
        <v/>
      </c>
      <c r="W38" s="21">
        <f>IFERROR(IF(ISBLANK(INDIRECT("'"&amp;$Q$2&amp;"'!O"&amp;ROW())),"",INDIRECT("'"&amp;$Q$2&amp;"'!O"&amp;ROW())),"")</f>
        <v/>
      </c>
      <c r="X38" s="21">
        <f>IF(OR($O38="",$W38=""),"",$O38-$W38)</f>
        <v/>
      </c>
      <c r="Y38" s="2" t="n"/>
      <c r="Z38" s="2" t="n"/>
    </row>
    <row r="39" ht="14.25" customHeight="1" s="58">
      <c r="A39" s="12" t="inlineStr">
        <is>
          <t>Одноклассники</t>
        </is>
      </c>
      <c r="B39" s="12" t="inlineStr">
        <is>
          <t>Лабытнанги</t>
        </is>
      </c>
      <c r="C39" s="13" t="n">
        <v>74</v>
      </c>
      <c r="D39" s="13" t="n">
        <v>1941</v>
      </c>
      <c r="E39" s="13">
        <f>IF($D39="","",IFERROR(IF(ISBLANK(INDIRECT("'"&amp;$Q$2&amp;"'!D"&amp;ROW())),"",INDIRECT("'"&amp;$Q$2&amp;"'!D"&amp;ROW())),""))</f>
        <v/>
      </c>
      <c r="F39" s="15">
        <f>IF(OR(D39="",E39=""),"",D39-E39)</f>
        <v/>
      </c>
      <c r="G39" s="16">
        <f>IFERROR(F39/E39,"")</f>
        <v/>
      </c>
      <c r="H39" s="13" t="n">
        <v>10</v>
      </c>
      <c r="I39" s="13">
        <f>IF($H39="","",IFERROR(IF(ISBLANK(INDIRECT("'"&amp;$Q$2&amp;"'!H"&amp;ROW())),"",INDIRECT("'"&amp;$Q$2&amp;"'!H"&amp;ROW())),""))</f>
        <v/>
      </c>
      <c r="J39" s="15">
        <f>IF(OR(H39="",I39=""),"",H39-I39)</f>
        <v/>
      </c>
      <c r="K39" s="16">
        <f>IFERROR(J39/I39,"")</f>
        <v/>
      </c>
      <c r="L39" s="13">
        <f>IFERROR(D39/C39,"")</f>
        <v/>
      </c>
      <c r="M39" s="13">
        <f>IFERROR(H39/D39*1000,"")</f>
        <v/>
      </c>
      <c r="N39" s="13" t="n">
        <v>224</v>
      </c>
      <c r="O39" s="15">
        <f>IFERROR(IF(OR(N39="",ISBLANK(INDIRECT("'"&amp;$Q$2&amp;"'!N"&amp;ROW()))),"",N39-INDIRECT("'"&amp;$Q$2&amp;"'!N"&amp;ROW())),"")</f>
        <v/>
      </c>
      <c r="P39" s="2" t="n"/>
      <c r="Q39" s="2" t="n"/>
      <c r="R39" s="2" t="n"/>
      <c r="S39" s="18">
        <f>IFERROR(IF(ISBLANK(INDIRECT("'"&amp;$Q$2&amp;"'!G"&amp;ROW())),"",INDIRECT("'"&amp;$Q$2&amp;"'!G"&amp;ROW())),"")</f>
        <v/>
      </c>
      <c r="T39" s="20">
        <f>IF(OR($G39="",$S39=""),"",$G39-$S39)</f>
        <v/>
      </c>
      <c r="U39" s="18">
        <f>IFERROR(IF(ISBLANK(INDIRECT("'"&amp;$Q$2&amp;"'!K"&amp;ROW())),"",INDIRECT("'"&amp;$Q$2&amp;"'!K"&amp;ROW())),"")</f>
        <v/>
      </c>
      <c r="V39" s="20">
        <f>IF(OR($K39="",$U39=""),"",$K39-$U39)</f>
        <v/>
      </c>
      <c r="W39" s="21">
        <f>IFERROR(IF(ISBLANK(INDIRECT("'"&amp;$Q$2&amp;"'!O"&amp;ROW())),"",INDIRECT("'"&amp;$Q$2&amp;"'!O"&amp;ROW())),"")</f>
        <v/>
      </c>
      <c r="X39" s="21">
        <f>IF(OR($O39="",$W39=""),"",$O39-$W39)</f>
        <v/>
      </c>
      <c r="Y39" s="2" t="n"/>
      <c r="Z39" s="2" t="n"/>
    </row>
    <row r="40" ht="14.25" customHeight="1" s="58">
      <c r="A40" s="12" t="inlineStr">
        <is>
          <t>Одноклассники</t>
        </is>
      </c>
      <c r="B40" s="12" t="inlineStr">
        <is>
          <t>Пуровский</t>
        </is>
      </c>
      <c r="C40" s="13" t="n">
        <v>50</v>
      </c>
      <c r="D40" s="13" t="n">
        <v>6191</v>
      </c>
      <c r="E40" s="13">
        <f>IF($D40="","",IFERROR(IF(ISBLANK(INDIRECT("'"&amp;$Q$2&amp;"'!D"&amp;ROW())),"",INDIRECT("'"&amp;$Q$2&amp;"'!D"&amp;ROW())),""))</f>
        <v/>
      </c>
      <c r="F40" s="15">
        <f>IF(OR(D40="",E40=""),"",D40-E40)</f>
        <v/>
      </c>
      <c r="G40" s="16">
        <f>IFERROR(F40/E40,"")</f>
        <v/>
      </c>
      <c r="H40" s="13" t="n">
        <v>94</v>
      </c>
      <c r="I40" s="13">
        <f>IF($H40="","",IFERROR(IF(ISBLANK(INDIRECT("'"&amp;$Q$2&amp;"'!H"&amp;ROW())),"",INDIRECT("'"&amp;$Q$2&amp;"'!H"&amp;ROW())),""))</f>
        <v/>
      </c>
      <c r="J40" s="15">
        <f>IF(OR(H40="",I40=""),"",H40-I40)</f>
        <v/>
      </c>
      <c r="K40" s="16">
        <f>IFERROR(J40/I40,"")</f>
        <v/>
      </c>
      <c r="L40" s="13">
        <f>IFERROR(D40/C40,"")</f>
        <v/>
      </c>
      <c r="M40" s="13">
        <f>IFERROR(H40/D40*1000,"")</f>
        <v/>
      </c>
      <c r="N40" s="13" t="n">
        <v>4957</v>
      </c>
      <c r="O40" s="15">
        <f>IFERROR(IF(OR(N40="",ISBLANK(INDIRECT("'"&amp;$Q$2&amp;"'!N"&amp;ROW()))),"",N40-INDIRECT("'"&amp;$Q$2&amp;"'!N"&amp;ROW())),"")</f>
        <v/>
      </c>
      <c r="P40" s="2" t="n"/>
      <c r="Q40" s="2" t="n"/>
      <c r="R40" s="2" t="n"/>
      <c r="S40" s="18">
        <f>IFERROR(IF(ISBLANK(INDIRECT("'"&amp;$Q$2&amp;"'!G"&amp;ROW())),"",INDIRECT("'"&amp;$Q$2&amp;"'!G"&amp;ROW())),"")</f>
        <v/>
      </c>
      <c r="T40" s="20">
        <f>IF(OR($G40="",$S40=""),"",$G40-$S40)</f>
        <v/>
      </c>
      <c r="U40" s="18">
        <f>IFERROR(IF(ISBLANK(INDIRECT("'"&amp;$Q$2&amp;"'!K"&amp;ROW())),"",INDIRECT("'"&amp;$Q$2&amp;"'!K"&amp;ROW())),"")</f>
        <v/>
      </c>
      <c r="V40" s="20">
        <f>IF(OR($K40="",$U40=""),"",$K40-$U40)</f>
        <v/>
      </c>
      <c r="W40" s="21">
        <f>IFERROR(IF(ISBLANK(INDIRECT("'"&amp;$Q$2&amp;"'!O"&amp;ROW())),"",INDIRECT("'"&amp;$Q$2&amp;"'!O"&amp;ROW())),"")</f>
        <v/>
      </c>
      <c r="X40" s="21">
        <f>IF(OR($O40="",$W40=""),"",$O40-$W40)</f>
        <v/>
      </c>
      <c r="Y40" s="2" t="n"/>
      <c r="Z40" s="2" t="n"/>
    </row>
    <row r="41" ht="14.25" customHeight="1" s="58">
      <c r="A41" s="12" t="inlineStr">
        <is>
          <t>Одноклассники</t>
        </is>
      </c>
      <c r="B41" s="12" t="inlineStr">
        <is>
          <t>Тазовский</t>
        </is>
      </c>
      <c r="C41" s="13" t="n">
        <v>58</v>
      </c>
      <c r="D41" s="13" t="n">
        <v>8540</v>
      </c>
      <c r="E41" s="13">
        <f>IF($D41="","",IFERROR(IF(ISBLANK(INDIRECT("'"&amp;$Q$2&amp;"'!D"&amp;ROW())),"",INDIRECT("'"&amp;$Q$2&amp;"'!D"&amp;ROW())),""))</f>
        <v/>
      </c>
      <c r="F41" s="15">
        <f>IF(OR(D41="",E41=""),"",D41-E41)</f>
        <v/>
      </c>
      <c r="G41" s="16">
        <f>IFERROR(F41/E41,"")</f>
        <v/>
      </c>
      <c r="H41" s="13" t="n">
        <v>111</v>
      </c>
      <c r="I41" s="13">
        <f>IF($H41="","",IFERROR(IF(ISBLANK(INDIRECT("'"&amp;$Q$2&amp;"'!H"&amp;ROW())),"",INDIRECT("'"&amp;$Q$2&amp;"'!H"&amp;ROW())),""))</f>
        <v/>
      </c>
      <c r="J41" s="15">
        <f>IF(OR(H41="",I41=""),"",H41-I41)</f>
        <v/>
      </c>
      <c r="K41" s="16">
        <f>IFERROR(J41/I41,"")</f>
        <v/>
      </c>
      <c r="L41" s="13">
        <f>IFERROR(D41/C41,"")</f>
        <v/>
      </c>
      <c r="M41" s="13">
        <f>IFERROR(H41/D41*1000,"")</f>
        <v/>
      </c>
      <c r="N41" s="13" t="n">
        <v>3530</v>
      </c>
      <c r="O41" s="15">
        <f>IFERROR(IF(OR(N41="",ISBLANK(INDIRECT("'"&amp;$Q$2&amp;"'!N"&amp;ROW()))),"",N41-INDIRECT("'"&amp;$Q$2&amp;"'!N"&amp;ROW())),"")</f>
        <v/>
      </c>
      <c r="P41" s="2" t="n"/>
      <c r="Q41" s="2" t="n"/>
      <c r="R41" s="2" t="n"/>
      <c r="S41" s="18">
        <f>IFERROR(IF(ISBLANK(INDIRECT("'"&amp;$Q$2&amp;"'!G"&amp;ROW())),"",INDIRECT("'"&amp;$Q$2&amp;"'!G"&amp;ROW())),"")</f>
        <v/>
      </c>
      <c r="T41" s="20">
        <f>IF(OR($G41="",$S41=""),"",$G41-$S41)</f>
        <v/>
      </c>
      <c r="U41" s="18">
        <f>IFERROR(IF(ISBLANK(INDIRECT("'"&amp;$Q$2&amp;"'!K"&amp;ROW())),"",INDIRECT("'"&amp;$Q$2&amp;"'!K"&amp;ROW())),"")</f>
        <v/>
      </c>
      <c r="V41" s="20">
        <f>IF(OR($K41="",$U41=""),"",$K41-$U41)</f>
        <v/>
      </c>
      <c r="W41" s="21">
        <f>IFERROR(IF(ISBLANK(INDIRECT("'"&amp;$Q$2&amp;"'!O"&amp;ROW())),"",INDIRECT("'"&amp;$Q$2&amp;"'!O"&amp;ROW())),"")</f>
        <v/>
      </c>
      <c r="X41" s="21">
        <f>IF(OR($O41="",$W41=""),"",$O41-$W41)</f>
        <v/>
      </c>
      <c r="Y41" s="2" t="n"/>
      <c r="Z41" s="2" t="n"/>
    </row>
    <row r="42" ht="14.25" customHeight="1" s="58">
      <c r="A42" s="12" t="inlineStr">
        <is>
          <t>Одноклассники</t>
        </is>
      </c>
      <c r="B42" s="12" t="inlineStr">
        <is>
          <t>Красноселькуп</t>
        </is>
      </c>
      <c r="C42" s="13" t="n">
        <v>31</v>
      </c>
      <c r="D42" s="13" t="n">
        <v>6081</v>
      </c>
      <c r="E42" s="13">
        <f>IF($D42="","",IFERROR(IF(ISBLANK(INDIRECT("'"&amp;$Q$2&amp;"'!D"&amp;ROW())),"",INDIRECT("'"&amp;$Q$2&amp;"'!D"&amp;ROW())),""))</f>
        <v/>
      </c>
      <c r="F42" s="15">
        <f>IF(OR(D42="",E42=""),"",D42-E42)</f>
        <v/>
      </c>
      <c r="G42" s="16">
        <f>IFERROR(F42/E42,"")</f>
        <v/>
      </c>
      <c r="H42" s="13" t="n">
        <v>248</v>
      </c>
      <c r="I42" s="13">
        <f>IF($H42="","",IFERROR(IF(ISBLANK(INDIRECT("'"&amp;$Q$2&amp;"'!H"&amp;ROW())),"",INDIRECT("'"&amp;$Q$2&amp;"'!H"&amp;ROW())),""))</f>
        <v/>
      </c>
      <c r="J42" s="15">
        <f>IF(OR(H42="",I42=""),"",H42-I42)</f>
        <v/>
      </c>
      <c r="K42" s="16">
        <f>IFERROR(J42/I42,"")</f>
        <v/>
      </c>
      <c r="L42" s="13">
        <f>IFERROR(D42/C42,"")</f>
        <v/>
      </c>
      <c r="M42" s="13">
        <f>IFERROR(H42/D42*1000,"")</f>
        <v/>
      </c>
      <c r="N42" s="13" t="n">
        <v>650</v>
      </c>
      <c r="O42" s="15">
        <f>IFERROR(IF(OR(N42="",ISBLANK(INDIRECT("'"&amp;$Q$2&amp;"'!N"&amp;ROW()))),"",N42-INDIRECT("'"&amp;$Q$2&amp;"'!N"&amp;ROW())),"")</f>
        <v/>
      </c>
      <c r="P42" s="2" t="n"/>
      <c r="Q42" s="2" t="n"/>
      <c r="R42" s="2" t="n"/>
      <c r="S42" s="18">
        <f>IFERROR(IF(ISBLANK(INDIRECT("'"&amp;$Q$2&amp;"'!G"&amp;ROW())),"",INDIRECT("'"&amp;$Q$2&amp;"'!G"&amp;ROW())),"")</f>
        <v/>
      </c>
      <c r="T42" s="20">
        <f>IF(OR($G42="",$S42=""),"",$G42-$S42)</f>
        <v/>
      </c>
      <c r="U42" s="18">
        <f>IFERROR(IF(ISBLANK(INDIRECT("'"&amp;$Q$2&amp;"'!K"&amp;ROW())),"",INDIRECT("'"&amp;$Q$2&amp;"'!K"&amp;ROW())),"")</f>
        <v/>
      </c>
      <c r="V42" s="20">
        <f>IF(OR($K42="",$U42=""),"",$K42-$U42)</f>
        <v/>
      </c>
      <c r="W42" s="21">
        <f>IFERROR(IF(ISBLANK(INDIRECT("'"&amp;$Q$2&amp;"'!O"&amp;ROW())),"",INDIRECT("'"&amp;$Q$2&amp;"'!O"&amp;ROW())),"")</f>
        <v/>
      </c>
      <c r="X42" s="21">
        <f>IF(OR($O42="",$W42=""),"",$O42-$W42)</f>
        <v/>
      </c>
      <c r="Y42" s="2" t="n"/>
      <c r="Z42" s="2" t="n"/>
    </row>
    <row r="43" ht="14.25" customHeight="1" s="58">
      <c r="A43" s="12" t="inlineStr">
        <is>
          <t>Одноклассники</t>
        </is>
      </c>
      <c r="B43" s="12" t="inlineStr">
        <is>
          <t>Ямальский</t>
        </is>
      </c>
      <c r="C43" s="13" t="n">
        <v>62</v>
      </c>
      <c r="D43" s="13" t="n">
        <v>5062</v>
      </c>
      <c r="E43" s="13">
        <f>IF($D43="","",IFERROR(IF(ISBLANK(INDIRECT("'"&amp;$Q$2&amp;"'!D"&amp;ROW())),"",INDIRECT("'"&amp;$Q$2&amp;"'!D"&amp;ROW())),""))</f>
        <v/>
      </c>
      <c r="F43" s="15">
        <f>IF(OR(D43="",E43=""),"",D43-E43)</f>
        <v/>
      </c>
      <c r="G43" s="16">
        <f>IFERROR(F43/E43,"")</f>
        <v/>
      </c>
      <c r="H43" s="13" t="n">
        <v>57</v>
      </c>
      <c r="I43" s="13">
        <f>IF($H43="","",IFERROR(IF(ISBLANK(INDIRECT("'"&amp;$Q$2&amp;"'!H"&amp;ROW())),"",INDIRECT("'"&amp;$Q$2&amp;"'!H"&amp;ROW())),""))</f>
        <v/>
      </c>
      <c r="J43" s="15">
        <f>IF(OR(H43="",I43=""),"",H43-I43)</f>
        <v/>
      </c>
      <c r="K43" s="16">
        <f>IFERROR(J43/I43,"")</f>
        <v/>
      </c>
      <c r="L43" s="13">
        <f>IFERROR(D43/C43,"")</f>
        <v/>
      </c>
      <c r="M43" s="13">
        <f>IFERROR(H43/D43*1000,"")</f>
        <v/>
      </c>
      <c r="N43" s="13" t="n">
        <v>1952</v>
      </c>
      <c r="O43" s="15">
        <f>IFERROR(IF(OR(N43="",ISBLANK(INDIRECT("'"&amp;$Q$2&amp;"'!N"&amp;ROW()))),"",N43-INDIRECT("'"&amp;$Q$2&amp;"'!N"&amp;ROW())),"")</f>
        <v/>
      </c>
      <c r="P43" s="2" t="n"/>
      <c r="Q43" s="2" t="n"/>
      <c r="R43" s="2" t="n"/>
      <c r="S43" s="18">
        <f>IFERROR(IF(ISBLANK(INDIRECT("'"&amp;$Q$2&amp;"'!G"&amp;ROW())),"",INDIRECT("'"&amp;$Q$2&amp;"'!G"&amp;ROW())),"")</f>
        <v/>
      </c>
      <c r="T43" s="20">
        <f>IF(OR($G43="",$S43=""),"",$G43-$S43)</f>
        <v/>
      </c>
      <c r="U43" s="18">
        <f>IFERROR(IF(ISBLANK(INDIRECT("'"&amp;$Q$2&amp;"'!K"&amp;ROW())),"",INDIRECT("'"&amp;$Q$2&amp;"'!K"&amp;ROW())),"")</f>
        <v/>
      </c>
      <c r="V43" s="20">
        <f>IF(OR($K43="",$U43=""),"",$K43-$U43)</f>
        <v/>
      </c>
      <c r="W43" s="21">
        <f>IFERROR(IF(ISBLANK(INDIRECT("'"&amp;$Q$2&amp;"'!O"&amp;ROW())),"",INDIRECT("'"&amp;$Q$2&amp;"'!O"&amp;ROW())),"")</f>
        <v/>
      </c>
      <c r="X43" s="21">
        <f>IF(OR($O43="",$W43=""),"",$O43-$W43)</f>
        <v/>
      </c>
      <c r="Y43" s="2" t="n"/>
      <c r="Z43" s="2" t="n"/>
    </row>
    <row r="44" ht="14.25" customHeight="1" s="58">
      <c r="A44" s="12" t="inlineStr">
        <is>
          <t>Одноклассники</t>
        </is>
      </c>
      <c r="B44" s="12" t="inlineStr">
        <is>
          <t>Шурышкарский</t>
        </is>
      </c>
      <c r="C44" s="13" t="n">
        <v>63</v>
      </c>
      <c r="D44" s="13" t="n">
        <v>22611</v>
      </c>
      <c r="E44" s="13">
        <f>IF($D44="","",IFERROR(IF(ISBLANK(INDIRECT("'"&amp;$Q$2&amp;"'!D"&amp;ROW())),"",INDIRECT("'"&amp;$Q$2&amp;"'!D"&amp;ROW())),""))</f>
        <v/>
      </c>
      <c r="F44" s="15">
        <f>IF(OR(D44="",E44=""),"",D44-E44)</f>
        <v/>
      </c>
      <c r="G44" s="16">
        <f>IFERROR(F44/E44,"")</f>
        <v/>
      </c>
      <c r="H44" s="13" t="n">
        <v>568</v>
      </c>
      <c r="I44" s="13">
        <f>IF($H44="","",IFERROR(IF(ISBLANK(INDIRECT("'"&amp;$Q$2&amp;"'!H"&amp;ROW())),"",INDIRECT("'"&amp;$Q$2&amp;"'!H"&amp;ROW())),""))</f>
        <v/>
      </c>
      <c r="J44" s="15">
        <f>IF(OR(H44="",I44=""),"",H44-I44)</f>
        <v/>
      </c>
      <c r="K44" s="16">
        <f>IFERROR(J44/I44,"")</f>
        <v/>
      </c>
      <c r="L44" s="13">
        <f>IFERROR(D44/C44,"")</f>
        <v/>
      </c>
      <c r="M44" s="13">
        <f>IFERROR(H44/D44*1000,"")</f>
        <v/>
      </c>
      <c r="N44" s="13" t="n">
        <v>4890</v>
      </c>
      <c r="O44" s="15">
        <f>IFERROR(IF(OR(N44="",ISBLANK(INDIRECT("'"&amp;$Q$2&amp;"'!N"&amp;ROW()))),"",N44-INDIRECT("'"&amp;$Q$2&amp;"'!N"&amp;ROW())),"")</f>
        <v/>
      </c>
      <c r="P44" s="2" t="n"/>
      <c r="Q44" s="2" t="n"/>
      <c r="R44" s="2" t="n"/>
      <c r="S44" s="18">
        <f>IFERROR(IF(ISBLANK(INDIRECT("'"&amp;$Q$2&amp;"'!G"&amp;ROW())),"",INDIRECT("'"&amp;$Q$2&amp;"'!G"&amp;ROW())),"")</f>
        <v/>
      </c>
      <c r="T44" s="20">
        <f>IF(OR($G44="",$S44=""),"",$G44-$S44)</f>
        <v/>
      </c>
      <c r="U44" s="18">
        <f>IFERROR(IF(ISBLANK(INDIRECT("'"&amp;$Q$2&amp;"'!K"&amp;ROW())),"",INDIRECT("'"&amp;$Q$2&amp;"'!K"&amp;ROW())),"")</f>
        <v/>
      </c>
      <c r="V44" s="20">
        <f>IF(OR($K44="",$U44=""),"",$K44-$U44)</f>
        <v/>
      </c>
      <c r="W44" s="21">
        <f>IFERROR(IF(ISBLANK(INDIRECT("'"&amp;$Q$2&amp;"'!O"&amp;ROW())),"",INDIRECT("'"&amp;$Q$2&amp;"'!O"&amp;ROW())),"")</f>
        <v/>
      </c>
      <c r="X44" s="21">
        <f>IF(OR($O44="",$W44=""),"",$O44-$W44)</f>
        <v/>
      </c>
      <c r="Y44" s="2" t="n"/>
      <c r="Z44" s="2" t="n"/>
    </row>
    <row r="45" ht="14.25" customHeight="1" s="58">
      <c r="A45" s="12" t="inlineStr">
        <is>
          <t>Одноклассники</t>
        </is>
      </c>
      <c r="B45" s="12" t="inlineStr">
        <is>
          <t>Муравленко</t>
        </is>
      </c>
      <c r="C45" s="13" t="n">
        <v>62</v>
      </c>
      <c r="D45" s="13" t="n">
        <v>20281</v>
      </c>
      <c r="E45" s="13">
        <f>IF($D45="","",IFERROR(IF(ISBLANK(INDIRECT("'"&amp;$Q$2&amp;"'!D"&amp;ROW())),"",INDIRECT("'"&amp;$Q$2&amp;"'!D"&amp;ROW())),""))</f>
        <v/>
      </c>
      <c r="F45" s="15">
        <f>IF(OR(D45="",E45=""),"",D45-E45)</f>
        <v/>
      </c>
      <c r="G45" s="16">
        <f>IFERROR(F45/E45,"")</f>
        <v/>
      </c>
      <c r="H45" s="13" t="n">
        <v>369</v>
      </c>
      <c r="I45" s="13">
        <f>IF($H45="","",IFERROR(IF(ISBLANK(INDIRECT("'"&amp;$Q$2&amp;"'!H"&amp;ROW())),"",INDIRECT("'"&amp;$Q$2&amp;"'!H"&amp;ROW())),""))</f>
        <v/>
      </c>
      <c r="J45" s="15">
        <f>IF(OR(H45="",I45=""),"",H45-I45)</f>
        <v/>
      </c>
      <c r="K45" s="16">
        <f>IFERROR(J45/I45,"")</f>
        <v/>
      </c>
      <c r="L45" s="13">
        <f>IFERROR(D45/C45,"")</f>
        <v/>
      </c>
      <c r="M45" s="13">
        <f>IFERROR(H45/D45*1000,"")</f>
        <v/>
      </c>
      <c r="N45" s="13" t="n">
        <v>3743</v>
      </c>
      <c r="O45" s="15">
        <f>IFERROR(IF(OR(N45="",ISBLANK(INDIRECT("'"&amp;$Q$2&amp;"'!N"&amp;ROW()))),"",N45-INDIRECT("'"&amp;$Q$2&amp;"'!N"&amp;ROW())),"")</f>
        <v/>
      </c>
      <c r="P45" s="2" t="n"/>
      <c r="Q45" s="2" t="n"/>
      <c r="R45" s="2" t="n"/>
      <c r="S45" s="18">
        <f>IFERROR(IF(ISBLANK(INDIRECT("'"&amp;$Q$2&amp;"'!G"&amp;ROW())),"",INDIRECT("'"&amp;$Q$2&amp;"'!G"&amp;ROW())),"")</f>
        <v/>
      </c>
      <c r="T45" s="20">
        <f>IF(OR($G45="",$S45=""),"",$G45-$S45)</f>
        <v/>
      </c>
      <c r="U45" s="18">
        <f>IFERROR(IF(ISBLANK(INDIRECT("'"&amp;$Q$2&amp;"'!K"&amp;ROW())),"",INDIRECT("'"&amp;$Q$2&amp;"'!K"&amp;ROW())),"")</f>
        <v/>
      </c>
      <c r="V45" s="20">
        <f>IF(OR($K45="",$U45=""),"",$K45-$U45)</f>
        <v/>
      </c>
      <c r="W45" s="21">
        <f>IFERROR(IF(ISBLANK(INDIRECT("'"&amp;$Q$2&amp;"'!O"&amp;ROW())),"",INDIRECT("'"&amp;$Q$2&amp;"'!O"&amp;ROW())),"")</f>
        <v/>
      </c>
      <c r="X45" s="21">
        <f>IF(OR($O45="",$W45=""),"",$O45-$W45)</f>
        <v/>
      </c>
      <c r="Y45" s="2" t="n"/>
      <c r="Z45" s="2" t="n"/>
    </row>
    <row r="46" ht="14.25" customHeight="1" s="58">
      <c r="A46" s="12" t="inlineStr">
        <is>
          <t>Одноклассники</t>
        </is>
      </c>
      <c r="B46" s="12" t="inlineStr">
        <is>
          <t>Губкинский</t>
        </is>
      </c>
      <c r="C46" s="13" t="n">
        <v>62</v>
      </c>
      <c r="D46" s="13" t="n">
        <v>19516</v>
      </c>
      <c r="E46" s="13">
        <f>IF($D46="","",IFERROR(IF(ISBLANK(INDIRECT("'"&amp;$Q$2&amp;"'!D"&amp;ROW())),"",INDIRECT("'"&amp;$Q$2&amp;"'!D"&amp;ROW())),""))</f>
        <v/>
      </c>
      <c r="F46" s="15">
        <f>IF(OR(D46="",E46=""),"",D46-E46)</f>
        <v/>
      </c>
      <c r="G46" s="16">
        <f>IFERROR(F46/E46,"")</f>
        <v/>
      </c>
      <c r="H46" s="13" t="n">
        <v>345</v>
      </c>
      <c r="I46" s="13">
        <f>IF($H46="","",IFERROR(IF(ISBLANK(INDIRECT("'"&amp;$Q$2&amp;"'!H"&amp;ROW())),"",INDIRECT("'"&amp;$Q$2&amp;"'!H"&amp;ROW())),""))</f>
        <v/>
      </c>
      <c r="J46" s="15">
        <f>IF(OR(H46="",I46=""),"",H46-I46)</f>
        <v/>
      </c>
      <c r="K46" s="16">
        <f>IFERROR(J46/I46,"")</f>
        <v/>
      </c>
      <c r="L46" s="13">
        <f>IFERROR(D46/C46,"")</f>
        <v/>
      </c>
      <c r="M46" s="13">
        <f>IFERROR(H46/D46*1000,"")</f>
        <v/>
      </c>
      <c r="N46" s="13" t="n">
        <v>4504</v>
      </c>
      <c r="O46" s="15">
        <f>IFERROR(IF(OR(N46="",ISBLANK(INDIRECT("'"&amp;$Q$2&amp;"'!N"&amp;ROW()))),"",N46-INDIRECT("'"&amp;$Q$2&amp;"'!N"&amp;ROW())),"")</f>
        <v/>
      </c>
      <c r="P46" s="2" t="n"/>
      <c r="Q46" s="2" t="n"/>
      <c r="R46" s="2" t="n"/>
      <c r="S46" s="18">
        <f>IFERROR(IF(ISBLANK(INDIRECT("'"&amp;$Q$2&amp;"'!G"&amp;ROW())),"",INDIRECT("'"&amp;$Q$2&amp;"'!G"&amp;ROW())),"")</f>
        <v/>
      </c>
      <c r="T46" s="20">
        <f>IF(OR($G46="",$S46=""),"",$G46-$S46)</f>
        <v/>
      </c>
      <c r="U46" s="18">
        <f>IFERROR(IF(ISBLANK(INDIRECT("'"&amp;$Q$2&amp;"'!K"&amp;ROW())),"",INDIRECT("'"&amp;$Q$2&amp;"'!K"&amp;ROW())),"")</f>
        <v/>
      </c>
      <c r="V46" s="20">
        <f>IF(OR($K46="",$U46=""),"",$K46-$U46)</f>
        <v/>
      </c>
      <c r="W46" s="21">
        <f>IFERROR(IF(ISBLANK(INDIRECT("'"&amp;$Q$2&amp;"'!O"&amp;ROW())),"",INDIRECT("'"&amp;$Q$2&amp;"'!O"&amp;ROW())),"")</f>
        <v/>
      </c>
      <c r="X46" s="21">
        <f>IF(OR($O46="",$W46=""),"",$O46-$W46)</f>
        <v/>
      </c>
      <c r="Y46" s="2" t="n"/>
      <c r="Z46" s="2" t="n"/>
    </row>
    <row r="47" ht="14.25" customHeight="1" s="58">
      <c r="A47" s="12" t="inlineStr">
        <is>
          <t>Одноклассники</t>
        </is>
      </c>
      <c r="B47" s="12" t="inlineStr">
        <is>
          <t>Нярьяна Нгэрм</t>
        </is>
      </c>
      <c r="C47" s="13" t="n">
        <v>6</v>
      </c>
      <c r="D47" s="13" t="n">
        <v>666</v>
      </c>
      <c r="E47" s="13">
        <f>IF($D47="","",IFERROR(IF(ISBLANK(INDIRECT("'"&amp;$Q$2&amp;"'!D"&amp;ROW())),"",INDIRECT("'"&amp;$Q$2&amp;"'!D"&amp;ROW())),""))</f>
        <v/>
      </c>
      <c r="F47" s="15">
        <f>IF(OR(D47="",E47=""),"",D47-E47)</f>
        <v/>
      </c>
      <c r="G47" s="16">
        <f>IFERROR(F47/E47,"")</f>
        <v/>
      </c>
      <c r="H47" s="13" t="n">
        <v>28</v>
      </c>
      <c r="I47" s="13">
        <f>IF($H47="","",IFERROR(IF(ISBLANK(INDIRECT("'"&amp;$Q$2&amp;"'!H"&amp;ROW())),"",INDIRECT("'"&amp;$Q$2&amp;"'!H"&amp;ROW())),""))</f>
        <v/>
      </c>
      <c r="J47" s="15">
        <f>IF(OR(H47="",I47=""),"",H47-I47)</f>
        <v/>
      </c>
      <c r="K47" s="16">
        <f>IFERROR(J47/I47,"")</f>
        <v/>
      </c>
      <c r="L47" s="13">
        <f>IFERROR(D47/C47,"")</f>
        <v/>
      </c>
      <c r="M47" s="13">
        <f>IFERROR(H47/D47*1000,"")</f>
        <v/>
      </c>
      <c r="N47" s="13" t="n">
        <v>854</v>
      </c>
      <c r="O47" s="15">
        <f>IFERROR(IF(OR(N47="",ISBLANK(INDIRECT("'"&amp;$Q$2&amp;"'!N"&amp;ROW()))),"",N47-INDIRECT("'"&amp;$Q$2&amp;"'!N"&amp;ROW())),"")</f>
        <v/>
      </c>
      <c r="P47" s="2" t="n"/>
      <c r="Q47" s="2" t="n"/>
      <c r="R47" s="2" t="n"/>
      <c r="S47" s="18">
        <f>IFERROR(IF(ISBLANK(INDIRECT("'"&amp;$Q$2&amp;"'!G"&amp;ROW())),"",INDIRECT("'"&amp;$Q$2&amp;"'!G"&amp;ROW())),"")</f>
        <v/>
      </c>
      <c r="T47" s="20">
        <f>IF(OR($G47="",$S47=""),"",$G47-$S47)</f>
        <v/>
      </c>
      <c r="U47" s="18">
        <f>IFERROR(IF(ISBLANK(INDIRECT("'"&amp;$Q$2&amp;"'!K"&amp;ROW())),"",INDIRECT("'"&amp;$Q$2&amp;"'!K"&amp;ROW())),"")</f>
        <v/>
      </c>
      <c r="V47" s="20">
        <f>IF(OR($K47="",$U47=""),"",$K47-$U47)</f>
        <v/>
      </c>
      <c r="W47" s="21">
        <f>IFERROR(IF(ISBLANK(INDIRECT("'"&amp;$Q$2&amp;"'!O"&amp;ROW())),"",INDIRECT("'"&amp;$Q$2&amp;"'!O"&amp;ROW())),"")</f>
        <v/>
      </c>
      <c r="X47" s="21">
        <f>IF(OR($O47="",$W47=""),"",$O47-$W47)</f>
        <v/>
      </c>
      <c r="Y47" s="2" t="n"/>
      <c r="Z47" s="2" t="n"/>
    </row>
    <row r="48" ht="14.25" customHeight="1" s="58">
      <c r="A48" s="12" t="inlineStr">
        <is>
          <t>Одноклассники</t>
        </is>
      </c>
      <c r="B48" s="12" t="inlineStr">
        <is>
          <t>Лух Авт</t>
        </is>
      </c>
      <c r="C48" s="13" t="n">
        <v>7</v>
      </c>
      <c r="D48" s="13" t="n">
        <v>2932</v>
      </c>
      <c r="E48" s="13">
        <f>IF($D48="","",IFERROR(IF(ISBLANK(INDIRECT("'"&amp;$Q$2&amp;"'!D"&amp;ROW())),"",INDIRECT("'"&amp;$Q$2&amp;"'!D"&amp;ROW())),""))</f>
        <v/>
      </c>
      <c r="F48" s="15">
        <f>IF(OR(D48="",E48=""),"",D48-E48)</f>
        <v/>
      </c>
      <c r="G48" s="16">
        <f>IFERROR(F48/E48,"")</f>
        <v/>
      </c>
      <c r="H48" s="13" t="n">
        <v>206</v>
      </c>
      <c r="I48" s="13">
        <f>IF($H48="","",IFERROR(IF(ISBLANK(INDIRECT("'"&amp;$Q$2&amp;"'!H"&amp;ROW())),"",INDIRECT("'"&amp;$Q$2&amp;"'!H"&amp;ROW())),""))</f>
        <v/>
      </c>
      <c r="J48" s="15">
        <f>IF(OR(H48="",I48=""),"",H48-I48)</f>
        <v/>
      </c>
      <c r="K48" s="16">
        <f>IFERROR(J48/I48,"")</f>
        <v/>
      </c>
      <c r="L48" s="13">
        <f>IFERROR(D48/C48,"")</f>
        <v/>
      </c>
      <c r="M48" s="13">
        <f>IFERROR(H48/D48*1000,"")</f>
        <v/>
      </c>
      <c r="N48" s="13" t="n">
        <v>859</v>
      </c>
      <c r="O48" s="15">
        <f>IFERROR(IF(OR(N48="",ISBLANK(INDIRECT("'"&amp;$Q$2&amp;"'!N"&amp;ROW()))),"",N48-INDIRECT("'"&amp;$Q$2&amp;"'!N"&amp;ROW())),"")</f>
        <v/>
      </c>
      <c r="P48" s="2" t="n"/>
      <c r="Q48" s="2" t="n"/>
      <c r="R48" s="2" t="n"/>
      <c r="S48" s="18">
        <f>IFERROR(IF(ISBLANK(INDIRECT("'"&amp;$Q$2&amp;"'!G"&amp;ROW())),"",INDIRECT("'"&amp;$Q$2&amp;"'!G"&amp;ROW())),"")</f>
        <v/>
      </c>
      <c r="T48" s="20">
        <f>IF(OR($G48="",$S48=""),"",$G48-$S48)</f>
        <v/>
      </c>
      <c r="U48" s="18">
        <f>IFERROR(IF(ISBLANK(INDIRECT("'"&amp;$Q$2&amp;"'!K"&amp;ROW())),"",INDIRECT("'"&amp;$Q$2&amp;"'!K"&amp;ROW())),"")</f>
        <v/>
      </c>
      <c r="V48" s="20">
        <f>IF(OR($K48="",$U48=""),"",$K48-$U48)</f>
        <v/>
      </c>
      <c r="W48" s="21">
        <f>IFERROR(IF(ISBLANK(INDIRECT("'"&amp;$Q$2&amp;"'!O"&amp;ROW())),"",INDIRECT("'"&amp;$Q$2&amp;"'!O"&amp;ROW())),"")</f>
        <v/>
      </c>
      <c r="X48" s="21">
        <f>IF(OR($O48="",$W48=""),"",$O48-$W48)</f>
        <v/>
      </c>
      <c r="Y48" s="2" t="n"/>
      <c r="Z48" s="2" t="n"/>
    </row>
    <row r="49" ht="14.25" customHeight="1" s="58">
      <c r="A49" s="12" t="inlineStr">
        <is>
          <t>Одноклассники</t>
        </is>
      </c>
      <c r="B49" s="12" t="inlineStr">
        <is>
          <t>МК-Ямал</t>
        </is>
      </c>
      <c r="C49" s="13" t="n">
        <v>230</v>
      </c>
      <c r="D49" s="13" t="n">
        <v>6330</v>
      </c>
      <c r="E49" s="13">
        <f>IF($D49="","",IFERROR(IF(ISBLANK(INDIRECT("'"&amp;$Q$2&amp;"'!D"&amp;ROW())),"",INDIRECT("'"&amp;$Q$2&amp;"'!D"&amp;ROW())),""))</f>
        <v/>
      </c>
      <c r="F49" s="15">
        <f>IF(OR(D49="",E49=""),"",D49-E49)</f>
        <v/>
      </c>
      <c r="G49" s="16">
        <f>IFERROR(F49/E49,"")</f>
        <v/>
      </c>
      <c r="H49" s="13" t="n">
        <v>2</v>
      </c>
      <c r="I49" s="13">
        <f>IF($H49="","",IFERROR(IF(ISBLANK(INDIRECT("'"&amp;$Q$2&amp;"'!H"&amp;ROW())),"",INDIRECT("'"&amp;$Q$2&amp;"'!H"&amp;ROW())),""))</f>
        <v/>
      </c>
      <c r="J49" s="15">
        <f>IF(OR(H49="",I49=""),"",H49-I49)</f>
        <v/>
      </c>
      <c r="K49" s="16">
        <f>IFERROR(J49/I49,"")</f>
        <v/>
      </c>
      <c r="L49" s="13">
        <f>IFERROR(D49/C49,"")</f>
        <v/>
      </c>
      <c r="M49" s="13">
        <f>IFERROR(H49/D49*1000,"")</f>
        <v/>
      </c>
      <c r="N49" s="13" t="n">
        <v>4817</v>
      </c>
      <c r="O49" s="15">
        <f>IFERROR(IF(OR(N49="",ISBLANK(INDIRECT("'"&amp;$Q$2&amp;"'!N"&amp;ROW()))),"",N49-INDIRECT("'"&amp;$Q$2&amp;"'!N"&amp;ROW())),"")</f>
        <v/>
      </c>
      <c r="P49" s="2" t="n"/>
      <c r="Q49" s="2" t="n"/>
      <c r="R49" s="2" t="n"/>
      <c r="S49" s="18">
        <f>IFERROR(IF(ISBLANK(INDIRECT("'"&amp;$Q$2&amp;"'!G"&amp;ROW())),"",INDIRECT("'"&amp;$Q$2&amp;"'!G"&amp;ROW())),"")</f>
        <v/>
      </c>
      <c r="T49" s="20">
        <f>IF(OR($G49="",$S49=""),"",$G49-$S49)</f>
        <v/>
      </c>
      <c r="U49" s="18">
        <f>IFERROR(IF(ISBLANK(INDIRECT("'"&amp;$Q$2&amp;"'!K"&amp;ROW())),"",INDIRECT("'"&amp;$Q$2&amp;"'!K"&amp;ROW())),"")</f>
        <v/>
      </c>
      <c r="V49" s="20">
        <f>IF(OR($K49="",$U49=""),"",$K49-$U49)</f>
        <v/>
      </c>
      <c r="W49" s="21">
        <f>IFERROR(IF(ISBLANK(INDIRECT("'"&amp;$Q$2&amp;"'!O"&amp;ROW())),"",INDIRECT("'"&amp;$Q$2&amp;"'!O"&amp;ROW())),"")</f>
        <v/>
      </c>
      <c r="X49" s="21">
        <f>IF(OR($O49="",$W49=""),"",$O49-$W49)</f>
        <v/>
      </c>
      <c r="Y49" s="2" t="n"/>
      <c r="Z49" s="2" t="n"/>
    </row>
    <row r="50" ht="14.25" customHeight="1" s="58">
      <c r="A50" s="12" t="inlineStr">
        <is>
          <t>Одноклассники</t>
        </is>
      </c>
      <c r="B50" s="12" t="inlineStr">
        <is>
          <t>Морошка</t>
        </is>
      </c>
      <c r="C50" s="13" t="n">
        <v>5</v>
      </c>
      <c r="D50" s="13" t="n">
        <v>81</v>
      </c>
      <c r="E50" s="13">
        <f>IF($D50="","",IFERROR(IF(ISBLANK(INDIRECT("'"&amp;$Q$2&amp;"'!D"&amp;ROW())),"",INDIRECT("'"&amp;$Q$2&amp;"'!D"&amp;ROW())),""))</f>
        <v/>
      </c>
      <c r="F50" s="15">
        <f>IF(OR(D50="",E50=""),"",D50-E50)</f>
        <v/>
      </c>
      <c r="G50" s="16">
        <f>IFERROR(F50/E50,"")</f>
        <v/>
      </c>
      <c r="H50" s="13" t="n">
        <v>4</v>
      </c>
      <c r="I50" s="13">
        <f>IF($H50="","",IFERROR(IF(ISBLANK(INDIRECT("'"&amp;$Q$2&amp;"'!H"&amp;ROW())),"",INDIRECT("'"&amp;$Q$2&amp;"'!H"&amp;ROW())),""))</f>
        <v/>
      </c>
      <c r="J50" s="15">
        <f>IF(OR(H50="",I50=""),"",H50-I50)</f>
        <v/>
      </c>
      <c r="K50" s="16">
        <f>IFERROR(J50/I50,"")</f>
        <v/>
      </c>
      <c r="L50" s="13">
        <f>IFERROR(D50/C50,"")</f>
        <v/>
      </c>
      <c r="M50" s="13">
        <f>IFERROR(H50/D50*1000,"")</f>
        <v/>
      </c>
      <c r="N50" s="13" t="n">
        <v>42</v>
      </c>
      <c r="O50" s="15">
        <f>IFERROR(IF(OR(N50="",ISBLANK(INDIRECT("'"&amp;$Q$2&amp;"'!N"&amp;ROW()))),"",N50-INDIRECT("'"&amp;$Q$2&amp;"'!N"&amp;ROW())),"")</f>
        <v/>
      </c>
      <c r="P50" s="2" t="n"/>
      <c r="Q50" s="2" t="n"/>
      <c r="R50" s="2" t="n"/>
      <c r="S50" s="18">
        <f>IFERROR(IF(ISBLANK(INDIRECT("'"&amp;$Q$2&amp;"'!G"&amp;ROW())),"",INDIRECT("'"&amp;$Q$2&amp;"'!G"&amp;ROW())),"")</f>
        <v/>
      </c>
      <c r="T50" s="20">
        <f>IF(OR($G50="",$S50=""),"",$G50-$S50)</f>
        <v/>
      </c>
      <c r="U50" s="18">
        <f>IFERROR(IF(ISBLANK(INDIRECT("'"&amp;$Q$2&amp;"'!K"&amp;ROW())),"",INDIRECT("'"&amp;$Q$2&amp;"'!K"&amp;ROW())),"")</f>
        <v/>
      </c>
      <c r="V50" s="20">
        <f>IF(OR($K50="",$U50=""),"",$K50-$U50)</f>
        <v/>
      </c>
      <c r="W50" s="21">
        <f>IFERROR(IF(ISBLANK(INDIRECT("'"&amp;$Q$2&amp;"'!O"&amp;ROW())),"",INDIRECT("'"&amp;$Q$2&amp;"'!O"&amp;ROW())),"")</f>
        <v/>
      </c>
      <c r="X50" s="21">
        <f>IF(OR($O50="",$W50=""),"",$O50-$W50)</f>
        <v/>
      </c>
      <c r="Y50" s="2" t="n"/>
      <c r="Z50" s="2" t="n"/>
    </row>
    <row r="51" ht="14.25" customHeight="1" s="58">
      <c r="A51" s="25" t="n"/>
      <c r="B51" s="25" t="inlineStr">
        <is>
          <t>Итого Одноклассники</t>
        </is>
      </c>
      <c r="C51" s="26">
        <f>SUM(C31:C50)</f>
        <v/>
      </c>
      <c r="D51" s="26">
        <f>SUM(D31:D50)</f>
        <v/>
      </c>
      <c r="E51" s="26">
        <f>SUM(E31:E50)</f>
        <v/>
      </c>
      <c r="F51" s="27">
        <f>SUM(F31:F50)</f>
        <v/>
      </c>
      <c r="G51" s="28">
        <f>IF(C51=0,"",IFERROR(F51/E51,""))</f>
        <v/>
      </c>
      <c r="H51" s="26">
        <f>SUM(H31:H50)</f>
        <v/>
      </c>
      <c r="I51" s="26">
        <f>SUM(I31:I50)</f>
        <v/>
      </c>
      <c r="J51" s="27">
        <f>SUM(J31:J50)</f>
        <v/>
      </c>
      <c r="K51" s="28">
        <f>IF(C51=0,"",IFERROR(J51/I51,""))</f>
        <v/>
      </c>
      <c r="L51" s="26">
        <f>IFERROR(D51/C51,"")</f>
        <v/>
      </c>
      <c r="M51" s="26">
        <f>IFERROR(H51/D51*1000,"")</f>
        <v/>
      </c>
      <c r="N51" s="26">
        <f>SUM(N31:N50)</f>
        <v/>
      </c>
      <c r="O51" s="27">
        <f>SUM(O31:O50)</f>
        <v/>
      </c>
      <c r="P51" s="2" t="n"/>
      <c r="Q51" s="2" t="n"/>
      <c r="R51" s="2" t="n"/>
      <c r="S51" s="29">
        <f>IFERROR(IF(ISBLANK(INDIRECT("'"&amp;$Q$2&amp;"'!G"&amp;ROW())),"",INDIRECT("'"&amp;$Q$2&amp;"'!G"&amp;ROW())),"")</f>
        <v/>
      </c>
      <c r="T51" s="30">
        <f>IF(OR($G51="",$S51=""),"",$G51-$S51)</f>
        <v/>
      </c>
      <c r="U51" s="29">
        <f>IFERROR(IF(ISBLANK(INDIRECT("'"&amp;$Q$2&amp;"'!K"&amp;ROW())),"",INDIRECT("'"&amp;$Q$2&amp;"'!K"&amp;ROW())),"")</f>
        <v/>
      </c>
      <c r="V51" s="30">
        <f>IF(OR($K51="",$U51=""),"",$K51-$U51)</f>
        <v/>
      </c>
      <c r="W51" s="31">
        <f>IFERROR(IF(ISBLANK(INDIRECT("'"&amp;$Q$2&amp;"'!O"&amp;ROW())),"",INDIRECT("'"&amp;$Q$2&amp;"'!O"&amp;ROW())),"")</f>
        <v/>
      </c>
      <c r="X51" s="31">
        <f>IF(OR(C51=0,$O51="",$W51=""),"",$O51-$W51)</f>
        <v/>
      </c>
      <c r="Y51" s="2" t="n"/>
      <c r="Z51" s="2" t="n"/>
    </row>
    <row r="52" ht="14.25" customHeight="1" s="58">
      <c r="A52" s="12" t="inlineStr">
        <is>
          <t>Telegram</t>
        </is>
      </c>
      <c r="B52" s="12" t="inlineStr">
        <is>
          <t>Ямал-Медиа</t>
        </is>
      </c>
      <c r="C52" s="13" t="n">
        <v>144</v>
      </c>
      <c r="D52" s="13" t="n">
        <v>78442</v>
      </c>
      <c r="E52" s="13">
        <f>IF($D52="","",IFERROR(IF(ISBLANK(INDIRECT("'"&amp;$Q$2&amp;"'!D"&amp;ROW())),"",INDIRECT("'"&amp;$Q$2&amp;"'!D"&amp;ROW())),""))</f>
        <v/>
      </c>
      <c r="F52" s="15">
        <f>IF(OR(D52="",E52=""),"",D52-E52)</f>
        <v/>
      </c>
      <c r="G52" s="16">
        <f>IFERROR(F52/E52,"")</f>
        <v/>
      </c>
      <c r="H52" s="13" t="n">
        <v>366</v>
      </c>
      <c r="I52" s="13">
        <f>IF($H52="","",IFERROR(IF(ISBLANK(INDIRECT("'"&amp;$Q$2&amp;"'!H"&amp;ROW())),"",INDIRECT("'"&amp;$Q$2&amp;"'!H"&amp;ROW())),""))</f>
        <v/>
      </c>
      <c r="J52" s="15">
        <f>IF(OR(H52="",I52=""),"",H52-I52)</f>
        <v/>
      </c>
      <c r="K52" s="16">
        <f>IFERROR(J52/I52,"")</f>
        <v/>
      </c>
      <c r="L52" s="13">
        <f>IFERROR(D52/C52,"")</f>
        <v/>
      </c>
      <c r="M52" s="13">
        <f>IFERROR(H52/D52*1000,"")</f>
        <v/>
      </c>
      <c r="N52" s="13" t="n">
        <v>11811</v>
      </c>
      <c r="O52" s="15">
        <f>IFERROR(IF(OR(N52="",ISBLANK(INDIRECT("'"&amp;$Q$2&amp;"'!N"&amp;ROW()))),"",N52-INDIRECT("'"&amp;$Q$2&amp;"'!N"&amp;ROW())),"")</f>
        <v/>
      </c>
      <c r="P52" s="2" t="n"/>
      <c r="Q52" s="2" t="n"/>
      <c r="R52" s="2" t="n"/>
      <c r="S52" s="18">
        <f>IFERROR(IF(ISBLANK(INDIRECT("'"&amp;$Q$2&amp;"'!G"&amp;ROW())),"",INDIRECT("'"&amp;$Q$2&amp;"'!G"&amp;ROW())),"")</f>
        <v/>
      </c>
      <c r="T52" s="20">
        <f>IF(OR($G52="",$S52=""),"",$G52-$S52)</f>
        <v/>
      </c>
      <c r="U52" s="18">
        <f>IFERROR(IF(ISBLANK(INDIRECT("'"&amp;$Q$2&amp;"'!K"&amp;ROW())),"",INDIRECT("'"&amp;$Q$2&amp;"'!K"&amp;ROW())),"")</f>
        <v/>
      </c>
      <c r="V52" s="20">
        <f>IF(OR($K52="",$U52=""),"",$K52-$U52)</f>
        <v/>
      </c>
      <c r="W52" s="21">
        <f>IFERROR(IF(ISBLANK(INDIRECT("'"&amp;$Q$2&amp;"'!O"&amp;ROW())),"",INDIRECT("'"&amp;$Q$2&amp;"'!O"&amp;ROW())),"")</f>
        <v/>
      </c>
      <c r="X52" s="21">
        <f>IF(OR($O52="",$W52=""),"",$O52-$W52)</f>
        <v/>
      </c>
      <c r="Y52" s="2" t="n"/>
      <c r="Z52" s="2" t="n"/>
    </row>
    <row r="53" ht="14.25" customHeight="1" s="58">
      <c r="A53" s="12" t="inlineStr">
        <is>
          <t>Telegram</t>
        </is>
      </c>
      <c r="B53" s="12" t="inlineStr">
        <is>
          <t>Север-Пресс</t>
        </is>
      </c>
      <c r="C53" s="13" t="n">
        <v>139</v>
      </c>
      <c r="D53" s="13" t="n">
        <v>17966</v>
      </c>
      <c r="E53" s="13">
        <f>IF($D53="","",IFERROR(IF(ISBLANK(INDIRECT("'"&amp;$Q$2&amp;"'!D"&amp;ROW())),"",INDIRECT("'"&amp;$Q$2&amp;"'!D"&amp;ROW())),""))</f>
        <v/>
      </c>
      <c r="F53" s="15">
        <f>IF(OR(D53="",E53=""),"",D53-E53)</f>
        <v/>
      </c>
      <c r="G53" s="16">
        <f>IFERROR(F53/E53,"")</f>
        <v/>
      </c>
      <c r="H53" s="13" t="n">
        <v>50</v>
      </c>
      <c r="I53" s="13">
        <f>IF($H53="","",IFERROR(IF(ISBLANK(INDIRECT("'"&amp;$Q$2&amp;"'!H"&amp;ROW())),"",INDIRECT("'"&amp;$Q$2&amp;"'!H"&amp;ROW())),""))</f>
        <v/>
      </c>
      <c r="J53" s="15">
        <f>IF(OR(H53="",I53=""),"",H53-I53)</f>
        <v/>
      </c>
      <c r="K53" s="16">
        <f>IFERROR(J53/I53,"")</f>
        <v/>
      </c>
      <c r="L53" s="13">
        <f>IFERROR(D53/C53,"")</f>
        <v/>
      </c>
      <c r="M53" s="13">
        <f>IFERROR(H53/D53*1000,"")</f>
        <v/>
      </c>
      <c r="N53" s="13" t="n">
        <v>4815</v>
      </c>
      <c r="O53" s="15">
        <f>IFERROR(IF(OR(N53="",ISBLANK(INDIRECT("'"&amp;$Q$2&amp;"'!N"&amp;ROW()))),"",N53-INDIRECT("'"&amp;$Q$2&amp;"'!N"&amp;ROW())),"")</f>
        <v/>
      </c>
      <c r="P53" s="2" t="n"/>
      <c r="Q53" s="2" t="n"/>
      <c r="R53" s="2" t="n"/>
      <c r="S53" s="18">
        <f>IFERROR(IF(ISBLANK(INDIRECT("'"&amp;$Q$2&amp;"'!G"&amp;ROW())),"",INDIRECT("'"&amp;$Q$2&amp;"'!G"&amp;ROW())),"")</f>
        <v/>
      </c>
      <c r="T53" s="20">
        <f>IF(OR($G53="",$S53=""),"",$G53-$S53)</f>
        <v/>
      </c>
      <c r="U53" s="18">
        <f>IFERROR(IF(ISBLANK(INDIRECT("'"&amp;$Q$2&amp;"'!K"&amp;ROW())),"",INDIRECT("'"&amp;$Q$2&amp;"'!K"&amp;ROW())),"")</f>
        <v/>
      </c>
      <c r="V53" s="20">
        <f>IF(OR($K53="",$U53=""),"",$K53-$U53)</f>
        <v/>
      </c>
      <c r="W53" s="21">
        <f>IFERROR(IF(ISBLANK(INDIRECT("'"&amp;$Q$2&amp;"'!O"&amp;ROW())),"",INDIRECT("'"&amp;$Q$2&amp;"'!O"&amp;ROW())),"")</f>
        <v/>
      </c>
      <c r="X53" s="21">
        <f>IF(OR($O53="",$W53=""),"",$O53-$W53)</f>
        <v/>
      </c>
      <c r="Y53" s="2" t="n"/>
      <c r="Z53" s="2" t="n"/>
    </row>
    <row r="54" ht="14.25" customHeight="1" s="58">
      <c r="A54" s="12" t="inlineStr">
        <is>
          <t>Telegram</t>
        </is>
      </c>
      <c r="B54" s="12" t="inlineStr">
        <is>
          <t>Красный Север</t>
        </is>
      </c>
      <c r="C54" s="13" t="n">
        <v>88</v>
      </c>
      <c r="D54" s="13" t="n">
        <v>2324</v>
      </c>
      <c r="E54" s="13">
        <f>IF($D54="","",IFERROR(IF(ISBLANK(INDIRECT("'"&amp;$Q$2&amp;"'!D"&amp;ROW())),"",INDIRECT("'"&amp;$Q$2&amp;"'!D"&amp;ROW())),""))</f>
        <v/>
      </c>
      <c r="F54" s="15">
        <f>IF(OR(D54="",E54=""),"",D54-E54)</f>
        <v/>
      </c>
      <c r="G54" s="16">
        <f>IFERROR(F54/E54,"")</f>
        <v/>
      </c>
      <c r="H54" s="13" t="n">
        <v>2</v>
      </c>
      <c r="I54" s="13">
        <f>IF($H54="","",IFERROR(IF(ISBLANK(INDIRECT("'"&amp;$Q$2&amp;"'!H"&amp;ROW())),"",INDIRECT("'"&amp;$Q$2&amp;"'!H"&amp;ROW())),""))</f>
        <v/>
      </c>
      <c r="J54" s="15">
        <f>IF(OR(H54="",I54=""),"",H54-I54)</f>
        <v/>
      </c>
      <c r="K54" s="16">
        <f>IFERROR(J54/I54,"")</f>
        <v/>
      </c>
      <c r="L54" s="13">
        <f>IFERROR(D54/C54,"")</f>
        <v/>
      </c>
      <c r="M54" s="13">
        <f>IFERROR(H54/D54*1000,"")</f>
        <v/>
      </c>
      <c r="N54" s="13" t="n">
        <v>876</v>
      </c>
      <c r="O54" s="15">
        <f>IFERROR(IF(OR(N54="",ISBLANK(INDIRECT("'"&amp;$Q$2&amp;"'!N"&amp;ROW()))),"",N54-INDIRECT("'"&amp;$Q$2&amp;"'!N"&amp;ROW())),"")</f>
        <v/>
      </c>
      <c r="P54" s="2" t="n"/>
      <c r="Q54" s="2" t="n"/>
      <c r="R54" s="2" t="n"/>
      <c r="S54" s="18">
        <f>IFERROR(IF(ISBLANK(INDIRECT("'"&amp;$Q$2&amp;"'!G"&amp;ROW())),"",INDIRECT("'"&amp;$Q$2&amp;"'!G"&amp;ROW())),"")</f>
        <v/>
      </c>
      <c r="T54" s="20">
        <f>IF(OR($G54="",$S54=""),"",$G54-$S54)</f>
        <v/>
      </c>
      <c r="U54" s="18">
        <f>IFERROR(IF(ISBLANK(INDIRECT("'"&amp;$Q$2&amp;"'!K"&amp;ROW())),"",INDIRECT("'"&amp;$Q$2&amp;"'!K"&amp;ROW())),"")</f>
        <v/>
      </c>
      <c r="V54" s="20">
        <f>IF(OR($K54="",$U54=""),"",$K54-$U54)</f>
        <v/>
      </c>
      <c r="W54" s="21">
        <f>IFERROR(IF(ISBLANK(INDIRECT("'"&amp;$Q$2&amp;"'!O"&amp;ROW())),"",INDIRECT("'"&amp;$Q$2&amp;"'!O"&amp;ROW())),"")</f>
        <v/>
      </c>
      <c r="X54" s="21">
        <f>IF(OR($O54="",$W54=""),"",$O54-$W54)</f>
        <v/>
      </c>
      <c r="Y54" s="2" t="n"/>
      <c r="Z54" s="2" t="n"/>
    </row>
    <row r="55" ht="14.25" customHeight="1" s="58">
      <c r="A55" s="12" t="inlineStr">
        <is>
          <t>Telegram</t>
        </is>
      </c>
      <c r="B55" s="12" t="inlineStr">
        <is>
          <t>СМП</t>
        </is>
      </c>
      <c r="C55" s="13" t="n">
        <v>7</v>
      </c>
      <c r="D55" s="13" t="n">
        <v>25402</v>
      </c>
      <c r="E55" s="13">
        <f>IF($D55="","",IFERROR(IF(ISBLANK(INDIRECT("'"&amp;$Q$2&amp;"'!D"&amp;ROW())),"",INDIRECT("'"&amp;$Q$2&amp;"'!D"&amp;ROW())),""))</f>
        <v/>
      </c>
      <c r="F55" s="15">
        <f>IF(OR(D55="",E55=""),"",D55-E55)</f>
        <v/>
      </c>
      <c r="G55" s="16">
        <f>IFERROR(F55/E55,"")</f>
        <v/>
      </c>
      <c r="H55" s="13" t="n">
        <v>31</v>
      </c>
      <c r="I55" s="13">
        <f>IF($H55="","",IFERROR(IF(ISBLANK(INDIRECT("'"&amp;$Q$2&amp;"'!H"&amp;ROW())),"",INDIRECT("'"&amp;$Q$2&amp;"'!H"&amp;ROW())),""))</f>
        <v/>
      </c>
      <c r="J55" s="15">
        <f>IF(OR(H55="",I55=""),"",H55-I55)</f>
        <v/>
      </c>
      <c r="K55" s="16">
        <f>IFERROR(J55/I55,"")</f>
        <v/>
      </c>
      <c r="L55" s="13">
        <f>IFERROR(D55/C55,"")</f>
        <v/>
      </c>
      <c r="M55" s="13">
        <f>IFERROR(H55/D55*1000,"")</f>
        <v/>
      </c>
      <c r="N55" s="13" t="n">
        <v>13835</v>
      </c>
      <c r="O55" s="15">
        <f>IFERROR(IF(OR(N55="",ISBLANK(INDIRECT("'"&amp;$Q$2&amp;"'!N"&amp;ROW()))),"",N55-INDIRECT("'"&amp;$Q$2&amp;"'!N"&amp;ROW())),"")</f>
        <v/>
      </c>
      <c r="P55" s="2" t="n"/>
      <c r="Q55" s="2" t="n"/>
      <c r="R55" s="2" t="n"/>
      <c r="S55" s="18">
        <f>IFERROR(IF(ISBLANK(INDIRECT("'"&amp;$Q$2&amp;"'!G"&amp;ROW())),"",INDIRECT("'"&amp;$Q$2&amp;"'!G"&amp;ROW())),"")</f>
        <v/>
      </c>
      <c r="T55" s="20">
        <f>IF(OR($G55="",$S55=""),"",$G55-$S55)</f>
        <v/>
      </c>
      <c r="U55" s="18">
        <f>IFERROR(IF(ISBLANK(INDIRECT("'"&amp;$Q$2&amp;"'!K"&amp;ROW())),"",INDIRECT("'"&amp;$Q$2&amp;"'!K"&amp;ROW())),"")</f>
        <v/>
      </c>
      <c r="V55" s="20">
        <f>IF(OR($K55="",$U55=""),"",$K55-$U55)</f>
        <v/>
      </c>
      <c r="W55" s="21">
        <f>IFERROR(IF(ISBLANK(INDIRECT("'"&amp;$Q$2&amp;"'!O"&amp;ROW())),"",INDIRECT("'"&amp;$Q$2&amp;"'!O"&amp;ROW())),"")</f>
        <v/>
      </c>
      <c r="X55" s="21">
        <f>IF(OR($O55="",$W55=""),"",$O55-$W55)</f>
        <v/>
      </c>
      <c r="Y55" s="2" t="n"/>
      <c r="Z55" s="2" t="n"/>
    </row>
    <row r="56" ht="14.25" customHeight="1" s="58">
      <c r="A56" s="12" t="inlineStr">
        <is>
          <t>Telegram</t>
        </is>
      </c>
      <c r="B56" s="12" t="inlineStr">
        <is>
          <t>СШХ</t>
        </is>
      </c>
      <c r="C56" s="13" t="n">
        <v>7</v>
      </c>
      <c r="D56" s="13" t="n">
        <v>395</v>
      </c>
      <c r="E56" s="13">
        <f>IF($D56="","",IFERROR(IF(ISBLANK(INDIRECT("'"&amp;$Q$2&amp;"'!D"&amp;ROW())),"",INDIRECT("'"&amp;$Q$2&amp;"'!D"&amp;ROW())),""))</f>
        <v/>
      </c>
      <c r="F56" s="15">
        <f>IF(OR(D56="",E56=""),"",D56-E56)</f>
        <v/>
      </c>
      <c r="G56" s="16">
        <f>IFERROR(F56/E56,"")</f>
        <v/>
      </c>
      <c r="H56" s="13" t="n">
        <v>15</v>
      </c>
      <c r="I56" s="13">
        <f>IF($H56="","",IFERROR(IF(ISBLANK(INDIRECT("'"&amp;$Q$2&amp;"'!H"&amp;ROW())),"",INDIRECT("'"&amp;$Q$2&amp;"'!H"&amp;ROW())),""))</f>
        <v/>
      </c>
      <c r="J56" s="15">
        <f>IF(OR(H56="",I56=""),"",H56-I56)</f>
        <v/>
      </c>
      <c r="K56" s="16">
        <f>IFERROR(J56/I56,"")</f>
        <v/>
      </c>
      <c r="L56" s="13">
        <f>IFERROR(D56/C56,"")</f>
        <v/>
      </c>
      <c r="M56" s="13">
        <f>IFERROR(H56/D56*1000,"")</f>
        <v/>
      </c>
      <c r="N56" s="13" t="n">
        <v>8664</v>
      </c>
      <c r="O56" s="15">
        <f>IFERROR(IF(OR(N56="",ISBLANK(INDIRECT("'"&amp;$Q$2&amp;"'!N"&amp;ROW()))),"",N56-INDIRECT("'"&amp;$Q$2&amp;"'!N"&amp;ROW())),"")</f>
        <v/>
      </c>
      <c r="P56" s="2" t="n"/>
      <c r="Q56" s="2" t="n"/>
      <c r="R56" s="2" t="n"/>
      <c r="S56" s="18">
        <f>IFERROR(IF(ISBLANK(INDIRECT("'"&amp;$Q$2&amp;"'!G"&amp;ROW())),"",INDIRECT("'"&amp;$Q$2&amp;"'!G"&amp;ROW())),"")</f>
        <v/>
      </c>
      <c r="T56" s="20">
        <f>IF(OR($G56="",$S56=""),"",$G56-$S56)</f>
        <v/>
      </c>
      <c r="U56" s="18">
        <f>IFERROR(IF(ISBLANK(INDIRECT("'"&amp;$Q$2&amp;"'!K"&amp;ROW())),"",INDIRECT("'"&amp;$Q$2&amp;"'!K"&amp;ROW())),"")</f>
        <v/>
      </c>
      <c r="V56" s="20">
        <f>IF(OR($K56="",$U56=""),"",$K56-$U56)</f>
        <v/>
      </c>
      <c r="W56" s="21">
        <f>IFERROR(IF(ISBLANK(INDIRECT("'"&amp;$Q$2&amp;"'!O"&amp;ROW())),"",INDIRECT("'"&amp;$Q$2&amp;"'!O"&amp;ROW())),"")</f>
        <v/>
      </c>
      <c r="X56" s="21">
        <f>IF(OR($O56="",$W56=""),"",$O56-$W56)</f>
        <v/>
      </c>
      <c r="Y56" s="2" t="n"/>
      <c r="Z56" s="2" t="n"/>
    </row>
    <row r="57" ht="14.25" customHeight="1" s="58">
      <c r="A57" s="12" t="inlineStr">
        <is>
          <t>Telegram</t>
        </is>
      </c>
      <c r="B57" s="12" t="inlineStr">
        <is>
          <t>Новый Уренгой</t>
        </is>
      </c>
      <c r="C57" s="13" t="n">
        <v>105</v>
      </c>
      <c r="D57" s="13" t="n">
        <v>116631</v>
      </c>
      <c r="E57" s="13">
        <f>IF($D57="","",IFERROR(IF(ISBLANK(INDIRECT("'"&amp;$Q$2&amp;"'!D"&amp;ROW())),"",INDIRECT("'"&amp;$Q$2&amp;"'!D"&amp;ROW())),""))</f>
        <v/>
      </c>
      <c r="F57" s="15">
        <f>IF(OR(D57="",E57=""),"",D57-E57)</f>
        <v/>
      </c>
      <c r="G57" s="16">
        <f>IFERROR(F57/E57,"")</f>
        <v/>
      </c>
      <c r="H57" s="13" t="n">
        <v>563</v>
      </c>
      <c r="I57" s="13">
        <f>IF($H57="","",IFERROR(IF(ISBLANK(INDIRECT("'"&amp;$Q$2&amp;"'!H"&amp;ROW())),"",INDIRECT("'"&amp;$Q$2&amp;"'!H"&amp;ROW())),""))</f>
        <v/>
      </c>
      <c r="J57" s="15">
        <f>IF(OR(H57="",I57=""),"",H57-I57)</f>
        <v/>
      </c>
      <c r="K57" s="16">
        <f>IFERROR(J57/I57,"")</f>
        <v/>
      </c>
      <c r="L57" s="13">
        <f>IFERROR(D57/C57,"")</f>
        <v/>
      </c>
      <c r="M57" s="13">
        <f>IFERROR(H57/D57*1000,"")</f>
        <v/>
      </c>
      <c r="N57" s="13" t="n">
        <v>10928</v>
      </c>
      <c r="O57" s="15">
        <f>IFERROR(IF(OR(N57="",ISBLANK(INDIRECT("'"&amp;$Q$2&amp;"'!N"&amp;ROW()))),"",N57-INDIRECT("'"&amp;$Q$2&amp;"'!N"&amp;ROW())),"")</f>
        <v/>
      </c>
      <c r="P57" s="2" t="n"/>
      <c r="Q57" s="2" t="n"/>
      <c r="R57" s="2" t="n"/>
      <c r="S57" s="18">
        <f>IFERROR(IF(ISBLANK(INDIRECT("'"&amp;$Q$2&amp;"'!G"&amp;ROW())),"",INDIRECT("'"&amp;$Q$2&amp;"'!G"&amp;ROW())),"")</f>
        <v/>
      </c>
      <c r="T57" s="20">
        <f>IF(OR($G57="",$S57=""),"",$G57-$S57)</f>
        <v/>
      </c>
      <c r="U57" s="18">
        <f>IFERROR(IF(ISBLANK(INDIRECT("'"&amp;$Q$2&amp;"'!K"&amp;ROW())),"",INDIRECT("'"&amp;$Q$2&amp;"'!K"&amp;ROW())),"")</f>
        <v/>
      </c>
      <c r="V57" s="20">
        <f>IF(OR($K57="",$U57=""),"",$K57-$U57)</f>
        <v/>
      </c>
      <c r="W57" s="21">
        <f>IFERROR(IF(ISBLANK(INDIRECT("'"&amp;$Q$2&amp;"'!O"&amp;ROW())),"",INDIRECT("'"&amp;$Q$2&amp;"'!O"&amp;ROW())),"")</f>
        <v/>
      </c>
      <c r="X57" s="21">
        <f>IF(OR($O57="",$W57=""),"",$O57-$W57)</f>
        <v/>
      </c>
      <c r="Y57" s="2" t="n"/>
      <c r="Z57" s="2" t="n"/>
    </row>
    <row r="58" ht="14.25" customHeight="1" s="58">
      <c r="A58" s="12" t="inlineStr">
        <is>
          <t>Telegram</t>
        </is>
      </c>
      <c r="B58" s="12" t="inlineStr">
        <is>
          <t>Надым</t>
        </is>
      </c>
      <c r="C58" s="13" t="n">
        <v>107</v>
      </c>
      <c r="D58" s="13" t="n">
        <v>21703</v>
      </c>
      <c r="E58" s="13">
        <f>IF($D58="","",IFERROR(IF(ISBLANK(INDIRECT("'"&amp;$Q$2&amp;"'!D"&amp;ROW())),"",INDIRECT("'"&amp;$Q$2&amp;"'!D"&amp;ROW())),""))</f>
        <v/>
      </c>
      <c r="F58" s="15">
        <f>IF(OR(D58="",E58=""),"",D58-E58)</f>
        <v/>
      </c>
      <c r="G58" s="16">
        <f>IFERROR(F58/E58,"")</f>
        <v/>
      </c>
      <c r="H58" s="13" t="n">
        <v>293</v>
      </c>
      <c r="I58" s="13">
        <f>IF($H58="","",IFERROR(IF(ISBLANK(INDIRECT("'"&amp;$Q$2&amp;"'!H"&amp;ROW())),"",INDIRECT("'"&amp;$Q$2&amp;"'!H"&amp;ROW())),""))</f>
        <v/>
      </c>
      <c r="J58" s="15">
        <f>IF(OR(H58="",I58=""),"",H58-I58)</f>
        <v/>
      </c>
      <c r="K58" s="16">
        <f>IFERROR(J58/I58,"")</f>
        <v/>
      </c>
      <c r="L58" s="13">
        <f>IFERROR(D58/C58,"")</f>
        <v/>
      </c>
      <c r="M58" s="13">
        <f>IFERROR(H58/D58*1000,"")</f>
        <v/>
      </c>
      <c r="N58" s="13" t="n">
        <v>4120</v>
      </c>
      <c r="O58" s="15">
        <f>IFERROR(IF(OR(N58="",ISBLANK(INDIRECT("'"&amp;$Q$2&amp;"'!N"&amp;ROW()))),"",N58-INDIRECT("'"&amp;$Q$2&amp;"'!N"&amp;ROW())),"")</f>
        <v/>
      </c>
      <c r="P58" s="2" t="n"/>
      <c r="Q58" s="2" t="n"/>
      <c r="R58" s="2" t="n"/>
      <c r="S58" s="18">
        <f>IFERROR(IF(ISBLANK(INDIRECT("'"&amp;$Q$2&amp;"'!G"&amp;ROW())),"",INDIRECT("'"&amp;$Q$2&amp;"'!G"&amp;ROW())),"")</f>
        <v/>
      </c>
      <c r="T58" s="20">
        <f>IF(OR($G58="",$S58=""),"",$G58-$S58)</f>
        <v/>
      </c>
      <c r="U58" s="18">
        <f>IFERROR(IF(ISBLANK(INDIRECT("'"&amp;$Q$2&amp;"'!K"&amp;ROW())),"",INDIRECT("'"&amp;$Q$2&amp;"'!K"&amp;ROW())),"")</f>
        <v/>
      </c>
      <c r="V58" s="20">
        <f>IF(OR($K58="",$U58=""),"",$K58-$U58)</f>
        <v/>
      </c>
      <c r="W58" s="21">
        <f>IFERROR(IF(ISBLANK(INDIRECT("'"&amp;$Q$2&amp;"'!O"&amp;ROW())),"",INDIRECT("'"&amp;$Q$2&amp;"'!O"&amp;ROW())),"")</f>
        <v/>
      </c>
      <c r="X58" s="21">
        <f>IF(OR($O58="",$W58=""),"",$O58-$W58)</f>
        <v/>
      </c>
      <c r="Y58" s="2" t="n"/>
      <c r="Z58" s="2" t="n"/>
    </row>
    <row r="59" ht="14.25" customHeight="1" s="58">
      <c r="A59" s="12" t="inlineStr">
        <is>
          <t>Telegram</t>
        </is>
      </c>
      <c r="B59" s="12" t="inlineStr">
        <is>
          <t>Ноябрьск</t>
        </is>
      </c>
      <c r="C59" s="13" t="n">
        <v>99</v>
      </c>
      <c r="D59" s="13" t="n">
        <v>35309</v>
      </c>
      <c r="E59" s="13">
        <f>IF($D59="","",IFERROR(IF(ISBLANK(INDIRECT("'"&amp;$Q$2&amp;"'!D"&amp;ROW())),"",INDIRECT("'"&amp;$Q$2&amp;"'!D"&amp;ROW())),""))</f>
        <v/>
      </c>
      <c r="F59" s="15">
        <f>IF(OR(D59="",E59=""),"",D59-E59)</f>
        <v/>
      </c>
      <c r="G59" s="16">
        <f>IFERROR(F59/E59,"")</f>
        <v/>
      </c>
      <c r="H59" s="13" t="n">
        <v>269</v>
      </c>
      <c r="I59" s="13">
        <f>IF($H59="","",IFERROR(IF(ISBLANK(INDIRECT("'"&amp;$Q$2&amp;"'!H"&amp;ROW())),"",INDIRECT("'"&amp;$Q$2&amp;"'!H"&amp;ROW())),""))</f>
        <v/>
      </c>
      <c r="J59" s="15">
        <f>IF(OR(H59="",I59=""),"",H59-I59)</f>
        <v/>
      </c>
      <c r="K59" s="16">
        <f>IFERROR(J59/I59,"")</f>
        <v/>
      </c>
      <c r="L59" s="13">
        <f>IFERROR(D59/C59,"")</f>
        <v/>
      </c>
      <c r="M59" s="13">
        <f>IFERROR(H59/D59*1000,"")</f>
        <v/>
      </c>
      <c r="N59" s="13" t="n">
        <v>5549</v>
      </c>
      <c r="O59" s="15">
        <f>IFERROR(IF(OR(N59="",ISBLANK(INDIRECT("'"&amp;$Q$2&amp;"'!N"&amp;ROW()))),"",N59-INDIRECT("'"&amp;$Q$2&amp;"'!N"&amp;ROW())),"")</f>
        <v/>
      </c>
      <c r="P59" s="2" t="n"/>
      <c r="Q59" s="2" t="n"/>
      <c r="R59" s="2" t="n"/>
      <c r="S59" s="18">
        <f>IFERROR(IF(ISBLANK(INDIRECT("'"&amp;$Q$2&amp;"'!G"&amp;ROW())),"",INDIRECT("'"&amp;$Q$2&amp;"'!G"&amp;ROW())),"")</f>
        <v/>
      </c>
      <c r="T59" s="20">
        <f>IF(OR($G59="",$S59=""),"",$G59-$S59)</f>
        <v/>
      </c>
      <c r="U59" s="18">
        <f>IFERROR(IF(ISBLANK(INDIRECT("'"&amp;$Q$2&amp;"'!K"&amp;ROW())),"",INDIRECT("'"&amp;$Q$2&amp;"'!K"&amp;ROW())),"")</f>
        <v/>
      </c>
      <c r="V59" s="20">
        <f>IF(OR($K59="",$U59=""),"",$K59-$U59)</f>
        <v/>
      </c>
      <c r="W59" s="21">
        <f>IFERROR(IF(ISBLANK(INDIRECT("'"&amp;$Q$2&amp;"'!O"&amp;ROW())),"",INDIRECT("'"&amp;$Q$2&amp;"'!O"&amp;ROW())),"")</f>
        <v/>
      </c>
      <c r="X59" s="21">
        <f>IF(OR($O59="",$W59=""),"",$O59-$W59)</f>
        <v/>
      </c>
      <c r="Y59" s="2" t="n"/>
      <c r="Z59" s="2" t="n"/>
    </row>
    <row r="60" ht="14.25" customHeight="1" s="58">
      <c r="A60" s="12" t="inlineStr">
        <is>
          <t>Telegram</t>
        </is>
      </c>
      <c r="B60" s="12" t="inlineStr">
        <is>
          <t>Салехард</t>
        </is>
      </c>
      <c r="C60" s="13" t="n">
        <v>152</v>
      </c>
      <c r="D60" s="13" t="n">
        <v>71836</v>
      </c>
      <c r="E60" s="13">
        <f>IF($D60="","",IFERROR(IF(ISBLANK(INDIRECT("'"&amp;$Q$2&amp;"'!D"&amp;ROW())),"",INDIRECT("'"&amp;$Q$2&amp;"'!D"&amp;ROW())),""))</f>
        <v/>
      </c>
      <c r="F60" s="15">
        <f>IF(OR(D60="",E60=""),"",D60-E60)</f>
        <v/>
      </c>
      <c r="G60" s="16">
        <f>IFERROR(F60/E60,"")</f>
        <v/>
      </c>
      <c r="H60" s="13" t="n">
        <v>267</v>
      </c>
      <c r="I60" s="13">
        <f>IF($H60="","",IFERROR(IF(ISBLANK(INDIRECT("'"&amp;$Q$2&amp;"'!H"&amp;ROW())),"",INDIRECT("'"&amp;$Q$2&amp;"'!H"&amp;ROW())),""))</f>
        <v/>
      </c>
      <c r="J60" s="15">
        <f>IF(OR(H60="",I60=""),"",H60-I60)</f>
        <v/>
      </c>
      <c r="K60" s="16">
        <f>IFERROR(J60/I60,"")</f>
        <v/>
      </c>
      <c r="L60" s="13">
        <f>IFERROR(D60/C60,"")</f>
        <v/>
      </c>
      <c r="M60" s="13">
        <f>IFERROR(H60/D60*1000,"")</f>
        <v/>
      </c>
      <c r="N60" s="13" t="n">
        <v>10447</v>
      </c>
      <c r="O60" s="15">
        <f>IFERROR(IF(OR(N60="",ISBLANK(INDIRECT("'"&amp;$Q$2&amp;"'!N"&amp;ROW()))),"",N60-INDIRECT("'"&amp;$Q$2&amp;"'!N"&amp;ROW())),"")</f>
        <v/>
      </c>
      <c r="P60" s="2" t="n"/>
      <c r="Q60" s="2" t="n"/>
      <c r="R60" s="2" t="n"/>
      <c r="S60" s="18">
        <f>IFERROR(IF(ISBLANK(INDIRECT("'"&amp;$Q$2&amp;"'!G"&amp;ROW())),"",INDIRECT("'"&amp;$Q$2&amp;"'!G"&amp;ROW())),"")</f>
        <v/>
      </c>
      <c r="T60" s="20">
        <f>IF(OR($G60="",$S60=""),"",$G60-$S60)</f>
        <v/>
      </c>
      <c r="U60" s="18">
        <f>IFERROR(IF(ISBLANK(INDIRECT("'"&amp;$Q$2&amp;"'!K"&amp;ROW())),"",INDIRECT("'"&amp;$Q$2&amp;"'!K"&amp;ROW())),"")</f>
        <v/>
      </c>
      <c r="V60" s="20">
        <f>IF(OR($K60="",$U60=""),"",$K60-$U60)</f>
        <v/>
      </c>
      <c r="W60" s="21">
        <f>IFERROR(IF(ISBLANK(INDIRECT("'"&amp;$Q$2&amp;"'!O"&amp;ROW())),"",INDIRECT("'"&amp;$Q$2&amp;"'!O"&amp;ROW())),"")</f>
        <v/>
      </c>
      <c r="X60" s="21">
        <f>IF(OR($O60="",$W60=""),"",$O60-$W60)</f>
        <v/>
      </c>
      <c r="Y60" s="2" t="n"/>
      <c r="Z60" s="2" t="n"/>
    </row>
    <row r="61" ht="14.25" customHeight="1" s="58">
      <c r="A61" s="12" t="inlineStr">
        <is>
          <t>Telegram</t>
        </is>
      </c>
      <c r="B61" s="12" t="inlineStr">
        <is>
          <t>Приуралье</t>
        </is>
      </c>
      <c r="C61" s="13" t="n">
        <v>83</v>
      </c>
      <c r="D61" s="13" t="n">
        <v>10230</v>
      </c>
      <c r="E61" s="13">
        <f>IF($D61="","",IFERROR(IF(ISBLANK(INDIRECT("'"&amp;$Q$2&amp;"'!D"&amp;ROW())),"",INDIRECT("'"&amp;$Q$2&amp;"'!D"&amp;ROW())),""))</f>
        <v/>
      </c>
      <c r="F61" s="15">
        <f>IF(OR(D61="",E61=""),"",D61-E61)</f>
        <v/>
      </c>
      <c r="G61" s="16">
        <f>IFERROR(F61/E61,"")</f>
        <v/>
      </c>
      <c r="H61" s="13" t="n">
        <v>88</v>
      </c>
      <c r="I61" s="13">
        <f>IF($H61="","",IFERROR(IF(ISBLANK(INDIRECT("'"&amp;$Q$2&amp;"'!H"&amp;ROW())),"",INDIRECT("'"&amp;$Q$2&amp;"'!H"&amp;ROW())),""))</f>
        <v/>
      </c>
      <c r="J61" s="15">
        <f>IF(OR(H61="",I61=""),"",H61-I61)</f>
        <v/>
      </c>
      <c r="K61" s="16">
        <f>IFERROR(J61/I61,"")</f>
        <v/>
      </c>
      <c r="L61" s="13">
        <f>IFERROR(D61/C61,"")</f>
        <v/>
      </c>
      <c r="M61" s="13">
        <f>IFERROR(H61/D61*1000,"")</f>
        <v/>
      </c>
      <c r="N61" s="13" t="n">
        <v>2319</v>
      </c>
      <c r="O61" s="15">
        <f>IFERROR(IF(OR(N61="",ISBLANK(INDIRECT("'"&amp;$Q$2&amp;"'!N"&amp;ROW()))),"",N61-INDIRECT("'"&amp;$Q$2&amp;"'!N"&amp;ROW())),"")</f>
        <v/>
      </c>
      <c r="P61" s="2" t="n"/>
      <c r="Q61" s="2" t="n"/>
      <c r="R61" s="2" t="n"/>
      <c r="S61" s="18">
        <f>IFERROR(IF(ISBLANK(INDIRECT("'"&amp;$Q$2&amp;"'!G"&amp;ROW())),"",INDIRECT("'"&amp;$Q$2&amp;"'!G"&amp;ROW())),"")</f>
        <v/>
      </c>
      <c r="T61" s="20">
        <f>IF(OR($G61="",$S61=""),"",$G61-$S61)</f>
        <v/>
      </c>
      <c r="U61" s="18">
        <f>IFERROR(IF(ISBLANK(INDIRECT("'"&amp;$Q$2&amp;"'!K"&amp;ROW())),"",INDIRECT("'"&amp;$Q$2&amp;"'!K"&amp;ROW())),"")</f>
        <v/>
      </c>
      <c r="V61" s="20">
        <f>IF(OR($K61="",$U61=""),"",$K61-$U61)</f>
        <v/>
      </c>
      <c r="W61" s="21">
        <f>IFERROR(IF(ISBLANK(INDIRECT("'"&amp;$Q$2&amp;"'!O"&amp;ROW())),"",INDIRECT("'"&amp;$Q$2&amp;"'!O"&amp;ROW())),"")</f>
        <v/>
      </c>
      <c r="X61" s="21">
        <f>IF(OR($O61="",$W61=""),"",$O61-$W61)</f>
        <v/>
      </c>
      <c r="Y61" s="2" t="n"/>
      <c r="Z61" s="2" t="n"/>
    </row>
    <row r="62" ht="14.25" customHeight="1" s="58">
      <c r="A62" s="12" t="inlineStr">
        <is>
          <t>Telegram</t>
        </is>
      </c>
      <c r="B62" s="12" t="inlineStr">
        <is>
          <t>Лабытнанги</t>
        </is>
      </c>
      <c r="C62" s="13" t="n">
        <v>36</v>
      </c>
      <c r="D62" s="13" t="n">
        <v>3879</v>
      </c>
      <c r="E62" s="13">
        <f>IF($D62="","",IFERROR(IF(ISBLANK(INDIRECT("'"&amp;$Q$2&amp;"'!D"&amp;ROW())),"",INDIRECT("'"&amp;$Q$2&amp;"'!D"&amp;ROW())),""))</f>
        <v/>
      </c>
      <c r="F62" s="15">
        <f>IF(OR(D62="",E62=""),"",D62-E62)</f>
        <v/>
      </c>
      <c r="G62" s="16">
        <f>IFERROR(F62/E62,"")</f>
        <v/>
      </c>
      <c r="H62" s="13" t="n">
        <v>75</v>
      </c>
      <c r="I62" s="13">
        <f>IF($H62="","",IFERROR(IF(ISBLANK(INDIRECT("'"&amp;$Q$2&amp;"'!H"&amp;ROW())),"",INDIRECT("'"&amp;$Q$2&amp;"'!H"&amp;ROW())),""))</f>
        <v/>
      </c>
      <c r="J62" s="15">
        <f>IF(OR(H62="",I62=""),"",H62-I62)</f>
        <v/>
      </c>
      <c r="K62" s="16">
        <f>IFERROR(J62/I62,"")</f>
        <v/>
      </c>
      <c r="L62" s="13">
        <f>IFERROR(D62/C62,"")</f>
        <v/>
      </c>
      <c r="M62" s="13">
        <f>IFERROR(H62/D62*1000,"")</f>
        <v/>
      </c>
      <c r="N62" s="13" t="n">
        <v>1382</v>
      </c>
      <c r="O62" s="15">
        <f>IFERROR(IF(OR(N62="",ISBLANK(INDIRECT("'"&amp;$Q$2&amp;"'!N"&amp;ROW()))),"",N62-INDIRECT("'"&amp;$Q$2&amp;"'!N"&amp;ROW())),"")</f>
        <v/>
      </c>
      <c r="P62" s="2" t="n"/>
      <c r="Q62" s="2" t="n"/>
      <c r="R62" s="2" t="n"/>
      <c r="S62" s="18">
        <f>IFERROR(IF(ISBLANK(INDIRECT("'"&amp;$Q$2&amp;"'!G"&amp;ROW())),"",INDIRECT("'"&amp;$Q$2&amp;"'!G"&amp;ROW())),"")</f>
        <v/>
      </c>
      <c r="T62" s="20">
        <f>IF(OR($G62="",$S62=""),"",$G62-$S62)</f>
        <v/>
      </c>
      <c r="U62" s="18">
        <f>IFERROR(IF(ISBLANK(INDIRECT("'"&amp;$Q$2&amp;"'!K"&amp;ROW())),"",INDIRECT("'"&amp;$Q$2&amp;"'!K"&amp;ROW())),"")</f>
        <v/>
      </c>
      <c r="V62" s="20">
        <f>IF(OR($K62="",$U62=""),"",$K62-$U62)</f>
        <v/>
      </c>
      <c r="W62" s="21">
        <f>IFERROR(IF(ISBLANK(INDIRECT("'"&amp;$Q$2&amp;"'!O"&amp;ROW())),"",INDIRECT("'"&amp;$Q$2&amp;"'!O"&amp;ROW())),"")</f>
        <v/>
      </c>
      <c r="X62" s="21">
        <f>IF(OR($O62="",$W62=""),"",$O62-$W62)</f>
        <v/>
      </c>
      <c r="Y62" s="2" t="n"/>
      <c r="Z62" s="2" t="n"/>
    </row>
    <row r="63" ht="14.25" customHeight="1" s="58">
      <c r="A63" s="12" t="inlineStr">
        <is>
          <t>Telegram</t>
        </is>
      </c>
      <c r="B63" s="12" t="inlineStr">
        <is>
          <t>Пуровский</t>
        </is>
      </c>
      <c r="C63" s="13" t="n">
        <v>60</v>
      </c>
      <c r="D63" s="13" t="n">
        <v>21971</v>
      </c>
      <c r="E63" s="13">
        <f>IF($D63="","",IFERROR(IF(ISBLANK(INDIRECT("'"&amp;$Q$2&amp;"'!D"&amp;ROW())),"",INDIRECT("'"&amp;$Q$2&amp;"'!D"&amp;ROW())),""))</f>
        <v/>
      </c>
      <c r="F63" s="15">
        <f>IF(OR(D63="",E63=""),"",D63-E63)</f>
        <v/>
      </c>
      <c r="G63" s="16">
        <f>IFERROR(F63/E63,"")</f>
        <v/>
      </c>
      <c r="H63" s="13" t="n">
        <v>114</v>
      </c>
      <c r="I63" s="13">
        <f>IF($H63="","",IFERROR(IF(ISBLANK(INDIRECT("'"&amp;$Q$2&amp;"'!H"&amp;ROW())),"",INDIRECT("'"&amp;$Q$2&amp;"'!H"&amp;ROW())),""))</f>
        <v/>
      </c>
      <c r="J63" s="15">
        <f>IF(OR(H63="",I63=""),"",H63-I63)</f>
        <v/>
      </c>
      <c r="K63" s="16">
        <f>IFERROR(J63/I63,"")</f>
        <v/>
      </c>
      <c r="L63" s="13">
        <f>IFERROR(D63/C63,"")</f>
        <v/>
      </c>
      <c r="M63" s="13">
        <f>IFERROR(H63/D63*1000,"")</f>
        <v/>
      </c>
      <c r="N63" s="13" t="n">
        <v>5666</v>
      </c>
      <c r="O63" s="15">
        <f>IFERROR(IF(OR(N63="",ISBLANK(INDIRECT("'"&amp;$Q$2&amp;"'!N"&amp;ROW()))),"",N63-INDIRECT("'"&amp;$Q$2&amp;"'!N"&amp;ROW())),"")</f>
        <v/>
      </c>
      <c r="P63" s="2" t="n"/>
      <c r="Q63" s="2" t="n"/>
      <c r="R63" s="2" t="n"/>
      <c r="S63" s="18">
        <f>IFERROR(IF(ISBLANK(INDIRECT("'"&amp;$Q$2&amp;"'!G"&amp;ROW())),"",INDIRECT("'"&amp;$Q$2&amp;"'!G"&amp;ROW())),"")</f>
        <v/>
      </c>
      <c r="T63" s="20">
        <f>IF(OR($G63="",$S63=""),"",$G63-$S63)</f>
        <v/>
      </c>
      <c r="U63" s="18">
        <f>IFERROR(IF(ISBLANK(INDIRECT("'"&amp;$Q$2&amp;"'!K"&amp;ROW())),"",INDIRECT("'"&amp;$Q$2&amp;"'!K"&amp;ROW())),"")</f>
        <v/>
      </c>
      <c r="V63" s="20">
        <f>IF(OR($K63="",$U63=""),"",$K63-$U63)</f>
        <v/>
      </c>
      <c r="W63" s="21">
        <f>IFERROR(IF(ISBLANK(INDIRECT("'"&amp;$Q$2&amp;"'!O"&amp;ROW())),"",INDIRECT("'"&amp;$Q$2&amp;"'!O"&amp;ROW())),"")</f>
        <v/>
      </c>
      <c r="X63" s="21">
        <f>IF(OR($O63="",$W63=""),"",$O63-$W63)</f>
        <v/>
      </c>
      <c r="Y63" s="2" t="n"/>
      <c r="Z63" s="2" t="n"/>
    </row>
    <row r="64" ht="14.25" customHeight="1" s="58">
      <c r="A64" s="12" t="inlineStr">
        <is>
          <t>Telegram</t>
        </is>
      </c>
      <c r="B64" s="12" t="inlineStr">
        <is>
          <t>Тазовский</t>
        </is>
      </c>
      <c r="C64" s="13" t="n">
        <v>34</v>
      </c>
      <c r="D64" s="13" t="n">
        <v>3879</v>
      </c>
      <c r="E64" s="13">
        <f>IF($D64="","",IFERROR(IF(ISBLANK(INDIRECT("'"&amp;$Q$2&amp;"'!D"&amp;ROW())),"",INDIRECT("'"&amp;$Q$2&amp;"'!D"&amp;ROW())),""))</f>
        <v/>
      </c>
      <c r="F64" s="15">
        <f>IF(OR(D64="",E64=""),"",D64-E64)</f>
        <v/>
      </c>
      <c r="G64" s="16">
        <f>IFERROR(F64/E64,"")</f>
        <v/>
      </c>
      <c r="H64" s="13" t="n">
        <v>4</v>
      </c>
      <c r="I64" s="13">
        <f>IF($H64="","",IFERROR(IF(ISBLANK(INDIRECT("'"&amp;$Q$2&amp;"'!H"&amp;ROW())),"",INDIRECT("'"&amp;$Q$2&amp;"'!H"&amp;ROW())),""))</f>
        <v/>
      </c>
      <c r="J64" s="15">
        <f>IF(OR(H64="",I64=""),"",H64-I64)</f>
        <v/>
      </c>
      <c r="K64" s="16">
        <f>IFERROR(J64/I64,"")</f>
        <v/>
      </c>
      <c r="L64" s="13">
        <f>IFERROR(D64/C64,"")</f>
        <v/>
      </c>
      <c r="M64" s="13">
        <f>IFERROR(H64/D64*1000,"")</f>
        <v/>
      </c>
      <c r="N64" s="13" t="n">
        <v>1823</v>
      </c>
      <c r="O64" s="15">
        <f>IFERROR(IF(OR(N64="",ISBLANK(INDIRECT("'"&amp;$Q$2&amp;"'!N"&amp;ROW()))),"",N64-INDIRECT("'"&amp;$Q$2&amp;"'!N"&amp;ROW())),"")</f>
        <v/>
      </c>
      <c r="P64" s="2" t="n"/>
      <c r="Q64" s="2" t="n"/>
      <c r="R64" s="2" t="n"/>
      <c r="S64" s="18">
        <f>IFERROR(IF(ISBLANK(INDIRECT("'"&amp;$Q$2&amp;"'!G"&amp;ROW())),"",INDIRECT("'"&amp;$Q$2&amp;"'!G"&amp;ROW())),"")</f>
        <v/>
      </c>
      <c r="T64" s="20">
        <f>IF(OR($G64="",$S64=""),"",$G64-$S64)</f>
        <v/>
      </c>
      <c r="U64" s="18">
        <f>IFERROR(IF(ISBLANK(INDIRECT("'"&amp;$Q$2&amp;"'!K"&amp;ROW())),"",INDIRECT("'"&amp;$Q$2&amp;"'!K"&amp;ROW())),"")</f>
        <v/>
      </c>
      <c r="V64" s="20">
        <f>IF(OR($K64="",$U64=""),"",$K64-$U64)</f>
        <v/>
      </c>
      <c r="W64" s="21">
        <f>IFERROR(IF(ISBLANK(INDIRECT("'"&amp;$Q$2&amp;"'!O"&amp;ROW())),"",INDIRECT("'"&amp;$Q$2&amp;"'!O"&amp;ROW())),"")</f>
        <v/>
      </c>
      <c r="X64" s="21">
        <f>IF(OR($O64="",$W64=""),"",$O64-$W64)</f>
        <v/>
      </c>
      <c r="Y64" s="2" t="n"/>
      <c r="Z64" s="2" t="n"/>
    </row>
    <row r="65" ht="14.25" customHeight="1" s="58">
      <c r="A65" s="12" t="inlineStr">
        <is>
          <t>Telegram</t>
        </is>
      </c>
      <c r="B65" s="12" t="inlineStr">
        <is>
          <t>Красноселькуп</t>
        </is>
      </c>
      <c r="C65" s="13" t="n">
        <v>33</v>
      </c>
      <c r="D65" s="13" t="n">
        <v>2756</v>
      </c>
      <c r="E65" s="13">
        <f>IF($D65="","",IFERROR(IF(ISBLANK(INDIRECT("'"&amp;$Q$2&amp;"'!D"&amp;ROW())),"",INDIRECT("'"&amp;$Q$2&amp;"'!D"&amp;ROW())),""))</f>
        <v/>
      </c>
      <c r="F65" s="15">
        <f>IF(OR(D65="",E65=""),"",D65-E65)</f>
        <v/>
      </c>
      <c r="G65" s="16">
        <f>IFERROR(F65/E65,"")</f>
        <v/>
      </c>
      <c r="H65" s="13" t="n">
        <v>5</v>
      </c>
      <c r="I65" s="13">
        <f>IF($H65="","",IFERROR(IF(ISBLANK(INDIRECT("'"&amp;$Q$2&amp;"'!H"&amp;ROW())),"",INDIRECT("'"&amp;$Q$2&amp;"'!H"&amp;ROW())),""))</f>
        <v/>
      </c>
      <c r="J65" s="15">
        <f>IF(OR(H65="",I65=""),"",H65-I65)</f>
        <v/>
      </c>
      <c r="K65" s="16">
        <f>IFERROR(J65/I65,"")</f>
        <v/>
      </c>
      <c r="L65" s="13">
        <f>IFERROR(D65/C65,"")</f>
        <v/>
      </c>
      <c r="M65" s="13">
        <f>IFERROR(H65/D65*1000,"")</f>
        <v/>
      </c>
      <c r="N65" s="13" t="n">
        <v>873</v>
      </c>
      <c r="O65" s="15">
        <f>IFERROR(IF(OR(N65="",ISBLANK(INDIRECT("'"&amp;$Q$2&amp;"'!N"&amp;ROW()))),"",N65-INDIRECT("'"&amp;$Q$2&amp;"'!N"&amp;ROW())),"")</f>
        <v/>
      </c>
      <c r="P65" s="2" t="n"/>
      <c r="Q65" s="2" t="n"/>
      <c r="R65" s="2" t="n"/>
      <c r="S65" s="18">
        <f>IFERROR(IF(ISBLANK(INDIRECT("'"&amp;$Q$2&amp;"'!G"&amp;ROW())),"",INDIRECT("'"&amp;$Q$2&amp;"'!G"&amp;ROW())),"")</f>
        <v/>
      </c>
      <c r="T65" s="20">
        <f>IF(OR($G65="",$S65=""),"",$G65-$S65)</f>
        <v/>
      </c>
      <c r="U65" s="18">
        <f>IFERROR(IF(ISBLANK(INDIRECT("'"&amp;$Q$2&amp;"'!K"&amp;ROW())),"",INDIRECT("'"&amp;$Q$2&amp;"'!K"&amp;ROW())),"")</f>
        <v/>
      </c>
      <c r="V65" s="20">
        <f>IF(OR($K65="",$U65=""),"",$K65-$U65)</f>
        <v/>
      </c>
      <c r="W65" s="21">
        <f>IFERROR(IF(ISBLANK(INDIRECT("'"&amp;$Q$2&amp;"'!O"&amp;ROW())),"",INDIRECT("'"&amp;$Q$2&amp;"'!O"&amp;ROW())),"")</f>
        <v/>
      </c>
      <c r="X65" s="21">
        <f>IF(OR($O65="",$W65=""),"",$O65-$W65)</f>
        <v/>
      </c>
      <c r="Y65" s="2" t="n"/>
      <c r="Z65" s="2" t="n"/>
    </row>
    <row r="66" ht="14.25" customHeight="1" s="58">
      <c r="A66" s="12" t="inlineStr">
        <is>
          <t>Telegram</t>
        </is>
      </c>
      <c r="B66" s="12" t="inlineStr">
        <is>
          <t>Ямальский</t>
        </is>
      </c>
      <c r="C66" s="13" t="n">
        <v>53</v>
      </c>
      <c r="D66" s="13" t="n">
        <v>3491</v>
      </c>
      <c r="E66" s="13">
        <f>IF($D66="","",IFERROR(IF(ISBLANK(INDIRECT("'"&amp;$Q$2&amp;"'!D"&amp;ROW())),"",INDIRECT("'"&amp;$Q$2&amp;"'!D"&amp;ROW())),""))</f>
        <v/>
      </c>
      <c r="F66" s="15">
        <f>IF(OR(D66="",E66=""),"",D66-E66)</f>
        <v/>
      </c>
      <c r="G66" s="16">
        <f>IFERROR(F66/E66,"")</f>
        <v/>
      </c>
      <c r="H66" s="13" t="n">
        <v>8</v>
      </c>
      <c r="I66" s="13">
        <f>IF($H66="","",IFERROR(IF(ISBLANK(INDIRECT("'"&amp;$Q$2&amp;"'!H"&amp;ROW())),"",INDIRECT("'"&amp;$Q$2&amp;"'!H"&amp;ROW())),""))</f>
        <v/>
      </c>
      <c r="J66" s="15">
        <f>IF(OR(H66="",I66=""),"",H66-I66)</f>
        <v/>
      </c>
      <c r="K66" s="16">
        <f>IFERROR(J66/I66,"")</f>
        <v/>
      </c>
      <c r="L66" s="13">
        <f>IFERROR(D66/C66,"")</f>
        <v/>
      </c>
      <c r="M66" s="13">
        <f>IFERROR(H66/D66*1000,"")</f>
        <v/>
      </c>
      <c r="N66" s="13" t="n">
        <v>853</v>
      </c>
      <c r="O66" s="15">
        <f>IFERROR(IF(OR(N66="",ISBLANK(INDIRECT("'"&amp;$Q$2&amp;"'!N"&amp;ROW()))),"",N66-INDIRECT("'"&amp;$Q$2&amp;"'!N"&amp;ROW())),"")</f>
        <v/>
      </c>
      <c r="P66" s="2" t="n"/>
      <c r="Q66" s="2" t="n"/>
      <c r="R66" s="2" t="n"/>
      <c r="S66" s="18">
        <f>IFERROR(IF(ISBLANK(INDIRECT("'"&amp;$Q$2&amp;"'!G"&amp;ROW())),"",INDIRECT("'"&amp;$Q$2&amp;"'!G"&amp;ROW())),"")</f>
        <v/>
      </c>
      <c r="T66" s="20">
        <f>IF(OR($G66="",$S66=""),"",$G66-$S66)</f>
        <v/>
      </c>
      <c r="U66" s="18">
        <f>IFERROR(IF(ISBLANK(INDIRECT("'"&amp;$Q$2&amp;"'!K"&amp;ROW())),"",INDIRECT("'"&amp;$Q$2&amp;"'!K"&amp;ROW())),"")</f>
        <v/>
      </c>
      <c r="V66" s="20">
        <f>IF(OR($K66="",$U66=""),"",$K66-$U66)</f>
        <v/>
      </c>
      <c r="W66" s="21">
        <f>IFERROR(IF(ISBLANK(INDIRECT("'"&amp;$Q$2&amp;"'!O"&amp;ROW())),"",INDIRECT("'"&amp;$Q$2&amp;"'!O"&amp;ROW())),"")</f>
        <v/>
      </c>
      <c r="X66" s="21">
        <f>IF(OR($O66="",$W66=""),"",$O66-$W66)</f>
        <v/>
      </c>
      <c r="Y66" s="2" t="n"/>
      <c r="Z66" s="2" t="n"/>
    </row>
    <row r="67" ht="14.25" customHeight="1" s="58">
      <c r="A67" s="12" t="inlineStr">
        <is>
          <t>Telegram</t>
        </is>
      </c>
      <c r="B67" s="12" t="inlineStr">
        <is>
          <t>Шурышкарский</t>
        </is>
      </c>
      <c r="C67" s="13" t="n">
        <v>33</v>
      </c>
      <c r="D67" s="13" t="n">
        <v>3794</v>
      </c>
      <c r="E67" s="13">
        <f>IF($D67="","",IFERROR(IF(ISBLANK(INDIRECT("'"&amp;$Q$2&amp;"'!D"&amp;ROW())),"",INDIRECT("'"&amp;$Q$2&amp;"'!D"&amp;ROW())),""))</f>
        <v/>
      </c>
      <c r="F67" s="15">
        <f>IF(OR(D67="",E67=""),"",D67-E67)</f>
        <v/>
      </c>
      <c r="G67" s="16">
        <f>IFERROR(F67/E67,"")</f>
        <v/>
      </c>
      <c r="H67" s="13" t="n">
        <v>17</v>
      </c>
      <c r="I67" s="13">
        <f>IF($H67="","",IFERROR(IF(ISBLANK(INDIRECT("'"&amp;$Q$2&amp;"'!H"&amp;ROW())),"",INDIRECT("'"&amp;$Q$2&amp;"'!H"&amp;ROW())),""))</f>
        <v/>
      </c>
      <c r="J67" s="15">
        <f>IF(OR(H67="",I67=""),"",H67-I67)</f>
        <v/>
      </c>
      <c r="K67" s="16">
        <f>IFERROR(J67/I67,"")</f>
        <v/>
      </c>
      <c r="L67" s="13">
        <f>IFERROR(D67/C67,"")</f>
        <v/>
      </c>
      <c r="M67" s="13">
        <f>IFERROR(H67/D67*1000,"")</f>
        <v/>
      </c>
      <c r="N67" s="13" t="n">
        <v>1171</v>
      </c>
      <c r="O67" s="15">
        <f>IFERROR(IF(OR(N67="",ISBLANK(INDIRECT("'"&amp;$Q$2&amp;"'!N"&amp;ROW()))),"",N67-INDIRECT("'"&amp;$Q$2&amp;"'!N"&amp;ROW())),"")</f>
        <v/>
      </c>
      <c r="P67" s="2" t="n"/>
      <c r="Q67" s="2" t="n"/>
      <c r="R67" s="2" t="n"/>
      <c r="S67" s="18">
        <f>IFERROR(IF(ISBLANK(INDIRECT("'"&amp;$Q$2&amp;"'!G"&amp;ROW())),"",INDIRECT("'"&amp;$Q$2&amp;"'!G"&amp;ROW())),"")</f>
        <v/>
      </c>
      <c r="T67" s="20">
        <f>IF(OR($G67="",$S67=""),"",$G67-$S67)</f>
        <v/>
      </c>
      <c r="U67" s="18">
        <f>IFERROR(IF(ISBLANK(INDIRECT("'"&amp;$Q$2&amp;"'!K"&amp;ROW())),"",INDIRECT("'"&amp;$Q$2&amp;"'!K"&amp;ROW())),"")</f>
        <v/>
      </c>
      <c r="V67" s="20">
        <f>IF(OR($K67="",$U67=""),"",$K67-$U67)</f>
        <v/>
      </c>
      <c r="W67" s="21">
        <f>IFERROR(IF(ISBLANK(INDIRECT("'"&amp;$Q$2&amp;"'!O"&amp;ROW())),"",INDIRECT("'"&amp;$Q$2&amp;"'!O"&amp;ROW())),"")</f>
        <v/>
      </c>
      <c r="X67" s="21">
        <f>IF(OR($O67="",$W67=""),"",$O67-$W67)</f>
        <v/>
      </c>
      <c r="Y67" s="2" t="n"/>
      <c r="Z67" s="2" t="n"/>
    </row>
    <row r="68" ht="14.25" customHeight="1" s="58">
      <c r="A68" s="12" t="inlineStr">
        <is>
          <t>Telegram</t>
        </is>
      </c>
      <c r="B68" s="12" t="inlineStr">
        <is>
          <t>Муравленко</t>
        </is>
      </c>
      <c r="C68" s="13" t="n">
        <v>52</v>
      </c>
      <c r="D68" s="13" t="n">
        <v>17741</v>
      </c>
      <c r="E68" s="13">
        <f>IF($D68="","",IFERROR(IF(ISBLANK(INDIRECT("'"&amp;$Q$2&amp;"'!D"&amp;ROW())),"",INDIRECT("'"&amp;$Q$2&amp;"'!D"&amp;ROW())),""))</f>
        <v/>
      </c>
      <c r="F68" s="15">
        <f>IF(OR(D68="",E68=""),"",D68-E68)</f>
        <v/>
      </c>
      <c r="G68" s="16">
        <f>IFERROR(F68/E68,"")</f>
        <v/>
      </c>
      <c r="H68" s="13" t="n">
        <v>98</v>
      </c>
      <c r="I68" s="13">
        <f>IF($H68="","",IFERROR(IF(ISBLANK(INDIRECT("'"&amp;$Q$2&amp;"'!H"&amp;ROW())),"",INDIRECT("'"&amp;$Q$2&amp;"'!H"&amp;ROW())),""))</f>
        <v/>
      </c>
      <c r="J68" s="15">
        <f>IF(OR(H68="",I68=""),"",H68-I68)</f>
        <v/>
      </c>
      <c r="K68" s="16">
        <f>IFERROR(J68/I68,"")</f>
        <v/>
      </c>
      <c r="L68" s="13">
        <f>IFERROR(D68/C68,"")</f>
        <v/>
      </c>
      <c r="M68" s="13">
        <f>IFERROR(H68/D68*1000,"")</f>
        <v/>
      </c>
      <c r="N68" s="13" t="n">
        <v>4423</v>
      </c>
      <c r="O68" s="15">
        <f>IFERROR(IF(OR(N68="",ISBLANK(INDIRECT("'"&amp;$Q$2&amp;"'!N"&amp;ROW()))),"",N68-INDIRECT("'"&amp;$Q$2&amp;"'!N"&amp;ROW())),"")</f>
        <v/>
      </c>
      <c r="P68" s="2" t="n"/>
      <c r="Q68" s="2" t="n"/>
      <c r="R68" s="2" t="n"/>
      <c r="S68" s="18">
        <f>IFERROR(IF(ISBLANK(INDIRECT("'"&amp;$Q$2&amp;"'!G"&amp;ROW())),"",INDIRECT("'"&amp;$Q$2&amp;"'!G"&amp;ROW())),"")</f>
        <v/>
      </c>
      <c r="T68" s="20">
        <f>IF(OR($G68="",$S68=""),"",$G68-$S68)</f>
        <v/>
      </c>
      <c r="U68" s="18">
        <f>IFERROR(IF(ISBLANK(INDIRECT("'"&amp;$Q$2&amp;"'!K"&amp;ROW())),"",INDIRECT("'"&amp;$Q$2&amp;"'!K"&amp;ROW())),"")</f>
        <v/>
      </c>
      <c r="V68" s="20">
        <f>IF(OR($K68="",$U68=""),"",$K68-$U68)</f>
        <v/>
      </c>
      <c r="W68" s="21">
        <f>IFERROR(IF(ISBLANK(INDIRECT("'"&amp;$Q$2&amp;"'!O"&amp;ROW())),"",INDIRECT("'"&amp;$Q$2&amp;"'!O"&amp;ROW())),"")</f>
        <v/>
      </c>
      <c r="X68" s="21">
        <f>IF(OR($O68="",$W68=""),"",$O68-$W68)</f>
        <v/>
      </c>
      <c r="Y68" s="2" t="n"/>
      <c r="Z68" s="2" t="n"/>
    </row>
    <row r="69" ht="14.25" customHeight="1" s="58">
      <c r="A69" s="12" t="inlineStr">
        <is>
          <t>Telegram</t>
        </is>
      </c>
      <c r="B69" s="12" t="inlineStr">
        <is>
          <t>Губкинский</t>
        </is>
      </c>
      <c r="C69" s="13" t="n">
        <v>59</v>
      </c>
      <c r="D69" s="13" t="n">
        <v>27146</v>
      </c>
      <c r="E69" s="13">
        <f>IF($D69="","",IFERROR(IF(ISBLANK(INDIRECT("'"&amp;$Q$2&amp;"'!D"&amp;ROW())),"",INDIRECT("'"&amp;$Q$2&amp;"'!D"&amp;ROW())),""))</f>
        <v/>
      </c>
      <c r="F69" s="15">
        <f>IF(OR(D69="",E69=""),"",D69-E69)</f>
        <v/>
      </c>
      <c r="G69" s="16">
        <f>IFERROR(F69/E69,"")</f>
        <v/>
      </c>
      <c r="H69" s="13" t="n">
        <v>265</v>
      </c>
      <c r="I69" s="13">
        <f>IF($H69="","",IFERROR(IF(ISBLANK(INDIRECT("'"&amp;$Q$2&amp;"'!H"&amp;ROW())),"",INDIRECT("'"&amp;$Q$2&amp;"'!H"&amp;ROW())),""))</f>
        <v/>
      </c>
      <c r="J69" s="15">
        <f>IF(OR(H69="",I69=""),"",H69-I69)</f>
        <v/>
      </c>
      <c r="K69" s="16">
        <f>IFERROR(J69/I69,"")</f>
        <v/>
      </c>
      <c r="L69" s="13">
        <f>IFERROR(D69/C69,"")</f>
        <v/>
      </c>
      <c r="M69" s="13">
        <f>IFERROR(H69/D69*1000,"")</f>
        <v/>
      </c>
      <c r="N69" s="13" t="n">
        <v>5528</v>
      </c>
      <c r="O69" s="15">
        <f>IFERROR(IF(OR(N69="",ISBLANK(INDIRECT("'"&amp;$Q$2&amp;"'!N"&amp;ROW()))),"",N69-INDIRECT("'"&amp;$Q$2&amp;"'!N"&amp;ROW())),"")</f>
        <v/>
      </c>
      <c r="P69" s="2" t="n"/>
      <c r="Q69" s="2" t="n"/>
      <c r="R69" s="2" t="n"/>
      <c r="S69" s="18">
        <f>IFERROR(IF(ISBLANK(INDIRECT("'"&amp;$Q$2&amp;"'!G"&amp;ROW())),"",INDIRECT("'"&amp;$Q$2&amp;"'!G"&amp;ROW())),"")</f>
        <v/>
      </c>
      <c r="T69" s="20">
        <f>IF(OR($G69="",$S69=""),"",$G69-$S69)</f>
        <v/>
      </c>
      <c r="U69" s="18">
        <f>IFERROR(IF(ISBLANK(INDIRECT("'"&amp;$Q$2&amp;"'!K"&amp;ROW())),"",INDIRECT("'"&amp;$Q$2&amp;"'!K"&amp;ROW())),"")</f>
        <v/>
      </c>
      <c r="V69" s="20">
        <f>IF(OR($K69="",$U69=""),"",$K69-$U69)</f>
        <v/>
      </c>
      <c r="W69" s="21">
        <f>IFERROR(IF(ISBLANK(INDIRECT("'"&amp;$Q$2&amp;"'!O"&amp;ROW())),"",INDIRECT("'"&amp;$Q$2&amp;"'!O"&amp;ROW())),"")</f>
        <v/>
      </c>
      <c r="X69" s="21">
        <f>IF(OR($O69="",$W69=""),"",$O69-$W69)</f>
        <v/>
      </c>
      <c r="Y69" s="2" t="n"/>
      <c r="Z69" s="2" t="n"/>
    </row>
    <row r="70" ht="14.25" customHeight="1" s="58">
      <c r="A70" s="12" t="inlineStr">
        <is>
          <t>Telegram</t>
        </is>
      </c>
      <c r="B70" s="12" t="inlineStr">
        <is>
          <t>МК-Ямал</t>
        </is>
      </c>
      <c r="C70" s="13" t="n">
        <v>228</v>
      </c>
      <c r="D70" s="13" t="n">
        <v>3933</v>
      </c>
      <c r="E70" s="13">
        <f>IF($D70="","",IFERROR(IF(ISBLANK(INDIRECT("'"&amp;$Q$2&amp;"'!D"&amp;ROW())),"",INDIRECT("'"&amp;$Q$2&amp;"'!D"&amp;ROW())),""))</f>
        <v/>
      </c>
      <c r="F70" s="15">
        <f>IF(OR(D70="",E70=""),"",D70-E70)</f>
        <v/>
      </c>
      <c r="G70" s="16">
        <f>IFERROR(F70/E70,"")</f>
        <v/>
      </c>
      <c r="H70" s="13" t="n">
        <v>2</v>
      </c>
      <c r="I70" s="13">
        <f>IF($H70="","",IFERROR(IF(ISBLANK(INDIRECT("'"&amp;$Q$2&amp;"'!H"&amp;ROW())),"",INDIRECT("'"&amp;$Q$2&amp;"'!H"&amp;ROW())),""))</f>
        <v/>
      </c>
      <c r="J70" s="15">
        <f>IF(OR(H70="",I70=""),"",H70-I70)</f>
        <v/>
      </c>
      <c r="K70" s="16">
        <f>IFERROR(J70/I70,"")</f>
        <v/>
      </c>
      <c r="L70" s="13">
        <f>IFERROR(D70/C70,"")</f>
        <v/>
      </c>
      <c r="M70" s="13">
        <f>IFERROR(H70/D70*1000,"")</f>
        <v/>
      </c>
      <c r="N70" s="13" t="n">
        <v>692</v>
      </c>
      <c r="O70" s="15">
        <f>IFERROR(IF(OR(N70="",ISBLANK(INDIRECT("'"&amp;$Q$2&amp;"'!N"&amp;ROW()))),"",N70-INDIRECT("'"&amp;$Q$2&amp;"'!N"&amp;ROW())),"")</f>
        <v/>
      </c>
      <c r="P70" s="2" t="n"/>
      <c r="Q70" s="2" t="n"/>
      <c r="R70" s="2" t="n"/>
      <c r="S70" s="18">
        <f>IFERROR(IF(ISBLANK(INDIRECT("'"&amp;$Q$2&amp;"'!G"&amp;ROW())),"",INDIRECT("'"&amp;$Q$2&amp;"'!G"&amp;ROW())),"")</f>
        <v/>
      </c>
      <c r="T70" s="20">
        <f>IF(OR($G70="",$S70=""),"",$G70-$S70)</f>
        <v/>
      </c>
      <c r="U70" s="18">
        <f>IFERROR(IF(ISBLANK(INDIRECT("'"&amp;$Q$2&amp;"'!K"&amp;ROW())),"",INDIRECT("'"&amp;$Q$2&amp;"'!K"&amp;ROW())),"")</f>
        <v/>
      </c>
      <c r="V70" s="20">
        <f>IF(OR($K70="",$U70=""),"",$K70-$U70)</f>
        <v/>
      </c>
      <c r="W70" s="21">
        <f>IFERROR(IF(ISBLANK(INDIRECT("'"&amp;$Q$2&amp;"'!O"&amp;ROW())),"",INDIRECT("'"&amp;$Q$2&amp;"'!O"&amp;ROW())),"")</f>
        <v/>
      </c>
      <c r="X70" s="21">
        <f>IF(OR($O70="",$W70=""),"",$O70-$W70)</f>
        <v/>
      </c>
      <c r="Y70" s="2" t="n"/>
      <c r="Z70" s="2" t="n"/>
    </row>
    <row r="71" ht="14.25" customHeight="1" s="58">
      <c r="A71" s="12" t="inlineStr">
        <is>
          <t>Telegram</t>
        </is>
      </c>
      <c r="B71" s="12" t="inlineStr">
        <is>
          <t>Не олени</t>
        </is>
      </c>
      <c r="C71" s="13" t="n">
        <v>29</v>
      </c>
      <c r="D71" s="13" t="n">
        <v>7225</v>
      </c>
      <c r="E71" s="13">
        <f>IF($D71="","",IFERROR(IF(ISBLANK(INDIRECT("'"&amp;$Q$2&amp;"'!D"&amp;ROW())),"",INDIRECT("'"&amp;$Q$2&amp;"'!D"&amp;ROW())),""))</f>
        <v/>
      </c>
      <c r="F71" s="15">
        <f>IF(OR(D71="",E71=""),"",D71-E71)</f>
        <v/>
      </c>
      <c r="G71" s="16">
        <f>IFERROR(F71/E71,"")</f>
        <v/>
      </c>
      <c r="H71" s="13" t="n">
        <v>595</v>
      </c>
      <c r="I71" s="13">
        <f>IF($H71="","",IFERROR(IF(ISBLANK(INDIRECT("'"&amp;$Q$2&amp;"'!H"&amp;ROW())),"",INDIRECT("'"&amp;$Q$2&amp;"'!H"&amp;ROW())),""))</f>
        <v/>
      </c>
      <c r="J71" s="15">
        <f>IF(OR(H71="",I71=""),"",H71-I71)</f>
        <v/>
      </c>
      <c r="K71" s="16">
        <f>IFERROR(J71/I71,"")</f>
        <v/>
      </c>
      <c r="L71" s="13">
        <f>IFERROR(D71/C71,"")</f>
        <v/>
      </c>
      <c r="M71" s="13">
        <f>IFERROR(H71/D71*1000,"")</f>
        <v/>
      </c>
      <c r="N71" s="13" t="n">
        <v>2497</v>
      </c>
      <c r="O71" s="15">
        <f>IFERROR(IF(OR(N71="",ISBLANK(INDIRECT("'"&amp;$Q$2&amp;"'!N"&amp;ROW()))),"",N71-INDIRECT("'"&amp;$Q$2&amp;"'!N"&amp;ROW())),"")</f>
        <v/>
      </c>
      <c r="P71" s="2" t="n"/>
      <c r="Q71" s="2" t="n"/>
      <c r="R71" s="2" t="n"/>
      <c r="S71" s="18">
        <f>IFERROR(IF(ISBLANK(INDIRECT("'"&amp;$Q$2&amp;"'!G"&amp;ROW())),"",INDIRECT("'"&amp;$Q$2&amp;"'!G"&amp;ROW())),"")</f>
        <v/>
      </c>
      <c r="T71" s="20">
        <f>IF(OR($G71="",$S71=""),"",$G71-$S71)</f>
        <v/>
      </c>
      <c r="U71" s="18">
        <f>IFERROR(IF(ISBLANK(INDIRECT("'"&amp;$Q$2&amp;"'!K"&amp;ROW())),"",INDIRECT("'"&amp;$Q$2&amp;"'!K"&amp;ROW())),"")</f>
        <v/>
      </c>
      <c r="V71" s="20">
        <f>IF(OR($K71="",$U71=""),"",$K71-$U71)</f>
        <v/>
      </c>
      <c r="W71" s="21">
        <f>IFERROR(IF(ISBLANK(INDIRECT("'"&amp;$Q$2&amp;"'!O"&amp;ROW())),"",INDIRECT("'"&amp;$Q$2&amp;"'!O"&amp;ROW())),"")</f>
        <v/>
      </c>
      <c r="X71" s="21">
        <f>IF(OR($O71="",$W71=""),"",$O71-$W71)</f>
        <v/>
      </c>
      <c r="Y71" s="2" t="n"/>
      <c r="Z71" s="2" t="n"/>
    </row>
    <row r="72" ht="14.25" customHeight="1" s="58">
      <c r="A72" s="12" t="inlineStr">
        <is>
          <t>Telegram</t>
        </is>
      </c>
      <c r="B72" s="12" t="inlineStr">
        <is>
          <t>Ямальский меридиан</t>
        </is>
      </c>
      <c r="C72" s="13" t="n">
        <v>8</v>
      </c>
      <c r="D72" s="13" t="n">
        <v>800</v>
      </c>
      <c r="E72" s="13">
        <f>IF($D72="","",IFERROR(IF(ISBLANK(INDIRECT("'"&amp;$Q$2&amp;"'!D"&amp;ROW())),"",INDIRECT("'"&amp;$Q$2&amp;"'!D"&amp;ROW())),""))</f>
        <v/>
      </c>
      <c r="F72" s="15">
        <f>IF(OR(D72="",E72=""),"",D72-E72)</f>
        <v/>
      </c>
      <c r="G72" s="16">
        <f>IFERROR(F72/E72,"")</f>
        <v/>
      </c>
      <c r="H72" s="13" t="n">
        <v>50</v>
      </c>
      <c r="I72" s="13">
        <f>IF($H72="","",IFERROR(IF(ISBLANK(INDIRECT("'"&amp;$Q$2&amp;"'!H"&amp;ROW())),"",INDIRECT("'"&amp;$Q$2&amp;"'!H"&amp;ROW())),""))</f>
        <v/>
      </c>
      <c r="J72" s="15">
        <f>IF(OR(H72="",I72=""),"",H72-I72)</f>
        <v/>
      </c>
      <c r="K72" s="16">
        <f>IFERROR(J72/I72,"")</f>
        <v/>
      </c>
      <c r="L72" s="13">
        <f>IFERROR(D72/C72,"")</f>
        <v/>
      </c>
      <c r="M72" s="13">
        <f>IFERROR(H72/D72*1000,"")</f>
        <v/>
      </c>
      <c r="N72" s="13" t="n">
        <v>173</v>
      </c>
      <c r="O72" s="15">
        <f>IFERROR(IF(OR(N72="",ISBLANK(INDIRECT("'"&amp;$Q$2&amp;"'!N"&amp;ROW()))),"",N72-INDIRECT("'"&amp;$Q$2&amp;"'!N"&amp;ROW())),"")</f>
        <v/>
      </c>
      <c r="P72" s="2" t="n"/>
      <c r="Q72" s="2" t="n"/>
      <c r="R72" s="2" t="n"/>
      <c r="S72" s="18">
        <f>IFERROR(IF(ISBLANK(INDIRECT("'"&amp;$Q$2&amp;"'!G"&amp;ROW())),"",INDIRECT("'"&amp;$Q$2&amp;"'!G"&amp;ROW())),"")</f>
        <v/>
      </c>
      <c r="T72" s="20">
        <f>IF(OR($G72="",$S72=""),"",$G72-$S72)</f>
        <v/>
      </c>
      <c r="U72" s="18">
        <f>IFERROR(IF(ISBLANK(INDIRECT("'"&amp;$Q$2&amp;"'!K"&amp;ROW())),"",INDIRECT("'"&amp;$Q$2&amp;"'!K"&amp;ROW())),"")</f>
        <v/>
      </c>
      <c r="V72" s="20">
        <f>IF(OR($K72="",$U72=""),"",$K72-$U72)</f>
        <v/>
      </c>
      <c r="W72" s="21">
        <f>IFERROR(IF(ISBLANK(INDIRECT("'"&amp;$Q$2&amp;"'!O"&amp;ROW())),"",INDIRECT("'"&amp;$Q$2&amp;"'!O"&amp;ROW())),"")</f>
        <v/>
      </c>
      <c r="X72" s="21">
        <f>IF(OR($O72="",$W72=""),"",$O72-$W72)</f>
        <v/>
      </c>
      <c r="Y72" s="2" t="n"/>
      <c r="Z72" s="2" t="n"/>
    </row>
    <row r="73" ht="14.25" customHeight="1" s="58">
      <c r="A73" s="12" t="inlineStr">
        <is>
          <t>Telegram</t>
        </is>
      </c>
      <c r="B73" s="12" t="inlineStr">
        <is>
          <t>Морошка</t>
        </is>
      </c>
      <c r="C73" s="13" t="n">
        <v>6</v>
      </c>
      <c r="D73" s="13" t="n">
        <v>120</v>
      </c>
      <c r="E73" s="13">
        <f>IF($D73="","",IFERROR(IF(ISBLANK(INDIRECT("'"&amp;$Q$2&amp;"'!D"&amp;ROW())),"",INDIRECT("'"&amp;$Q$2&amp;"'!D"&amp;ROW())),""))</f>
        <v/>
      </c>
      <c r="F73" s="15">
        <f>IF(OR(D73="",E73=""),"",D73-E73)</f>
        <v/>
      </c>
      <c r="G73" s="16">
        <f>IFERROR(F73/E73,"")</f>
        <v/>
      </c>
      <c r="H73" s="13" t="n">
        <v>18</v>
      </c>
      <c r="I73" s="13">
        <f>IF($H73="","",IFERROR(IF(ISBLANK(INDIRECT("'"&amp;$Q$2&amp;"'!H"&amp;ROW())),"",INDIRECT("'"&amp;$Q$2&amp;"'!H"&amp;ROW())),""))</f>
        <v/>
      </c>
      <c r="J73" s="15">
        <f>IF(OR(H73="",I73=""),"",H73-I73)</f>
        <v/>
      </c>
      <c r="K73" s="16">
        <f>IFERROR(J73/I73,"")</f>
        <v/>
      </c>
      <c r="L73" s="13">
        <f>IFERROR(D73/C73,"")</f>
        <v/>
      </c>
      <c r="M73" s="13">
        <f>IFERROR(H73/D73*1000,"")</f>
        <v/>
      </c>
      <c r="N73" s="13" t="n">
        <v>53</v>
      </c>
      <c r="O73" s="15">
        <f>IFERROR(IF(OR(N73="",ISBLANK(INDIRECT("'"&amp;$Q$2&amp;"'!N"&amp;ROW()))),"",N73-INDIRECT("'"&amp;$Q$2&amp;"'!N"&amp;ROW())),"")</f>
        <v/>
      </c>
      <c r="P73" s="2" t="n"/>
      <c r="Q73" s="2" t="n"/>
      <c r="R73" s="2" t="n"/>
      <c r="S73" s="18">
        <f>IFERROR(IF(ISBLANK(INDIRECT("'"&amp;$Q$2&amp;"'!G"&amp;ROW())),"",INDIRECT("'"&amp;$Q$2&amp;"'!G"&amp;ROW())),"")</f>
        <v/>
      </c>
      <c r="T73" s="20">
        <f>IF(OR($G73="",$S73=""),"",$G73-$S73)</f>
        <v/>
      </c>
      <c r="U73" s="18">
        <f>IFERROR(IF(ISBLANK(INDIRECT("'"&amp;$Q$2&amp;"'!K"&amp;ROW())),"",INDIRECT("'"&amp;$Q$2&amp;"'!K"&amp;ROW())),"")</f>
        <v/>
      </c>
      <c r="V73" s="20">
        <f>IF(OR($K73="",$U73=""),"",$K73-$U73)</f>
        <v/>
      </c>
      <c r="W73" s="21">
        <f>IFERROR(IF(ISBLANK(INDIRECT("'"&amp;$Q$2&amp;"'!O"&amp;ROW())),"",INDIRECT("'"&amp;$Q$2&amp;"'!O"&amp;ROW())),"")</f>
        <v/>
      </c>
      <c r="X73" s="21">
        <f>IF(OR($O73="",$W73=""),"",$O73-$W73)</f>
        <v/>
      </c>
      <c r="Y73" s="2" t="n"/>
      <c r="Z73" s="2" t="n"/>
    </row>
    <row r="74" ht="14.25" customHeight="1" s="58">
      <c r="A74" s="25" t="n"/>
      <c r="B74" s="25" t="inlineStr">
        <is>
          <t>Итого Telegram</t>
        </is>
      </c>
      <c r="C74" s="26">
        <f>SUM(C52:C73)</f>
        <v/>
      </c>
      <c r="D74" s="26">
        <f>SUM(D52:D73)</f>
        <v/>
      </c>
      <c r="E74" s="26">
        <f>SUM(E52:E73)</f>
        <v/>
      </c>
      <c r="F74" s="27">
        <f>SUM(F52:F73)</f>
        <v/>
      </c>
      <c r="G74" s="28">
        <f>IF(C74=0,"",IFERROR(F74/E74,""))</f>
        <v/>
      </c>
      <c r="H74" s="26">
        <f>SUM(H52:H73)</f>
        <v/>
      </c>
      <c r="I74" s="26">
        <f>SUM(I52:I73)</f>
        <v/>
      </c>
      <c r="J74" s="27">
        <f>SUM(J52:J73)</f>
        <v/>
      </c>
      <c r="K74" s="28">
        <f>IF(C74=0,"",IFERROR(J74/I74,""))</f>
        <v/>
      </c>
      <c r="L74" s="26">
        <f>IFERROR(D74/C74,"")</f>
        <v/>
      </c>
      <c r="M74" s="26">
        <f>IFERROR(H74/D74*1000,"")</f>
        <v/>
      </c>
      <c r="N74" s="26">
        <f>SUM(N52:N73)</f>
        <v/>
      </c>
      <c r="O74" s="27">
        <f>SUM(O52:O73)</f>
        <v/>
      </c>
      <c r="P74" s="2" t="n"/>
      <c r="Q74" s="2" t="n"/>
      <c r="R74" s="2" t="n"/>
      <c r="S74" s="29">
        <f>IFERROR(IF(ISBLANK(INDIRECT("'"&amp;$Q$2&amp;"'!G"&amp;ROW())),"",INDIRECT("'"&amp;$Q$2&amp;"'!G"&amp;ROW())),"")</f>
        <v/>
      </c>
      <c r="T74" s="30">
        <f>IF(OR($G74="",$S74=""),"",$G74-$S74)</f>
        <v/>
      </c>
      <c r="U74" s="29">
        <f>IFERROR(IF(ISBLANK(INDIRECT("'"&amp;$Q$2&amp;"'!K"&amp;ROW())),"",INDIRECT("'"&amp;$Q$2&amp;"'!K"&amp;ROW())),"")</f>
        <v/>
      </c>
      <c r="V74" s="30">
        <f>IF(OR($K74="",$U74=""),"",$K74-$U74)</f>
        <v/>
      </c>
      <c r="W74" s="31">
        <f>IFERROR(IF(ISBLANK(INDIRECT("'"&amp;$Q$2&amp;"'!O"&amp;ROW())),"",INDIRECT("'"&amp;$Q$2&amp;"'!O"&amp;ROW())),"")</f>
        <v/>
      </c>
      <c r="X74" s="31">
        <f>IF(OR(C74=0,$O74="",$W74=""),"",$O74-$W74)</f>
        <v/>
      </c>
      <c r="Y74" s="2" t="n"/>
      <c r="Z74" s="2" t="n"/>
    </row>
    <row r="75" ht="14.25" customHeight="1" s="58">
      <c r="A75" s="12" t="inlineStr">
        <is>
          <t>МАКС</t>
        </is>
      </c>
      <c r="B75" s="12" t="inlineStr">
        <is>
          <t>Ямал-Медиа</t>
        </is>
      </c>
      <c r="C75" s="13" t="n">
        <v>147</v>
      </c>
      <c r="D75" s="13" t="n">
        <v>148551</v>
      </c>
      <c r="E75" s="13">
        <f>IF($D75="","",IFERROR(IF(ISBLANK(INDIRECT("'"&amp;$Q$2&amp;"'!D"&amp;ROW())),"",INDIRECT("'"&amp;$Q$2&amp;"'!D"&amp;ROW())),""))</f>
        <v/>
      </c>
      <c r="F75" s="15">
        <f>IF(OR(D75="",E75=""),"",D75-E75)</f>
        <v/>
      </c>
      <c r="G75" s="16">
        <f>IFERROR(F75/E75,"")</f>
        <v/>
      </c>
      <c r="H75" s="13" t="n">
        <v>1780</v>
      </c>
      <c r="I75" s="13">
        <f>IF($H75="","",IFERROR(IF(ISBLANK(INDIRECT("'"&amp;$Q$2&amp;"'!H"&amp;ROW())),"",INDIRECT("'"&amp;$Q$2&amp;"'!H"&amp;ROW())),""))</f>
        <v/>
      </c>
      <c r="J75" s="15">
        <f>IF(OR(H75="",I75=""),"",H75-I75)</f>
        <v/>
      </c>
      <c r="K75" s="16">
        <f>IFERROR(J75/I75,"")</f>
        <v/>
      </c>
      <c r="L75" s="13">
        <f>IFERROR(D75/C75,"")</f>
        <v/>
      </c>
      <c r="M75" s="13">
        <f>IFERROR(H75/D75*1000,"")</f>
        <v/>
      </c>
      <c r="N75" s="13" t="n">
        <v>4281</v>
      </c>
      <c r="O75" s="15">
        <f>IFERROR(IF(OR(N75="",ISBLANK(INDIRECT("'"&amp;$Q$2&amp;"'!N"&amp;ROW()))),"",N75-INDIRECT("'"&amp;$Q$2&amp;"'!N"&amp;ROW())),"")</f>
        <v/>
      </c>
      <c r="P75" s="2" t="n"/>
      <c r="Q75" s="2" t="n"/>
      <c r="R75" s="2" t="n"/>
      <c r="S75" s="18">
        <f>IFERROR(IF(ISBLANK(INDIRECT("'"&amp;$Q$2&amp;"'!G"&amp;ROW())),"",INDIRECT("'"&amp;$Q$2&amp;"'!G"&amp;ROW())),"")</f>
        <v/>
      </c>
      <c r="T75" s="20">
        <f>IF(OR($G75="",$S75=""),"",$G75-$S75)</f>
        <v/>
      </c>
      <c r="U75" s="18">
        <f>IFERROR(IF(ISBLANK(INDIRECT("'"&amp;$Q$2&amp;"'!K"&amp;ROW())),"",INDIRECT("'"&amp;$Q$2&amp;"'!K"&amp;ROW())),"")</f>
        <v/>
      </c>
      <c r="V75" s="20">
        <f>IF(OR($K75="",$U75=""),"",$K75-$U75)</f>
        <v/>
      </c>
      <c r="W75" s="21">
        <f>IFERROR(IF(ISBLANK(INDIRECT("'"&amp;$Q$2&amp;"'!O"&amp;ROW())),"",INDIRECT("'"&amp;$Q$2&amp;"'!O"&amp;ROW())),"")</f>
        <v/>
      </c>
      <c r="X75" s="21">
        <f>IF(OR($O75="",$W75=""),"",$O75-$W75)</f>
        <v/>
      </c>
      <c r="Y75" s="2" t="n"/>
      <c r="Z75" s="2" t="n"/>
    </row>
    <row r="76" ht="14.25" customHeight="1" s="58">
      <c r="A76" s="12" t="inlineStr">
        <is>
          <t>МАКС</t>
        </is>
      </c>
      <c r="B76" s="12" t="inlineStr">
        <is>
          <t>Север-Пресс</t>
        </is>
      </c>
      <c r="C76" s="13" t="n">
        <v>149</v>
      </c>
      <c r="D76" s="13" t="n">
        <v>70047</v>
      </c>
      <c r="E76" s="13">
        <f>IF($D76="","",IFERROR(IF(ISBLANK(INDIRECT("'"&amp;$Q$2&amp;"'!D"&amp;ROW())),"",INDIRECT("'"&amp;$Q$2&amp;"'!D"&amp;ROW())),""))</f>
        <v/>
      </c>
      <c r="F76" s="15">
        <f>IF(OR(D76="",E76=""),"",D76-E76)</f>
        <v/>
      </c>
      <c r="G76" s="16">
        <f>IFERROR(F76/E76,"")</f>
        <v/>
      </c>
      <c r="H76" s="13" t="n">
        <v>295</v>
      </c>
      <c r="I76" s="13">
        <f>IF($H76="","",IFERROR(IF(ISBLANK(INDIRECT("'"&amp;$Q$2&amp;"'!H"&amp;ROW())),"",INDIRECT("'"&amp;$Q$2&amp;"'!H"&amp;ROW())),""))</f>
        <v/>
      </c>
      <c r="J76" s="15">
        <f>IF(OR(H76="",I76=""),"",H76-I76)</f>
        <v/>
      </c>
      <c r="K76" s="16">
        <f>IFERROR(J76/I76,"")</f>
        <v/>
      </c>
      <c r="L76" s="13">
        <f>IFERROR(D76/C76,"")</f>
        <v/>
      </c>
      <c r="M76" s="13">
        <f>IFERROR(H76/D76*1000,"")</f>
        <v/>
      </c>
      <c r="N76" s="13" t="n">
        <v>2221</v>
      </c>
      <c r="O76" s="15">
        <f>IFERROR(IF(OR(N76="",ISBLANK(INDIRECT("'"&amp;$Q$2&amp;"'!N"&amp;ROW()))),"",N76-INDIRECT("'"&amp;$Q$2&amp;"'!N"&amp;ROW())),"")</f>
        <v/>
      </c>
      <c r="P76" s="2" t="n"/>
      <c r="Q76" s="2" t="n"/>
      <c r="R76" s="2" t="n"/>
      <c r="S76" s="18">
        <f>IFERROR(IF(ISBLANK(INDIRECT("'"&amp;$Q$2&amp;"'!G"&amp;ROW())),"",INDIRECT("'"&amp;$Q$2&amp;"'!G"&amp;ROW())),"")</f>
        <v/>
      </c>
      <c r="T76" s="20">
        <f>IF(OR($G76="",$S76=""),"",$G76-$S76)</f>
        <v/>
      </c>
      <c r="U76" s="18">
        <f>IFERROR(IF(ISBLANK(INDIRECT("'"&amp;$Q$2&amp;"'!K"&amp;ROW())),"",INDIRECT("'"&amp;$Q$2&amp;"'!K"&amp;ROW())),"")</f>
        <v/>
      </c>
      <c r="V76" s="20">
        <f>IF(OR($K76="",$U76=""),"",$K76-$U76)</f>
        <v/>
      </c>
      <c r="W76" s="21">
        <f>IFERROR(IF(ISBLANK(INDIRECT("'"&amp;$Q$2&amp;"'!O"&amp;ROW())),"",INDIRECT("'"&amp;$Q$2&amp;"'!O"&amp;ROW())),"")</f>
        <v/>
      </c>
      <c r="X76" s="21">
        <f>IF(OR($O76="",$W76=""),"",$O76-$W76)</f>
        <v/>
      </c>
      <c r="Y76" s="2" t="n"/>
      <c r="Z76" s="2" t="n"/>
    </row>
    <row r="77" ht="14.25" customHeight="1" s="58">
      <c r="A77" s="12" t="inlineStr">
        <is>
          <t>МАКС</t>
        </is>
      </c>
      <c r="B77" s="12" t="inlineStr">
        <is>
          <t>Красный Север</t>
        </is>
      </c>
      <c r="C77" s="13" t="n">
        <v>88</v>
      </c>
      <c r="D77" s="13" t="n">
        <v>6026</v>
      </c>
      <c r="E77" s="13">
        <f>IF($D77="","",IFERROR(IF(ISBLANK(INDIRECT("'"&amp;$Q$2&amp;"'!D"&amp;ROW())),"",INDIRECT("'"&amp;$Q$2&amp;"'!D"&amp;ROW())),""))</f>
        <v/>
      </c>
      <c r="F77" s="15">
        <f>IF(OR(D77="",E77=""),"",D77-E77)</f>
        <v/>
      </c>
      <c r="G77" s="16">
        <f>IFERROR(F77/E77,"")</f>
        <v/>
      </c>
      <c r="H77" s="13" t="n">
        <v>13</v>
      </c>
      <c r="I77" s="13">
        <f>IF($H77="","",IFERROR(IF(ISBLANK(INDIRECT("'"&amp;$Q$2&amp;"'!H"&amp;ROW())),"",INDIRECT("'"&amp;$Q$2&amp;"'!H"&amp;ROW())),""))</f>
        <v/>
      </c>
      <c r="J77" s="15">
        <f>IF(OR(H77="",I77=""),"",H77-I77)</f>
        <v/>
      </c>
      <c r="K77" s="16">
        <f>IFERROR(J77/I77,"")</f>
        <v/>
      </c>
      <c r="L77" s="13">
        <f>IFERROR(D77/C77,"")</f>
        <v/>
      </c>
      <c r="M77" s="13">
        <f>IFERROR(H77/D77*1000,"")</f>
        <v/>
      </c>
      <c r="N77" s="13" t="n">
        <v>270</v>
      </c>
      <c r="O77" s="15">
        <f>IFERROR(IF(OR(N77="",ISBLANK(INDIRECT("'"&amp;$Q$2&amp;"'!N"&amp;ROW()))),"",N77-INDIRECT("'"&amp;$Q$2&amp;"'!N"&amp;ROW())),"")</f>
        <v/>
      </c>
      <c r="P77" s="2" t="n"/>
      <c r="Q77" s="2" t="n"/>
      <c r="R77" s="2" t="n"/>
      <c r="S77" s="18">
        <f>IFERROR(IF(ISBLANK(INDIRECT("'"&amp;$Q$2&amp;"'!G"&amp;ROW())),"",INDIRECT("'"&amp;$Q$2&amp;"'!G"&amp;ROW())),"")</f>
        <v/>
      </c>
      <c r="T77" s="20">
        <f>IF(OR($G77="",$S77=""),"",$G77-$S77)</f>
        <v/>
      </c>
      <c r="U77" s="18">
        <f>IFERROR(IF(ISBLANK(INDIRECT("'"&amp;$Q$2&amp;"'!K"&amp;ROW())),"",INDIRECT("'"&amp;$Q$2&amp;"'!K"&amp;ROW())),"")</f>
        <v/>
      </c>
      <c r="V77" s="20">
        <f>IF(OR($K77="",$U77=""),"",$K77-$U77)</f>
        <v/>
      </c>
      <c r="W77" s="21">
        <f>IFERROR(IF(ISBLANK(INDIRECT("'"&amp;$Q$2&amp;"'!O"&amp;ROW())),"",INDIRECT("'"&amp;$Q$2&amp;"'!O"&amp;ROW())),"")</f>
        <v/>
      </c>
      <c r="X77" s="21">
        <f>IF(OR($O77="",$W77=""),"",$O77-$W77)</f>
        <v/>
      </c>
      <c r="Y77" s="2" t="n"/>
      <c r="Z77" s="2" t="n"/>
    </row>
    <row r="78" ht="14.25" customHeight="1" s="58">
      <c r="A78" s="12" t="inlineStr">
        <is>
          <t>МАКС</t>
        </is>
      </c>
      <c r="B78" s="12" t="inlineStr">
        <is>
          <t>СМП</t>
        </is>
      </c>
      <c r="C78" s="13" t="n">
        <v>5</v>
      </c>
      <c r="D78" s="13" t="n">
        <v>6796</v>
      </c>
      <c r="E78" s="13">
        <f>IF($D78="","",IFERROR(IF(ISBLANK(INDIRECT("'"&amp;$Q$2&amp;"'!D"&amp;ROW())),"",INDIRECT("'"&amp;$Q$2&amp;"'!D"&amp;ROW())),""))</f>
        <v/>
      </c>
      <c r="F78" s="15">
        <f>IF(OR(D78="",E78=""),"",D78-E78)</f>
        <v/>
      </c>
      <c r="G78" s="16">
        <f>IFERROR(F78/E78,"")</f>
        <v/>
      </c>
      <c r="H78" s="13" t="n">
        <v>20</v>
      </c>
      <c r="I78" s="13">
        <f>IF($H78="","",IFERROR(IF(ISBLANK(INDIRECT("'"&amp;$Q$2&amp;"'!H"&amp;ROW())),"",INDIRECT("'"&amp;$Q$2&amp;"'!H"&amp;ROW())),""))</f>
        <v/>
      </c>
      <c r="J78" s="15">
        <f>IF(OR(H78="",I78=""),"",H78-I78)</f>
        <v/>
      </c>
      <c r="K78" s="16">
        <f>IFERROR(J78/I78,"")</f>
        <v/>
      </c>
      <c r="L78" s="13">
        <f>IFERROR(D78/C78,"")</f>
        <v/>
      </c>
      <c r="M78" s="13">
        <f>IFERROR(H78/D78*1000,"")</f>
        <v/>
      </c>
      <c r="N78" s="13" t="n">
        <v>207</v>
      </c>
      <c r="O78" s="15">
        <f>IFERROR(IF(OR(N78="",ISBLANK(INDIRECT("'"&amp;$Q$2&amp;"'!N"&amp;ROW()))),"",N78-INDIRECT("'"&amp;$Q$2&amp;"'!N"&amp;ROW())),"")</f>
        <v/>
      </c>
      <c r="P78" s="2" t="n"/>
      <c r="Q78" s="2" t="n"/>
      <c r="R78" s="2" t="n"/>
      <c r="S78" s="18">
        <f>IFERROR(IF(ISBLANK(INDIRECT("'"&amp;$Q$2&amp;"'!G"&amp;ROW())),"",INDIRECT("'"&amp;$Q$2&amp;"'!G"&amp;ROW())),"")</f>
        <v/>
      </c>
      <c r="T78" s="20">
        <f>IF(OR($G78="",$S78=""),"",$G78-$S78)</f>
        <v/>
      </c>
      <c r="U78" s="18">
        <f>IFERROR(IF(ISBLANK(INDIRECT("'"&amp;$Q$2&amp;"'!K"&amp;ROW())),"",INDIRECT("'"&amp;$Q$2&amp;"'!K"&amp;ROW())),"")</f>
        <v/>
      </c>
      <c r="V78" s="20">
        <f>IF(OR($K78="",$U78=""),"",$K78-$U78)</f>
        <v/>
      </c>
      <c r="W78" s="21">
        <f>IFERROR(IF(ISBLANK(INDIRECT("'"&amp;$Q$2&amp;"'!O"&amp;ROW())),"",INDIRECT("'"&amp;$Q$2&amp;"'!O"&amp;ROW())),"")</f>
        <v/>
      </c>
      <c r="X78" s="21">
        <f>IF(OR($O78="",$W78=""),"",$O78-$W78)</f>
        <v/>
      </c>
      <c r="Y78" s="2" t="n"/>
      <c r="Z78" s="2" t="n"/>
    </row>
    <row r="79" ht="14.25" customHeight="1" s="58">
      <c r="A79" s="12" t="inlineStr">
        <is>
          <t>МАКС</t>
        </is>
      </c>
      <c r="B79" s="12" t="inlineStr">
        <is>
          <t>СШХ</t>
        </is>
      </c>
      <c r="C79" s="13" t="n">
        <v>4</v>
      </c>
      <c r="D79" s="13" t="n">
        <v>65</v>
      </c>
      <c r="E79" s="13">
        <f>IF($D79="","",IFERROR(IF(ISBLANK(INDIRECT("'"&amp;$Q$2&amp;"'!D"&amp;ROW())),"",INDIRECT("'"&amp;$Q$2&amp;"'!D"&amp;ROW())),""))</f>
        <v/>
      </c>
      <c r="F79" s="15">
        <f>IF(OR(D79="",E79=""),"",D79-E79)</f>
        <v/>
      </c>
      <c r="G79" s="16">
        <f>IFERROR(F79/E79,"")</f>
        <v/>
      </c>
      <c r="H79" s="13" t="n">
        <v>0</v>
      </c>
      <c r="I79" s="13">
        <f>IF($H79="","",IFERROR(IF(ISBLANK(INDIRECT("'"&amp;$Q$2&amp;"'!H"&amp;ROW())),"",INDIRECT("'"&amp;$Q$2&amp;"'!H"&amp;ROW())),""))</f>
        <v/>
      </c>
      <c r="J79" s="15">
        <f>IF(OR(H79="",I79=""),"",H79-I79)</f>
        <v/>
      </c>
      <c r="K79" s="16">
        <f>IFERROR(J79/I79,"")</f>
        <v/>
      </c>
      <c r="L79" s="13">
        <f>IFERROR(D79/C79,"")</f>
        <v/>
      </c>
      <c r="M79" s="13">
        <f>IFERROR(H79/D79*1000,"")</f>
        <v/>
      </c>
      <c r="N79" s="13" t="n">
        <v>36</v>
      </c>
      <c r="O79" s="15">
        <f>IFERROR(IF(OR(N79="",ISBLANK(INDIRECT("'"&amp;$Q$2&amp;"'!N"&amp;ROW()))),"",N79-INDIRECT("'"&amp;$Q$2&amp;"'!N"&amp;ROW())),"")</f>
        <v/>
      </c>
      <c r="P79" s="2" t="n"/>
      <c r="Q79" s="2" t="n"/>
      <c r="R79" s="2" t="n"/>
      <c r="S79" s="18">
        <f>IFERROR(IF(ISBLANK(INDIRECT("'"&amp;$Q$2&amp;"'!G"&amp;ROW())),"",INDIRECT("'"&amp;$Q$2&amp;"'!G"&amp;ROW())),"")</f>
        <v/>
      </c>
      <c r="T79" s="20">
        <f>IF(OR($G79="",$S79=""),"",$G79-$S79)</f>
        <v/>
      </c>
      <c r="U79" s="18">
        <f>IFERROR(IF(ISBLANK(INDIRECT("'"&amp;$Q$2&amp;"'!K"&amp;ROW())),"",INDIRECT("'"&amp;$Q$2&amp;"'!K"&amp;ROW())),"")</f>
        <v/>
      </c>
      <c r="V79" s="20">
        <f>IF(OR($K79="",$U79=""),"",$K79-$U79)</f>
        <v/>
      </c>
      <c r="W79" s="21">
        <f>IFERROR(IF(ISBLANK(INDIRECT("'"&amp;$Q$2&amp;"'!O"&amp;ROW())),"",INDIRECT("'"&amp;$Q$2&amp;"'!O"&amp;ROW())),"")</f>
        <v/>
      </c>
      <c r="X79" s="21">
        <f>IF(OR($O79="",$W79=""),"",$O79-$W79)</f>
        <v/>
      </c>
      <c r="Y79" s="2" t="n"/>
      <c r="Z79" s="2" t="n"/>
    </row>
    <row r="80" ht="14.25" customHeight="1" s="58">
      <c r="A80" s="12" t="inlineStr">
        <is>
          <t>МАКС</t>
        </is>
      </c>
      <c r="B80" s="12" t="inlineStr">
        <is>
          <t>Новый Уренгой</t>
        </is>
      </c>
      <c r="C80" s="13" t="n">
        <v>101</v>
      </c>
      <c r="D80" s="13" t="n">
        <v>173873</v>
      </c>
      <c r="E80" s="13">
        <f>IF($D80="","",IFERROR(IF(ISBLANK(INDIRECT("'"&amp;$Q$2&amp;"'!D"&amp;ROW())),"",INDIRECT("'"&amp;$Q$2&amp;"'!D"&amp;ROW())),""))</f>
        <v/>
      </c>
      <c r="F80" s="15">
        <f>IF(OR(D80="",E80=""),"",D80-E80)</f>
        <v/>
      </c>
      <c r="G80" s="16">
        <f>IFERROR(F80/E80,"")</f>
        <v/>
      </c>
      <c r="H80" s="13" t="n">
        <v>1956</v>
      </c>
      <c r="I80" s="13">
        <f>IF($H80="","",IFERROR(IF(ISBLANK(INDIRECT("'"&amp;$Q$2&amp;"'!H"&amp;ROW())),"",INDIRECT("'"&amp;$Q$2&amp;"'!H"&amp;ROW())),""))</f>
        <v/>
      </c>
      <c r="J80" s="15">
        <f>IF(OR(H80="",I80=""),"",H80-I80)</f>
        <v/>
      </c>
      <c r="K80" s="16">
        <f>IFERROR(J80/I80,"")</f>
        <v/>
      </c>
      <c r="L80" s="13">
        <f>IFERROR(D80/C80,"")</f>
        <v/>
      </c>
      <c r="M80" s="13">
        <f>IFERROR(H80/D80*1000,"")</f>
        <v/>
      </c>
      <c r="N80" s="13" t="n">
        <v>4314</v>
      </c>
      <c r="O80" s="15">
        <f>IFERROR(IF(OR(N80="",ISBLANK(INDIRECT("'"&amp;$Q$2&amp;"'!N"&amp;ROW()))),"",N80-INDIRECT("'"&amp;$Q$2&amp;"'!N"&amp;ROW())),"")</f>
        <v/>
      </c>
      <c r="P80" s="2" t="n"/>
      <c r="Q80" s="2" t="n"/>
      <c r="R80" s="2" t="n"/>
      <c r="S80" s="18">
        <f>IFERROR(IF(ISBLANK(INDIRECT("'"&amp;$Q$2&amp;"'!G"&amp;ROW())),"",INDIRECT("'"&amp;$Q$2&amp;"'!G"&amp;ROW())),"")</f>
        <v/>
      </c>
      <c r="T80" s="20">
        <f>IF(OR($G80="",$S80=""),"",$G80-$S80)</f>
        <v/>
      </c>
      <c r="U80" s="18">
        <f>IFERROR(IF(ISBLANK(INDIRECT("'"&amp;$Q$2&amp;"'!K"&amp;ROW())),"",INDIRECT("'"&amp;$Q$2&amp;"'!K"&amp;ROW())),"")</f>
        <v/>
      </c>
      <c r="V80" s="20">
        <f>IF(OR($K80="",$U80=""),"",$K80-$U80)</f>
        <v/>
      </c>
      <c r="W80" s="21">
        <f>IFERROR(IF(ISBLANK(INDIRECT("'"&amp;$Q$2&amp;"'!O"&amp;ROW())),"",INDIRECT("'"&amp;$Q$2&amp;"'!O"&amp;ROW())),"")</f>
        <v/>
      </c>
      <c r="X80" s="21">
        <f>IF(OR($O80="",$W80=""),"",$O80-$W80)</f>
        <v/>
      </c>
      <c r="Y80" s="2" t="n"/>
      <c r="Z80" s="2" t="n"/>
    </row>
    <row r="81" ht="14.25" customHeight="1" s="58">
      <c r="A81" s="12" t="inlineStr">
        <is>
          <t>МАКС</t>
        </is>
      </c>
      <c r="B81" s="12" t="inlineStr">
        <is>
          <t>Надым</t>
        </is>
      </c>
      <c r="C81" s="13" t="n">
        <v>99</v>
      </c>
      <c r="D81" s="13" t="n">
        <v>80926</v>
      </c>
      <c r="E81" s="13">
        <f>IF($D81="","",IFERROR(IF(ISBLANK(INDIRECT("'"&amp;$Q$2&amp;"'!D"&amp;ROW())),"",INDIRECT("'"&amp;$Q$2&amp;"'!D"&amp;ROW())),""))</f>
        <v/>
      </c>
      <c r="F81" s="15">
        <f>IF(OR(D81="",E81=""),"",D81-E81)</f>
        <v/>
      </c>
      <c r="G81" s="16">
        <f>IFERROR(F81/E81,"")</f>
        <v/>
      </c>
      <c r="H81" s="13" t="n">
        <v>2027</v>
      </c>
      <c r="I81" s="13">
        <f>IF($H81="","",IFERROR(IF(ISBLANK(INDIRECT("'"&amp;$Q$2&amp;"'!H"&amp;ROW())),"",INDIRECT("'"&amp;$Q$2&amp;"'!H"&amp;ROW())),""))</f>
        <v/>
      </c>
      <c r="J81" s="15">
        <f>IF(OR(H81="",I81=""),"",H81-I81)</f>
        <v/>
      </c>
      <c r="K81" s="16">
        <f>IFERROR(J81/I81,"")</f>
        <v/>
      </c>
      <c r="L81" s="13">
        <f>IFERROR(D81/C81,"")</f>
        <v/>
      </c>
      <c r="M81" s="13">
        <f>IFERROR(H81/D81*1000,"")</f>
        <v/>
      </c>
      <c r="N81" s="13" t="n">
        <v>2431</v>
      </c>
      <c r="O81" s="15">
        <f>IFERROR(IF(OR(N81="",ISBLANK(INDIRECT("'"&amp;$Q$2&amp;"'!N"&amp;ROW()))),"",N81-INDIRECT("'"&amp;$Q$2&amp;"'!N"&amp;ROW())),"")</f>
        <v/>
      </c>
      <c r="P81" s="2" t="n"/>
      <c r="Q81" s="2" t="n"/>
      <c r="R81" s="2" t="n"/>
      <c r="S81" s="18">
        <f>IFERROR(IF(ISBLANK(INDIRECT("'"&amp;$Q$2&amp;"'!G"&amp;ROW())),"",INDIRECT("'"&amp;$Q$2&amp;"'!G"&amp;ROW())),"")</f>
        <v/>
      </c>
      <c r="T81" s="20">
        <f>IF(OR($G81="",$S81=""),"",$G81-$S81)</f>
        <v/>
      </c>
      <c r="U81" s="18">
        <f>IFERROR(IF(ISBLANK(INDIRECT("'"&amp;$Q$2&amp;"'!K"&amp;ROW())),"",INDIRECT("'"&amp;$Q$2&amp;"'!K"&amp;ROW())),"")</f>
        <v/>
      </c>
      <c r="V81" s="20">
        <f>IF(OR($K81="",$U81=""),"",$K81-$U81)</f>
        <v/>
      </c>
      <c r="W81" s="21">
        <f>IFERROR(IF(ISBLANK(INDIRECT("'"&amp;$Q$2&amp;"'!O"&amp;ROW())),"",INDIRECT("'"&amp;$Q$2&amp;"'!O"&amp;ROW())),"")</f>
        <v/>
      </c>
      <c r="X81" s="21">
        <f>IF(OR($O81="",$W81=""),"",$O81-$W81)</f>
        <v/>
      </c>
      <c r="Y81" s="2" t="n"/>
      <c r="Z81" s="2" t="n"/>
    </row>
    <row r="82" ht="14.25" customHeight="1" s="58">
      <c r="A82" s="12" t="inlineStr">
        <is>
          <t>МАКС</t>
        </is>
      </c>
      <c r="B82" s="12" t="inlineStr">
        <is>
          <t>Ноябрьск</t>
        </is>
      </c>
      <c r="C82" s="13" t="n">
        <v>102</v>
      </c>
      <c r="D82" s="13" t="n">
        <v>165424</v>
      </c>
      <c r="E82" s="13">
        <f>IF($D82="","",IFERROR(IF(ISBLANK(INDIRECT("'"&amp;$Q$2&amp;"'!D"&amp;ROW())),"",INDIRECT("'"&amp;$Q$2&amp;"'!D"&amp;ROW())),""))</f>
        <v/>
      </c>
      <c r="F82" s="15">
        <f>IF(OR(D82="",E82=""),"",D82-E82)</f>
        <v/>
      </c>
      <c r="G82" s="16">
        <f>IFERROR(F82/E82,"")</f>
        <v/>
      </c>
      <c r="H82" s="13" t="n">
        <v>3383</v>
      </c>
      <c r="I82" s="13">
        <f>IF($H82="","",IFERROR(IF(ISBLANK(INDIRECT("'"&amp;$Q$2&amp;"'!H"&amp;ROW())),"",INDIRECT("'"&amp;$Q$2&amp;"'!H"&amp;ROW())),""))</f>
        <v/>
      </c>
      <c r="J82" s="15">
        <f>IF(OR(H82="",I82=""),"",H82-I82)</f>
        <v/>
      </c>
      <c r="K82" s="16">
        <f>IFERROR(J82/I82,"")</f>
        <v/>
      </c>
      <c r="L82" s="13">
        <f>IFERROR(D82/C82,"")</f>
        <v/>
      </c>
      <c r="M82" s="13">
        <f>IFERROR(H82/D82*1000,"")</f>
        <v/>
      </c>
      <c r="N82" s="13" t="n">
        <v>3658</v>
      </c>
      <c r="O82" s="15">
        <f>IFERROR(IF(OR(N82="",ISBLANK(INDIRECT("'"&amp;$Q$2&amp;"'!N"&amp;ROW()))),"",N82-INDIRECT("'"&amp;$Q$2&amp;"'!N"&amp;ROW())),"")</f>
        <v/>
      </c>
      <c r="P82" s="2" t="n"/>
      <c r="Q82" s="2" t="n"/>
      <c r="R82" s="2" t="n"/>
      <c r="S82" s="18">
        <f>IFERROR(IF(ISBLANK(INDIRECT("'"&amp;$Q$2&amp;"'!G"&amp;ROW())),"",INDIRECT("'"&amp;$Q$2&amp;"'!G"&amp;ROW())),"")</f>
        <v/>
      </c>
      <c r="T82" s="20">
        <f>IF(OR($G82="",$S82=""),"",$G82-$S82)</f>
        <v/>
      </c>
      <c r="U82" s="18">
        <f>IFERROR(IF(ISBLANK(INDIRECT("'"&amp;$Q$2&amp;"'!K"&amp;ROW())),"",INDIRECT("'"&amp;$Q$2&amp;"'!K"&amp;ROW())),"")</f>
        <v/>
      </c>
      <c r="V82" s="20">
        <f>IF(OR($K82="",$U82=""),"",$K82-$U82)</f>
        <v/>
      </c>
      <c r="W82" s="21">
        <f>IFERROR(IF(ISBLANK(INDIRECT("'"&amp;$Q$2&amp;"'!O"&amp;ROW())),"",INDIRECT("'"&amp;$Q$2&amp;"'!O"&amp;ROW())),"")</f>
        <v/>
      </c>
      <c r="X82" s="21">
        <f>IF(OR($O82="",$W82=""),"",$O82-$W82)</f>
        <v/>
      </c>
      <c r="Y82" s="2" t="n"/>
      <c r="Z82" s="2" t="n"/>
    </row>
    <row r="83" ht="14.25" customHeight="1" s="58">
      <c r="A83" s="12" t="inlineStr">
        <is>
          <t>МАКС</t>
        </is>
      </c>
      <c r="B83" s="12" t="inlineStr">
        <is>
          <t>Салехард</t>
        </is>
      </c>
      <c r="C83" s="13" t="n">
        <v>151</v>
      </c>
      <c r="D83" s="13" t="n">
        <v>97765</v>
      </c>
      <c r="E83" s="13">
        <f>IF($D83="","",IFERROR(IF(ISBLANK(INDIRECT("'"&amp;$Q$2&amp;"'!D"&amp;ROW())),"",INDIRECT("'"&amp;$Q$2&amp;"'!D"&amp;ROW())),""))</f>
        <v/>
      </c>
      <c r="F83" s="15">
        <f>IF(OR(D83="",E83=""),"",D83-E83)</f>
        <v/>
      </c>
      <c r="G83" s="16">
        <f>IFERROR(F83/E83,"")</f>
        <v/>
      </c>
      <c r="H83" s="13" t="n">
        <v>764</v>
      </c>
      <c r="I83" s="13">
        <f>IF($H83="","",IFERROR(IF(ISBLANK(INDIRECT("'"&amp;$Q$2&amp;"'!H"&amp;ROW())),"",INDIRECT("'"&amp;$Q$2&amp;"'!H"&amp;ROW())),""))</f>
        <v/>
      </c>
      <c r="J83" s="15">
        <f>IF(OR(H83="",I83=""),"",H83-I83)</f>
        <v/>
      </c>
      <c r="K83" s="16">
        <f>IFERROR(J83/I83,"")</f>
        <v/>
      </c>
      <c r="L83" s="13">
        <f>IFERROR(D83/C83,"")</f>
        <v/>
      </c>
      <c r="M83" s="13">
        <f>IFERROR(H83/D83*1000,"")</f>
        <v/>
      </c>
      <c r="N83" s="13" t="n">
        <v>1782</v>
      </c>
      <c r="O83" s="15">
        <f>IFERROR(IF(OR(N83="",ISBLANK(INDIRECT("'"&amp;$Q$2&amp;"'!N"&amp;ROW()))),"",N83-INDIRECT("'"&amp;$Q$2&amp;"'!N"&amp;ROW())),"")</f>
        <v/>
      </c>
      <c r="P83" s="2" t="n"/>
      <c r="Q83" s="2" t="n"/>
      <c r="R83" s="2" t="n"/>
      <c r="S83" s="18">
        <f>IFERROR(IF(ISBLANK(INDIRECT("'"&amp;$Q$2&amp;"'!G"&amp;ROW())),"",INDIRECT("'"&amp;$Q$2&amp;"'!G"&amp;ROW())),"")</f>
        <v/>
      </c>
      <c r="T83" s="20">
        <f>IF(OR($G83="",$S83=""),"",$G83-$S83)</f>
        <v/>
      </c>
      <c r="U83" s="18">
        <f>IFERROR(IF(ISBLANK(INDIRECT("'"&amp;$Q$2&amp;"'!K"&amp;ROW())),"",INDIRECT("'"&amp;$Q$2&amp;"'!K"&amp;ROW())),"")</f>
        <v/>
      </c>
      <c r="V83" s="20">
        <f>IF(OR($K83="",$U83=""),"",$K83-$U83)</f>
        <v/>
      </c>
      <c r="W83" s="21">
        <f>IFERROR(IF(ISBLANK(INDIRECT("'"&amp;$Q$2&amp;"'!O"&amp;ROW())),"",INDIRECT("'"&amp;$Q$2&amp;"'!O"&amp;ROW())),"")</f>
        <v/>
      </c>
      <c r="X83" s="21">
        <f>IF(OR($O83="",$W83=""),"",$O83-$W83)</f>
        <v/>
      </c>
      <c r="Y83" s="2" t="n"/>
      <c r="Z83" s="2" t="n"/>
    </row>
    <row r="84" ht="14.25" customHeight="1" s="58">
      <c r="A84" s="12" t="inlineStr">
        <is>
          <t>МАКС</t>
        </is>
      </c>
      <c r="B84" s="12" t="inlineStr">
        <is>
          <t>Приуралье</t>
        </is>
      </c>
      <c r="C84" s="13" t="n">
        <v>100</v>
      </c>
      <c r="D84" s="13" t="n">
        <v>24831</v>
      </c>
      <c r="E84" s="13">
        <f>IF($D84="","",IFERROR(IF(ISBLANK(INDIRECT("'"&amp;$Q$2&amp;"'!D"&amp;ROW())),"",INDIRECT("'"&amp;$Q$2&amp;"'!D"&amp;ROW())),""))</f>
        <v/>
      </c>
      <c r="F84" s="15">
        <f>IF(OR(D84="",E84=""),"",D84-E84)</f>
        <v/>
      </c>
      <c r="G84" s="16">
        <f>IFERROR(F84/E84,"")</f>
        <v/>
      </c>
      <c r="H84" s="13" t="n">
        <v>265</v>
      </c>
      <c r="I84" s="13">
        <f>IF($H84="","",IFERROR(IF(ISBLANK(INDIRECT("'"&amp;$Q$2&amp;"'!H"&amp;ROW())),"",INDIRECT("'"&amp;$Q$2&amp;"'!H"&amp;ROW())),""))</f>
        <v/>
      </c>
      <c r="J84" s="15">
        <f>IF(OR(H84="",I84=""),"",H84-I84)</f>
        <v/>
      </c>
      <c r="K84" s="16">
        <f>IFERROR(J84/I84,"")</f>
        <v/>
      </c>
      <c r="L84" s="13">
        <f>IFERROR(D84/C84,"")</f>
        <v/>
      </c>
      <c r="M84" s="13">
        <f>IFERROR(H84/D84*1000,"")</f>
        <v/>
      </c>
      <c r="N84" s="13" t="n">
        <v>735</v>
      </c>
      <c r="O84" s="15">
        <f>IFERROR(IF(OR(N84="",ISBLANK(INDIRECT("'"&amp;$Q$2&amp;"'!N"&amp;ROW()))),"",N84-INDIRECT("'"&amp;$Q$2&amp;"'!N"&amp;ROW())),"")</f>
        <v/>
      </c>
      <c r="P84" s="2" t="n"/>
      <c r="Q84" s="2" t="n"/>
      <c r="R84" s="2" t="n"/>
      <c r="S84" s="18">
        <f>IFERROR(IF(ISBLANK(INDIRECT("'"&amp;$Q$2&amp;"'!G"&amp;ROW())),"",INDIRECT("'"&amp;$Q$2&amp;"'!G"&amp;ROW())),"")</f>
        <v/>
      </c>
      <c r="T84" s="20">
        <f>IF(OR($G84="",$S84=""),"",$G84-$S84)</f>
        <v/>
      </c>
      <c r="U84" s="18">
        <f>IFERROR(IF(ISBLANK(INDIRECT("'"&amp;$Q$2&amp;"'!K"&amp;ROW())),"",INDIRECT("'"&amp;$Q$2&amp;"'!K"&amp;ROW())),"")</f>
        <v/>
      </c>
      <c r="V84" s="20">
        <f>IF(OR($K84="",$U84=""),"",$K84-$U84)</f>
        <v/>
      </c>
      <c r="W84" s="21">
        <f>IFERROR(IF(ISBLANK(INDIRECT("'"&amp;$Q$2&amp;"'!O"&amp;ROW())),"",INDIRECT("'"&amp;$Q$2&amp;"'!O"&amp;ROW())),"")</f>
        <v/>
      </c>
      <c r="X84" s="21">
        <f>IF(OR($O84="",$W84=""),"",$O84-$W84)</f>
        <v/>
      </c>
      <c r="Y84" s="2" t="n"/>
      <c r="Z84" s="2" t="n"/>
    </row>
    <row r="85" ht="14.25" customHeight="1" s="58">
      <c r="A85" s="12" t="inlineStr">
        <is>
          <t>МАКС</t>
        </is>
      </c>
      <c r="B85" s="12" t="inlineStr">
        <is>
          <t>Лабытнанги</t>
        </is>
      </c>
      <c r="C85" s="13" t="n">
        <v>76</v>
      </c>
      <c r="D85" s="13" t="n">
        <v>10703</v>
      </c>
      <c r="E85" s="13">
        <f>IF($D85="","",IFERROR(IF(ISBLANK(INDIRECT("'"&amp;$Q$2&amp;"'!D"&amp;ROW())),"",INDIRECT("'"&amp;$Q$2&amp;"'!D"&amp;ROW())),""))</f>
        <v/>
      </c>
      <c r="F85" s="15">
        <f>IF(OR(D85="",E85=""),"",D85-E85)</f>
        <v/>
      </c>
      <c r="G85" s="16">
        <f>IFERROR(F85/E85,"")</f>
        <v/>
      </c>
      <c r="H85" s="13" t="n">
        <v>870</v>
      </c>
      <c r="I85" s="13">
        <f>IF($H85="","",IFERROR(IF(ISBLANK(INDIRECT("'"&amp;$Q$2&amp;"'!H"&amp;ROW())),"",INDIRECT("'"&amp;$Q$2&amp;"'!H"&amp;ROW())),""))</f>
        <v/>
      </c>
      <c r="J85" s="15">
        <f>IF(OR(H85="",I85=""),"",H85-I85)</f>
        <v/>
      </c>
      <c r="K85" s="16">
        <f>IFERROR(J85/I85,"")</f>
        <v/>
      </c>
      <c r="L85" s="13">
        <f>IFERROR(D85/C85,"")</f>
        <v/>
      </c>
      <c r="M85" s="13">
        <f>IFERROR(H85/D85*1000,"")</f>
        <v/>
      </c>
      <c r="N85" s="13" t="n">
        <v>282</v>
      </c>
      <c r="O85" s="15">
        <f>IFERROR(IF(OR(N85="",ISBLANK(INDIRECT("'"&amp;$Q$2&amp;"'!N"&amp;ROW()))),"",N85-INDIRECT("'"&amp;$Q$2&amp;"'!N"&amp;ROW())),"")</f>
        <v/>
      </c>
      <c r="P85" s="2" t="n"/>
      <c r="Q85" s="2" t="n"/>
      <c r="R85" s="2" t="n"/>
      <c r="S85" s="18">
        <f>IFERROR(IF(ISBLANK(INDIRECT("'"&amp;$Q$2&amp;"'!G"&amp;ROW())),"",INDIRECT("'"&amp;$Q$2&amp;"'!G"&amp;ROW())),"")</f>
        <v/>
      </c>
      <c r="T85" s="20">
        <f>IF(OR($G85="",$S85=""),"",$G85-$S85)</f>
        <v/>
      </c>
      <c r="U85" s="18">
        <f>IFERROR(IF(ISBLANK(INDIRECT("'"&amp;$Q$2&amp;"'!K"&amp;ROW())),"",INDIRECT("'"&amp;$Q$2&amp;"'!K"&amp;ROW())),"")</f>
        <v/>
      </c>
      <c r="V85" s="20">
        <f>IF(OR($K85="",$U85=""),"",$K85-$U85)</f>
        <v/>
      </c>
      <c r="W85" s="21">
        <f>IFERROR(IF(ISBLANK(INDIRECT("'"&amp;$Q$2&amp;"'!O"&amp;ROW())),"",INDIRECT("'"&amp;$Q$2&amp;"'!O"&amp;ROW())),"")</f>
        <v/>
      </c>
      <c r="X85" s="21">
        <f>IF(OR($O85="",$W85=""),"",$O85-$W85)</f>
        <v/>
      </c>
      <c r="Y85" s="2" t="n"/>
      <c r="Z85" s="2" t="n"/>
    </row>
    <row r="86" ht="14.25" customHeight="1" s="58">
      <c r="A86" s="12" t="inlineStr">
        <is>
          <t>МАКС</t>
        </is>
      </c>
      <c r="B86" s="12" t="inlineStr">
        <is>
          <t>Пуровский</t>
        </is>
      </c>
      <c r="C86" s="13" t="n">
        <v>60</v>
      </c>
      <c r="D86" s="13" t="n">
        <v>50438</v>
      </c>
      <c r="E86" s="13">
        <f>IF($D86="","",IFERROR(IF(ISBLANK(INDIRECT("'"&amp;$Q$2&amp;"'!D"&amp;ROW())),"",INDIRECT("'"&amp;$Q$2&amp;"'!D"&amp;ROW())),""))</f>
        <v/>
      </c>
      <c r="F86" s="15">
        <f>IF(OR(D86="",E86=""),"",D86-E86)</f>
        <v/>
      </c>
      <c r="G86" s="16">
        <f>IFERROR(F86/E86,"")</f>
        <v/>
      </c>
      <c r="H86" s="13" t="n">
        <v>540</v>
      </c>
      <c r="I86" s="13">
        <f>IF($H86="","",IFERROR(IF(ISBLANK(INDIRECT("'"&amp;$Q$2&amp;"'!H"&amp;ROW())),"",INDIRECT("'"&amp;$Q$2&amp;"'!H"&amp;ROW())),""))</f>
        <v/>
      </c>
      <c r="J86" s="15">
        <f>IF(OR(H86="",I86=""),"",H86-I86)</f>
        <v/>
      </c>
      <c r="K86" s="16">
        <f>IFERROR(J86/I86,"")</f>
        <v/>
      </c>
      <c r="L86" s="13">
        <f>IFERROR(D86/C86,"")</f>
        <v/>
      </c>
      <c r="M86" s="13">
        <f>IFERROR(H86/D86*1000,"")</f>
        <v/>
      </c>
      <c r="N86" s="13" t="n">
        <v>1890</v>
      </c>
      <c r="O86" s="15">
        <f>IFERROR(IF(OR(N86="",ISBLANK(INDIRECT("'"&amp;$Q$2&amp;"'!N"&amp;ROW()))),"",N86-INDIRECT("'"&amp;$Q$2&amp;"'!N"&amp;ROW())),"")</f>
        <v/>
      </c>
      <c r="P86" s="2" t="n"/>
      <c r="Q86" s="2" t="n"/>
      <c r="R86" s="2" t="n"/>
      <c r="S86" s="18">
        <f>IFERROR(IF(ISBLANK(INDIRECT("'"&amp;$Q$2&amp;"'!G"&amp;ROW())),"",INDIRECT("'"&amp;$Q$2&amp;"'!G"&amp;ROW())),"")</f>
        <v/>
      </c>
      <c r="T86" s="20">
        <f>IF(OR($G86="",$S86=""),"",$G86-$S86)</f>
        <v/>
      </c>
      <c r="U86" s="18">
        <f>IFERROR(IF(ISBLANK(INDIRECT("'"&amp;$Q$2&amp;"'!K"&amp;ROW())),"",INDIRECT("'"&amp;$Q$2&amp;"'!K"&amp;ROW())),"")</f>
        <v/>
      </c>
      <c r="V86" s="20">
        <f>IF(OR($K86="",$U86=""),"",$K86-$U86)</f>
        <v/>
      </c>
      <c r="W86" s="21">
        <f>IFERROR(IF(ISBLANK(INDIRECT("'"&amp;$Q$2&amp;"'!O"&amp;ROW())),"",INDIRECT("'"&amp;$Q$2&amp;"'!O"&amp;ROW())),"")</f>
        <v/>
      </c>
      <c r="X86" s="21">
        <f>IF(OR($O86="",$W86=""),"",$O86-$W86)</f>
        <v/>
      </c>
      <c r="Y86" s="2" t="n"/>
      <c r="Z86" s="2" t="n"/>
    </row>
    <row r="87" ht="14.25" customHeight="1" s="58">
      <c r="A87" s="12" t="inlineStr">
        <is>
          <t>МАКС</t>
        </is>
      </c>
      <c r="B87" s="12" t="inlineStr">
        <is>
          <t>Тазовский</t>
        </is>
      </c>
      <c r="C87" s="13" t="n">
        <v>63</v>
      </c>
      <c r="D87" s="13" t="n">
        <v>13795</v>
      </c>
      <c r="E87" s="13">
        <f>IF($D87="","",IFERROR(IF(ISBLANK(INDIRECT("'"&amp;$Q$2&amp;"'!D"&amp;ROW())),"",INDIRECT("'"&amp;$Q$2&amp;"'!D"&amp;ROW())),""))</f>
        <v/>
      </c>
      <c r="F87" s="15">
        <f>IF(OR(D87="",E87=""),"",D87-E87)</f>
        <v/>
      </c>
      <c r="G87" s="16">
        <f>IFERROR(F87/E87,"")</f>
        <v/>
      </c>
      <c r="H87" s="13" t="n">
        <v>71</v>
      </c>
      <c r="I87" s="13">
        <f>IF($H87="","",IFERROR(IF(ISBLANK(INDIRECT("'"&amp;$Q$2&amp;"'!H"&amp;ROW())),"",INDIRECT("'"&amp;$Q$2&amp;"'!H"&amp;ROW())),""))</f>
        <v/>
      </c>
      <c r="J87" s="15">
        <f>IF(OR(H87="",I87=""),"",H87-I87)</f>
        <v/>
      </c>
      <c r="K87" s="16">
        <f>IFERROR(J87/I87,"")</f>
        <v/>
      </c>
      <c r="L87" s="13">
        <f>IFERROR(D87/C87,"")</f>
        <v/>
      </c>
      <c r="M87" s="13">
        <f>IFERROR(H87/D87*1000,"")</f>
        <v/>
      </c>
      <c r="N87" s="13" t="n">
        <v>494</v>
      </c>
      <c r="O87" s="15">
        <f>IFERROR(IF(OR(N87="",ISBLANK(INDIRECT("'"&amp;$Q$2&amp;"'!N"&amp;ROW()))),"",N87-INDIRECT("'"&amp;$Q$2&amp;"'!N"&amp;ROW())),"")</f>
        <v/>
      </c>
      <c r="P87" s="2" t="n"/>
      <c r="Q87" s="2" t="n"/>
      <c r="R87" s="2" t="n"/>
      <c r="S87" s="18">
        <f>IFERROR(IF(ISBLANK(INDIRECT("'"&amp;$Q$2&amp;"'!G"&amp;ROW())),"",INDIRECT("'"&amp;$Q$2&amp;"'!G"&amp;ROW())),"")</f>
        <v/>
      </c>
      <c r="T87" s="20">
        <f>IF(OR($G87="",$S87=""),"",$G87-$S87)</f>
        <v/>
      </c>
      <c r="U87" s="18">
        <f>IFERROR(IF(ISBLANK(INDIRECT("'"&amp;$Q$2&amp;"'!K"&amp;ROW())),"",INDIRECT("'"&amp;$Q$2&amp;"'!K"&amp;ROW())),"")</f>
        <v/>
      </c>
      <c r="V87" s="20">
        <f>IF(OR($K87="",$U87=""),"",$K87-$U87)</f>
        <v/>
      </c>
      <c r="W87" s="21">
        <f>IFERROR(IF(ISBLANK(INDIRECT("'"&amp;$Q$2&amp;"'!O"&amp;ROW())),"",INDIRECT("'"&amp;$Q$2&amp;"'!O"&amp;ROW())),"")</f>
        <v/>
      </c>
      <c r="X87" s="21">
        <f>IF(OR($O87="",$W87=""),"",$O87-$W87)</f>
        <v/>
      </c>
      <c r="Y87" s="2" t="n"/>
      <c r="Z87" s="2" t="n"/>
    </row>
    <row r="88" ht="14.25" customHeight="1" s="58">
      <c r="A88" s="12" t="inlineStr">
        <is>
          <t>МАКС</t>
        </is>
      </c>
      <c r="B88" s="12" t="inlineStr">
        <is>
          <t>Красноселькуп</t>
        </is>
      </c>
      <c r="C88" s="13" t="n">
        <v>33</v>
      </c>
      <c r="D88" s="13" t="n">
        <v>6828</v>
      </c>
      <c r="E88" s="13">
        <f>IF($D88="","",IFERROR(IF(ISBLANK(INDIRECT("'"&amp;$Q$2&amp;"'!D"&amp;ROW())),"",INDIRECT("'"&amp;$Q$2&amp;"'!D"&amp;ROW())),""))</f>
        <v/>
      </c>
      <c r="F88" s="15">
        <f>IF(OR(D88="",E88=""),"",D88-E88)</f>
        <v/>
      </c>
      <c r="G88" s="16">
        <f>IFERROR(F88/E88,"")</f>
        <v/>
      </c>
      <c r="H88" s="13" t="n">
        <v>73</v>
      </c>
      <c r="I88" s="13">
        <f>IF($H88="","",IFERROR(IF(ISBLANK(INDIRECT("'"&amp;$Q$2&amp;"'!H"&amp;ROW())),"",INDIRECT("'"&amp;$Q$2&amp;"'!H"&amp;ROW())),""))</f>
        <v/>
      </c>
      <c r="J88" s="15">
        <f>IF(OR(H88="",I88=""),"",H88-I88)</f>
        <v/>
      </c>
      <c r="K88" s="16">
        <f>IFERROR(J88/I88,"")</f>
        <v/>
      </c>
      <c r="L88" s="13">
        <f>IFERROR(D88/C88,"")</f>
        <v/>
      </c>
      <c r="M88" s="13">
        <f>IFERROR(H88/D88*1000,"")</f>
        <v/>
      </c>
      <c r="N88" s="13" t="n">
        <v>422</v>
      </c>
      <c r="O88" s="15">
        <f>IFERROR(IF(OR(N88="",ISBLANK(INDIRECT("'"&amp;$Q$2&amp;"'!N"&amp;ROW()))),"",N88-INDIRECT("'"&amp;$Q$2&amp;"'!N"&amp;ROW())),"")</f>
        <v/>
      </c>
      <c r="P88" s="2" t="n"/>
      <c r="Q88" s="2" t="n"/>
      <c r="R88" s="2" t="n"/>
      <c r="S88" s="18">
        <f>IFERROR(IF(ISBLANK(INDIRECT("'"&amp;$Q$2&amp;"'!G"&amp;ROW())),"",INDIRECT("'"&amp;$Q$2&amp;"'!G"&amp;ROW())),"")</f>
        <v/>
      </c>
      <c r="T88" s="20">
        <f>IF(OR($G88="",$S88=""),"",$G88-$S88)</f>
        <v/>
      </c>
      <c r="U88" s="18">
        <f>IFERROR(IF(ISBLANK(INDIRECT("'"&amp;$Q$2&amp;"'!K"&amp;ROW())),"",INDIRECT("'"&amp;$Q$2&amp;"'!K"&amp;ROW())),"")</f>
        <v/>
      </c>
      <c r="V88" s="20">
        <f>IF(OR($K88="",$U88=""),"",$K88-$U88)</f>
        <v/>
      </c>
      <c r="W88" s="21">
        <f>IFERROR(IF(ISBLANK(INDIRECT("'"&amp;$Q$2&amp;"'!O"&amp;ROW())),"",INDIRECT("'"&amp;$Q$2&amp;"'!O"&amp;ROW())),"")</f>
        <v/>
      </c>
      <c r="X88" s="21">
        <f>IF(OR($O88="",$W88=""),"",$O88-$W88)</f>
        <v/>
      </c>
      <c r="Y88" s="2" t="n"/>
      <c r="Z88" s="2" t="n"/>
    </row>
    <row r="89" ht="14.25" customHeight="1" s="58">
      <c r="A89" s="12" t="inlineStr">
        <is>
          <t>МАКС</t>
        </is>
      </c>
      <c r="B89" s="12" t="inlineStr">
        <is>
          <t>Ямальский</t>
        </is>
      </c>
      <c r="C89" s="13" t="n">
        <v>62</v>
      </c>
      <c r="D89" s="13" t="n">
        <v>10073</v>
      </c>
      <c r="E89" s="13">
        <f>IF($D89="","",IFERROR(IF(ISBLANK(INDIRECT("'"&amp;$Q$2&amp;"'!D"&amp;ROW())),"",INDIRECT("'"&amp;$Q$2&amp;"'!D"&amp;ROW())),""))</f>
        <v/>
      </c>
      <c r="F89" s="15">
        <f>IF(OR(D89="",E89=""),"",D89-E89)</f>
        <v/>
      </c>
      <c r="G89" s="16">
        <f>IFERROR(F89/E89,"")</f>
        <v/>
      </c>
      <c r="H89" s="13" t="n">
        <v>219</v>
      </c>
      <c r="I89" s="13">
        <f>IF($H89="","",IFERROR(IF(ISBLANK(INDIRECT("'"&amp;$Q$2&amp;"'!H"&amp;ROW())),"",INDIRECT("'"&amp;$Q$2&amp;"'!H"&amp;ROW())),""))</f>
        <v/>
      </c>
      <c r="J89" s="15">
        <f>IF(OR(H89="",I89=""),"",H89-I89)</f>
        <v/>
      </c>
      <c r="K89" s="16">
        <f>IFERROR(J89/I89,"")</f>
        <v/>
      </c>
      <c r="L89" s="13">
        <f>IFERROR(D89/C89,"")</f>
        <v/>
      </c>
      <c r="M89" s="13">
        <f>IFERROR(H89/D89*1000,"")</f>
        <v/>
      </c>
      <c r="N89" s="13" t="n">
        <v>442</v>
      </c>
      <c r="O89" s="15">
        <f>IFERROR(IF(OR(N89="",ISBLANK(INDIRECT("'"&amp;$Q$2&amp;"'!N"&amp;ROW()))),"",N89-INDIRECT("'"&amp;$Q$2&amp;"'!N"&amp;ROW())),"")</f>
        <v/>
      </c>
      <c r="P89" s="2" t="n"/>
      <c r="Q89" s="2" t="n"/>
      <c r="R89" s="2" t="n"/>
      <c r="S89" s="18">
        <f>IFERROR(IF(ISBLANK(INDIRECT("'"&amp;$Q$2&amp;"'!G"&amp;ROW())),"",INDIRECT("'"&amp;$Q$2&amp;"'!G"&amp;ROW())),"")</f>
        <v/>
      </c>
      <c r="T89" s="20">
        <f>IF(OR($G89="",$S89=""),"",$G89-$S89)</f>
        <v/>
      </c>
      <c r="U89" s="18">
        <f>IFERROR(IF(ISBLANK(INDIRECT("'"&amp;$Q$2&amp;"'!K"&amp;ROW())),"",INDIRECT("'"&amp;$Q$2&amp;"'!K"&amp;ROW())),"")</f>
        <v/>
      </c>
      <c r="V89" s="20">
        <f>IF(OR($K89="",$U89=""),"",$K89-$U89)</f>
        <v/>
      </c>
      <c r="W89" s="21">
        <f>IFERROR(IF(ISBLANK(INDIRECT("'"&amp;$Q$2&amp;"'!O"&amp;ROW())),"",INDIRECT("'"&amp;$Q$2&amp;"'!O"&amp;ROW())),"")</f>
        <v/>
      </c>
      <c r="X89" s="21">
        <f>IF(OR($O89="",$W89=""),"",$O89-$W89)</f>
        <v/>
      </c>
      <c r="Y89" s="2" t="n"/>
      <c r="Z89" s="2" t="n"/>
    </row>
    <row r="90" ht="14.25" customHeight="1" s="58">
      <c r="A90" s="12" t="inlineStr">
        <is>
          <t>МАКС</t>
        </is>
      </c>
      <c r="B90" s="12" t="inlineStr">
        <is>
          <t>Шурышкарский</t>
        </is>
      </c>
      <c r="C90" s="13" t="n">
        <v>70</v>
      </c>
      <c r="D90" s="13" t="n">
        <v>40361</v>
      </c>
      <c r="E90" s="13">
        <f>IF($D90="","",IFERROR(IF(ISBLANK(INDIRECT("'"&amp;$Q$2&amp;"'!D"&amp;ROW())),"",INDIRECT("'"&amp;$Q$2&amp;"'!D"&amp;ROW())),""))</f>
        <v/>
      </c>
      <c r="F90" s="15">
        <f>IF(OR(D90="",E90=""),"",D90-E90)</f>
        <v/>
      </c>
      <c r="G90" s="16">
        <f>IFERROR(F90/E90,"")</f>
        <v/>
      </c>
      <c r="H90" s="13" t="n">
        <v>1021</v>
      </c>
      <c r="I90" s="13">
        <f>IF($H90="","",IFERROR(IF(ISBLANK(INDIRECT("'"&amp;$Q$2&amp;"'!H"&amp;ROW())),"",INDIRECT("'"&amp;$Q$2&amp;"'!H"&amp;ROW())),""))</f>
        <v/>
      </c>
      <c r="J90" s="15">
        <f>IF(OR(H90="",I90=""),"",H90-I90)</f>
        <v/>
      </c>
      <c r="K90" s="16">
        <f>IFERROR(J90/I90,"")</f>
        <v/>
      </c>
      <c r="L90" s="13">
        <f>IFERROR(D90/C90,"")</f>
        <v/>
      </c>
      <c r="M90" s="13">
        <f>IFERROR(H90/D90*1000,"")</f>
        <v/>
      </c>
      <c r="N90" s="13" t="n">
        <v>1471</v>
      </c>
      <c r="O90" s="15">
        <f>IFERROR(IF(OR(N90="",ISBLANK(INDIRECT("'"&amp;$Q$2&amp;"'!N"&amp;ROW()))),"",N90-INDIRECT("'"&amp;$Q$2&amp;"'!N"&amp;ROW())),"")</f>
        <v/>
      </c>
      <c r="P90" s="2" t="n"/>
      <c r="Q90" s="2" t="n"/>
      <c r="R90" s="2" t="n"/>
      <c r="S90" s="18">
        <f>IFERROR(IF(ISBLANK(INDIRECT("'"&amp;$Q$2&amp;"'!G"&amp;ROW())),"",INDIRECT("'"&amp;$Q$2&amp;"'!G"&amp;ROW())),"")</f>
        <v/>
      </c>
      <c r="T90" s="20">
        <f>IF(OR($G90="",$S90=""),"",$G90-$S90)</f>
        <v/>
      </c>
      <c r="U90" s="18">
        <f>IFERROR(IF(ISBLANK(INDIRECT("'"&amp;$Q$2&amp;"'!K"&amp;ROW())),"",INDIRECT("'"&amp;$Q$2&amp;"'!K"&amp;ROW())),"")</f>
        <v/>
      </c>
      <c r="V90" s="20">
        <f>IF(OR($K90="",$U90=""),"",$K90-$U90)</f>
        <v/>
      </c>
      <c r="W90" s="21">
        <f>IFERROR(IF(ISBLANK(INDIRECT("'"&amp;$Q$2&amp;"'!O"&amp;ROW())),"",INDIRECT("'"&amp;$Q$2&amp;"'!O"&amp;ROW())),"")</f>
        <v/>
      </c>
      <c r="X90" s="21">
        <f>IF(OR($O90="",$W90=""),"",$O90-$W90)</f>
        <v/>
      </c>
      <c r="Y90" s="2" t="n"/>
      <c r="Z90" s="2" t="n"/>
    </row>
    <row r="91" ht="14.25" customHeight="1" s="58">
      <c r="A91" s="12" t="inlineStr">
        <is>
          <t>МАКС</t>
        </is>
      </c>
      <c r="B91" s="12" t="inlineStr">
        <is>
          <t>Муравленко</t>
        </is>
      </c>
      <c r="C91" s="13" t="n">
        <v>67</v>
      </c>
      <c r="D91" s="13" t="n">
        <v>78063</v>
      </c>
      <c r="E91" s="13">
        <f>IF($D91="","",IFERROR(IF(ISBLANK(INDIRECT("'"&amp;$Q$2&amp;"'!D"&amp;ROW())),"",INDIRECT("'"&amp;$Q$2&amp;"'!D"&amp;ROW())),""))</f>
        <v/>
      </c>
      <c r="F91" s="15">
        <f>IF(OR(D91="",E91=""),"",D91-E91)</f>
        <v/>
      </c>
      <c r="G91" s="16">
        <f>IFERROR(F91/E91,"")</f>
        <v/>
      </c>
      <c r="H91" s="13" t="n">
        <v>946</v>
      </c>
      <c r="I91" s="13">
        <f>IF($H91="","",IFERROR(IF(ISBLANK(INDIRECT("'"&amp;$Q$2&amp;"'!H"&amp;ROW())),"",INDIRECT("'"&amp;$Q$2&amp;"'!H"&amp;ROW())),""))</f>
        <v/>
      </c>
      <c r="J91" s="15">
        <f>IF(OR(H91="",I91=""),"",H91-I91)</f>
        <v/>
      </c>
      <c r="K91" s="16">
        <f>IFERROR(J91/I91,"")</f>
        <v/>
      </c>
      <c r="L91" s="13">
        <f>IFERROR(D91/C91,"")</f>
        <v/>
      </c>
      <c r="M91" s="13">
        <f>IFERROR(H91/D91*1000,"")</f>
        <v/>
      </c>
      <c r="N91" s="13" t="n">
        <v>2482</v>
      </c>
      <c r="O91" s="15">
        <f>IFERROR(IF(OR(N91="",ISBLANK(INDIRECT("'"&amp;$Q$2&amp;"'!N"&amp;ROW()))),"",N91-INDIRECT("'"&amp;$Q$2&amp;"'!N"&amp;ROW())),"")</f>
        <v/>
      </c>
      <c r="P91" s="2" t="n"/>
      <c r="Q91" s="2" t="n"/>
      <c r="R91" s="2" t="n"/>
      <c r="S91" s="18">
        <f>IFERROR(IF(ISBLANK(INDIRECT("'"&amp;$Q$2&amp;"'!G"&amp;ROW())),"",INDIRECT("'"&amp;$Q$2&amp;"'!G"&amp;ROW())),"")</f>
        <v/>
      </c>
      <c r="T91" s="20">
        <f>IF(OR($G91="",$S91=""),"",$G91-$S91)</f>
        <v/>
      </c>
      <c r="U91" s="18">
        <f>IFERROR(IF(ISBLANK(INDIRECT("'"&amp;$Q$2&amp;"'!K"&amp;ROW())),"",INDIRECT("'"&amp;$Q$2&amp;"'!K"&amp;ROW())),"")</f>
        <v/>
      </c>
      <c r="V91" s="20">
        <f>IF(OR($K91="",$U91=""),"",$K91-$U91)</f>
        <v/>
      </c>
      <c r="W91" s="21">
        <f>IFERROR(IF(ISBLANK(INDIRECT("'"&amp;$Q$2&amp;"'!O"&amp;ROW())),"",INDIRECT("'"&amp;$Q$2&amp;"'!O"&amp;ROW())),"")</f>
        <v/>
      </c>
      <c r="X91" s="21">
        <f>IF(OR($O91="",$W91=""),"",$O91-$W91)</f>
        <v/>
      </c>
      <c r="Y91" s="2" t="n"/>
      <c r="Z91" s="2" t="n"/>
    </row>
    <row r="92" ht="14.25" customHeight="1" s="58">
      <c r="A92" s="12" t="inlineStr">
        <is>
          <t>МАКС</t>
        </is>
      </c>
      <c r="B92" s="12" t="inlineStr">
        <is>
          <t>Губкинский</t>
        </is>
      </c>
      <c r="C92" s="13" t="n">
        <v>72</v>
      </c>
      <c r="D92" s="13" t="n">
        <v>38832</v>
      </c>
      <c r="E92" s="13">
        <f>IF($D92="","",IFERROR(IF(ISBLANK(INDIRECT("'"&amp;$Q$2&amp;"'!D"&amp;ROW())),"",INDIRECT("'"&amp;$Q$2&amp;"'!D"&amp;ROW())),""))</f>
        <v/>
      </c>
      <c r="F92" s="15">
        <f>IF(OR(D92="",E92=""),"",D92-E92)</f>
        <v/>
      </c>
      <c r="G92" s="16">
        <f>IFERROR(F92/E92,"")</f>
        <v/>
      </c>
      <c r="H92" s="13" t="n">
        <v>521</v>
      </c>
      <c r="I92" s="13">
        <f>IF($H92="","",IFERROR(IF(ISBLANK(INDIRECT("'"&amp;$Q$2&amp;"'!H"&amp;ROW())),"",INDIRECT("'"&amp;$Q$2&amp;"'!H"&amp;ROW())),""))</f>
        <v/>
      </c>
      <c r="J92" s="15">
        <f>IF(OR(H92="",I92=""),"",H92-I92)</f>
        <v/>
      </c>
      <c r="K92" s="16">
        <f>IFERROR(J92/I92,"")</f>
        <v/>
      </c>
      <c r="L92" s="13">
        <f>IFERROR(D92/C92,"")</f>
        <v/>
      </c>
      <c r="M92" s="13">
        <f>IFERROR(H92/D92*1000,"")</f>
        <v/>
      </c>
      <c r="N92" s="13" t="n">
        <v>1194</v>
      </c>
      <c r="O92" s="15">
        <f>IFERROR(IF(OR(N92="",ISBLANK(INDIRECT("'"&amp;$Q$2&amp;"'!N"&amp;ROW()))),"",N92-INDIRECT("'"&amp;$Q$2&amp;"'!N"&amp;ROW())),"")</f>
        <v/>
      </c>
      <c r="P92" s="2" t="n"/>
      <c r="Q92" s="2" t="n"/>
      <c r="R92" s="2" t="n"/>
      <c r="S92" s="18">
        <f>IFERROR(IF(ISBLANK(INDIRECT("'"&amp;$Q$2&amp;"'!G"&amp;ROW())),"",INDIRECT("'"&amp;$Q$2&amp;"'!G"&amp;ROW())),"")</f>
        <v/>
      </c>
      <c r="T92" s="20">
        <f>IF(OR($G92="",$S92=""),"",$G92-$S92)</f>
        <v/>
      </c>
      <c r="U92" s="18">
        <f>IFERROR(IF(ISBLANK(INDIRECT("'"&amp;$Q$2&amp;"'!K"&amp;ROW())),"",INDIRECT("'"&amp;$Q$2&amp;"'!K"&amp;ROW())),"")</f>
        <v/>
      </c>
      <c r="V92" s="20">
        <f>IF(OR($K92="",$U92=""),"",$K92-$U92)</f>
        <v/>
      </c>
      <c r="W92" s="21">
        <f>IFERROR(IF(ISBLANK(INDIRECT("'"&amp;$Q$2&amp;"'!O"&amp;ROW())),"",INDIRECT("'"&amp;$Q$2&amp;"'!O"&amp;ROW())),"")</f>
        <v/>
      </c>
      <c r="X92" s="21">
        <f>IF(OR($O92="",$W92=""),"",$O92-$W92)</f>
        <v/>
      </c>
      <c r="Y92" s="2" t="n"/>
      <c r="Z92" s="2" t="n"/>
    </row>
    <row r="93" ht="14.25" customHeight="1" s="58">
      <c r="A93" s="12" t="inlineStr">
        <is>
          <t>МАКС</t>
        </is>
      </c>
      <c r="B93" s="12" t="inlineStr">
        <is>
          <t>Не олени</t>
        </is>
      </c>
      <c r="C93" s="13" t="n">
        <v>30</v>
      </c>
      <c r="D93" s="13" t="n">
        <v>14087</v>
      </c>
      <c r="E93" s="13">
        <f>IF($D93="","",IFERROR(IF(ISBLANK(INDIRECT("'"&amp;$Q$2&amp;"'!D"&amp;ROW())),"",INDIRECT("'"&amp;$Q$2&amp;"'!D"&amp;ROW())),""))</f>
        <v/>
      </c>
      <c r="F93" s="15">
        <f>IF(OR(D93="",E93=""),"",D93-E93)</f>
        <v/>
      </c>
      <c r="G93" s="16">
        <f>IFERROR(F93/E93,"")</f>
        <v/>
      </c>
      <c r="H93" s="13" t="n">
        <v>924</v>
      </c>
      <c r="I93" s="13">
        <f>IF($H93="","",IFERROR(IF(ISBLANK(INDIRECT("'"&amp;$Q$2&amp;"'!H"&amp;ROW())),"",INDIRECT("'"&amp;$Q$2&amp;"'!H"&amp;ROW())),""))</f>
        <v/>
      </c>
      <c r="J93" s="15">
        <f>IF(OR(H93="",I93=""),"",H93-I93)</f>
        <v/>
      </c>
      <c r="K93" s="16">
        <f>IFERROR(J93/I93,"")</f>
        <v/>
      </c>
      <c r="L93" s="13">
        <f>IFERROR(D93/C93,"")</f>
        <v/>
      </c>
      <c r="M93" s="13">
        <f>IFERROR(H93/D93*1000,"")</f>
        <v/>
      </c>
      <c r="N93" s="13" t="n">
        <v>1355</v>
      </c>
      <c r="O93" s="15">
        <f>IFERROR(IF(OR(N93="",ISBLANK(INDIRECT("'"&amp;$Q$2&amp;"'!N"&amp;ROW()))),"",N93-INDIRECT("'"&amp;$Q$2&amp;"'!N"&amp;ROW())),"")</f>
        <v/>
      </c>
      <c r="P93" s="2" t="n"/>
      <c r="Q93" s="2" t="n"/>
      <c r="R93" s="2" t="n"/>
      <c r="S93" s="18">
        <f>IFERROR(IF(ISBLANK(INDIRECT("'"&amp;$Q$2&amp;"'!G"&amp;ROW())),"",INDIRECT("'"&amp;$Q$2&amp;"'!G"&amp;ROW())),"")</f>
        <v/>
      </c>
      <c r="T93" s="20">
        <f>IF(OR($G93="",$S93=""),"",$G93-$S93)</f>
        <v/>
      </c>
      <c r="U93" s="18">
        <f>IFERROR(IF(ISBLANK(INDIRECT("'"&amp;$Q$2&amp;"'!K"&amp;ROW())),"",INDIRECT("'"&amp;$Q$2&amp;"'!K"&amp;ROW())),"")</f>
        <v/>
      </c>
      <c r="V93" s="20">
        <f>IF(OR($K93="",$U93=""),"",$K93-$U93)</f>
        <v/>
      </c>
      <c r="W93" s="21">
        <f>IFERROR(IF(ISBLANK(INDIRECT("'"&amp;$Q$2&amp;"'!O"&amp;ROW())),"",INDIRECT("'"&amp;$Q$2&amp;"'!O"&amp;ROW())),"")</f>
        <v/>
      </c>
      <c r="X93" s="21">
        <f>IF(OR($O93="",$W93=""),"",$O93-$W93)</f>
        <v/>
      </c>
      <c r="Y93" s="2" t="n"/>
      <c r="Z93" s="2" t="n"/>
    </row>
    <row r="94" ht="14.25" customHeight="1" s="58">
      <c r="A94" s="12" t="inlineStr">
        <is>
          <t>МАКС</t>
        </is>
      </c>
      <c r="B94" s="12" t="inlineStr">
        <is>
          <t>Ямальский меридиан</t>
        </is>
      </c>
      <c r="C94" s="13" t="n">
        <v>8</v>
      </c>
      <c r="D94" s="13" t="n">
        <v>1841</v>
      </c>
      <c r="E94" s="13">
        <f>IF($D94="","",IFERROR(IF(ISBLANK(INDIRECT("'"&amp;$Q$2&amp;"'!D"&amp;ROW())),"",INDIRECT("'"&amp;$Q$2&amp;"'!D"&amp;ROW())),""))</f>
        <v/>
      </c>
      <c r="F94" s="15">
        <f>IF(OR(D94="",E94=""),"",D94-E94)</f>
        <v/>
      </c>
      <c r="G94" s="16">
        <f>IFERROR(F94/E94,"")</f>
        <v/>
      </c>
      <c r="H94" s="13" t="n">
        <v>58</v>
      </c>
      <c r="I94" s="13">
        <f>IF($H94="","",IFERROR(IF(ISBLANK(INDIRECT("'"&amp;$Q$2&amp;"'!H"&amp;ROW())),"",INDIRECT("'"&amp;$Q$2&amp;"'!H"&amp;ROW())),""))</f>
        <v/>
      </c>
      <c r="J94" s="15">
        <f>IF(OR(H94="",I94=""),"",H94-I94)</f>
        <v/>
      </c>
      <c r="K94" s="16">
        <f>IFERROR(J94/I94,"")</f>
        <v/>
      </c>
      <c r="L94" s="13">
        <f>IFERROR(D94/C94,"")</f>
        <v/>
      </c>
      <c r="M94" s="13">
        <f>IFERROR(H94/D94*1000,"")</f>
        <v/>
      </c>
      <c r="N94" s="13" t="n">
        <v>234</v>
      </c>
      <c r="O94" s="15">
        <f>IFERROR(IF(OR(N94="",ISBLANK(INDIRECT("'"&amp;$Q$2&amp;"'!N"&amp;ROW()))),"",N94-INDIRECT("'"&amp;$Q$2&amp;"'!N"&amp;ROW())),"")</f>
        <v/>
      </c>
      <c r="P94" s="2" t="n"/>
      <c r="Q94" s="2" t="n"/>
      <c r="R94" s="2" t="n"/>
      <c r="S94" s="18">
        <f>IFERROR(IF(ISBLANK(INDIRECT("'"&amp;$Q$2&amp;"'!G"&amp;ROW())),"",INDIRECT("'"&amp;$Q$2&amp;"'!G"&amp;ROW())),"")</f>
        <v/>
      </c>
      <c r="T94" s="20">
        <f>IF(OR($G94="",$S94=""),"",$G94-$S94)</f>
        <v/>
      </c>
      <c r="U94" s="18">
        <f>IFERROR(IF(ISBLANK(INDIRECT("'"&amp;$Q$2&amp;"'!K"&amp;ROW())),"",INDIRECT("'"&amp;$Q$2&amp;"'!K"&amp;ROW())),"")</f>
        <v/>
      </c>
      <c r="V94" s="20">
        <f>IF(OR($K94="",$U94=""),"",$K94-$U94)</f>
        <v/>
      </c>
      <c r="W94" s="21">
        <f>IFERROR(IF(ISBLANK(INDIRECT("'"&amp;$Q$2&amp;"'!O"&amp;ROW())),"",INDIRECT("'"&amp;$Q$2&amp;"'!O"&amp;ROW())),"")</f>
        <v/>
      </c>
      <c r="X94" s="21">
        <f>IF(OR($O94="",$W94=""),"",$O94-$W94)</f>
        <v/>
      </c>
      <c r="Y94" s="2" t="n"/>
      <c r="Z94" s="2" t="n"/>
    </row>
    <row r="95" ht="14.25" customHeight="1" s="58">
      <c r="A95" s="12" t="inlineStr">
        <is>
          <t>МАКС</t>
        </is>
      </c>
      <c r="B95" s="12" t="inlineStr">
        <is>
          <t>Морошка</t>
        </is>
      </c>
      <c r="C95" s="13" t="n">
        <v>6</v>
      </c>
      <c r="D95" s="13" t="n">
        <v>978</v>
      </c>
      <c r="E95" s="13">
        <f>IF($D95="","",IFERROR(IF(ISBLANK(INDIRECT("'"&amp;$Q$2&amp;"'!D"&amp;ROW())),"",INDIRECT("'"&amp;$Q$2&amp;"'!D"&amp;ROW())),""))</f>
        <v/>
      </c>
      <c r="F95" s="15">
        <f>IF(OR(D95="",E95=""),"",D95-E95)</f>
        <v/>
      </c>
      <c r="G95" s="16">
        <f>IFERROR(F95/E95,"")</f>
        <v/>
      </c>
      <c r="H95" s="13" t="n">
        <v>54</v>
      </c>
      <c r="I95" s="13">
        <f>IF($H95="","",IFERROR(IF(ISBLANK(INDIRECT("'"&amp;$Q$2&amp;"'!H"&amp;ROW())),"",INDIRECT("'"&amp;$Q$2&amp;"'!H"&amp;ROW())),""))</f>
        <v/>
      </c>
      <c r="J95" s="15">
        <f>IF(OR(H95="",I95=""),"",H95-I95)</f>
        <v/>
      </c>
      <c r="K95" s="16">
        <f>IFERROR(J95/I95,"")</f>
        <v/>
      </c>
      <c r="L95" s="13">
        <f>IFERROR(D95/C95,"")</f>
        <v/>
      </c>
      <c r="M95" s="13">
        <f>IFERROR(H95/D95*1000,"")</f>
        <v/>
      </c>
      <c r="N95" s="13" t="n">
        <v>295</v>
      </c>
      <c r="O95" s="15">
        <f>IFERROR(IF(OR(N95="",ISBLANK(INDIRECT("'"&amp;$Q$2&amp;"'!N"&amp;ROW()))),"",N95-INDIRECT("'"&amp;$Q$2&amp;"'!N"&amp;ROW())),"")</f>
        <v/>
      </c>
      <c r="P95" s="2" t="n"/>
      <c r="Q95" s="2" t="n"/>
      <c r="R95" s="2" t="n"/>
      <c r="S95" s="18">
        <f>IFERROR(IF(ISBLANK(INDIRECT("'"&amp;$Q$2&amp;"'!G"&amp;ROW())),"",INDIRECT("'"&amp;$Q$2&amp;"'!G"&amp;ROW())),"")</f>
        <v/>
      </c>
      <c r="T95" s="20">
        <f>IF(OR($G95="",$S95=""),"",$G95-$S95)</f>
        <v/>
      </c>
      <c r="U95" s="18">
        <f>IFERROR(IF(ISBLANK(INDIRECT("'"&amp;$Q$2&amp;"'!K"&amp;ROW())),"",INDIRECT("'"&amp;$Q$2&amp;"'!K"&amp;ROW())),"")</f>
        <v/>
      </c>
      <c r="V95" s="20">
        <f>IF(OR($K95="",$U95=""),"",$K95-$U95)</f>
        <v/>
      </c>
      <c r="W95" s="21">
        <f>IFERROR(IF(ISBLANK(INDIRECT("'"&amp;$Q$2&amp;"'!O"&amp;ROW())),"",INDIRECT("'"&amp;$Q$2&amp;"'!O"&amp;ROW())),"")</f>
        <v/>
      </c>
      <c r="X95" s="21">
        <f>IF(OR($O95="",$W95=""),"",$O95-$W95)</f>
        <v/>
      </c>
      <c r="Y95" s="2" t="n"/>
      <c r="Z95" s="2" t="n"/>
    </row>
    <row r="96" ht="14.25" customHeight="1" s="58">
      <c r="A96" s="25" t="n"/>
      <c r="B96" s="25" t="inlineStr">
        <is>
          <t>Итого МАКС</t>
        </is>
      </c>
      <c r="C96" s="26">
        <f>SUM(C75:C95)</f>
        <v/>
      </c>
      <c r="D96" s="26">
        <f>SUM(D75:D95)</f>
        <v/>
      </c>
      <c r="E96" s="26">
        <f>SUM(E75:E95)</f>
        <v/>
      </c>
      <c r="F96" s="27">
        <f>SUM(F75:F95)</f>
        <v/>
      </c>
      <c r="G96" s="28">
        <f>IF(C96=0,"",IFERROR(F96/E96,""))</f>
        <v/>
      </c>
      <c r="H96" s="26">
        <f>SUM(H75:H95)</f>
        <v/>
      </c>
      <c r="I96" s="26">
        <f>SUM(I75:I95)</f>
        <v/>
      </c>
      <c r="J96" s="27">
        <f>SUM(J75:J95)</f>
        <v/>
      </c>
      <c r="K96" s="28">
        <f>IF(C96=0,"",IFERROR(J96/I96,""))</f>
        <v/>
      </c>
      <c r="L96" s="26">
        <f>IFERROR(D96/C96,"")</f>
        <v/>
      </c>
      <c r="M96" s="26">
        <f>IFERROR(H96/D96*1000,"")</f>
        <v/>
      </c>
      <c r="N96" s="26">
        <f>SUM(N75:N95)</f>
        <v/>
      </c>
      <c r="O96" s="27">
        <f>SUM(O75:O95)</f>
        <v/>
      </c>
      <c r="P96" s="2" t="n"/>
      <c r="Q96" s="2" t="n"/>
      <c r="R96" s="2" t="n"/>
      <c r="S96" s="29">
        <f>IFERROR(IF(ISBLANK(INDIRECT("'"&amp;$Q$2&amp;"'!G"&amp;ROW())),"",INDIRECT("'"&amp;$Q$2&amp;"'!G"&amp;ROW())),"")</f>
        <v/>
      </c>
      <c r="T96" s="30">
        <f>IF(OR($G96="",$S96=""),"",$G96-$S96)</f>
        <v/>
      </c>
      <c r="U96" s="29">
        <f>IFERROR(IF(ISBLANK(INDIRECT("'"&amp;$Q$2&amp;"'!K"&amp;ROW())),"",INDIRECT("'"&amp;$Q$2&amp;"'!K"&amp;ROW())),"")</f>
        <v/>
      </c>
      <c r="V96" s="30">
        <f>IF(OR($K96="",$U96=""),"",$K96-$U96)</f>
        <v/>
      </c>
      <c r="W96" s="31">
        <f>IFERROR(IF(ISBLANK(INDIRECT("'"&amp;$Q$2&amp;"'!O"&amp;ROW())),"",INDIRECT("'"&amp;$Q$2&amp;"'!O"&amp;ROW())),"")</f>
        <v/>
      </c>
      <c r="X96" s="31">
        <f>IF(OR(C96=0,$O96="",$W96=""),"",$O96-$W96)</f>
        <v/>
      </c>
      <c r="Y96" s="2" t="n"/>
      <c r="Z96" s="2" t="n"/>
    </row>
    <row r="97" ht="14.25" customHeight="1" s="58">
      <c r="A97" s="39" t="n"/>
      <c r="B97" s="39" t="inlineStr">
        <is>
          <t>ИТОГО по холдингу</t>
        </is>
      </c>
      <c r="C97" s="40">
        <f>C30+C51+C74+C96</f>
        <v/>
      </c>
      <c r="D97" s="40">
        <f>D30+D51+D74+D96</f>
        <v/>
      </c>
      <c r="E97" s="40">
        <f>E30+E51+E74+E96</f>
        <v/>
      </c>
      <c r="F97" s="41">
        <f>F30+F51+F74+F96</f>
        <v/>
      </c>
      <c r="G97" s="42">
        <f>IF(OR(C30=0,C51=0,C74=0,C96=0),"",IFERROR(F97/E97,""))</f>
        <v/>
      </c>
      <c r="H97" s="40">
        <f>H30+H51+H74+H96</f>
        <v/>
      </c>
      <c r="I97" s="40">
        <f>I30+I51+I74+I96</f>
        <v/>
      </c>
      <c r="J97" s="41">
        <f>J30+J51+J74+J96</f>
        <v/>
      </c>
      <c r="K97" s="42">
        <f>IF(OR(C30=0,C51=0,C74=0,C96=0),"",IFERROR(J97/I97,""))</f>
        <v/>
      </c>
      <c r="L97" s="40">
        <f>IFERROR(D97/C97,"")</f>
        <v/>
      </c>
      <c r="M97" s="40">
        <f>IFERROR(H97/D97*1000,"")</f>
        <v/>
      </c>
      <c r="N97" s="40">
        <f>N30+N51+N74+N96</f>
        <v/>
      </c>
      <c r="O97" s="41">
        <f>O30+O51+O74+O96</f>
        <v/>
      </c>
      <c r="P97" s="2" t="n"/>
      <c r="Q97" s="2" t="n"/>
      <c r="R97" s="2" t="n"/>
      <c r="S97" s="29">
        <f>IFERROR(IF(ISBLANK(INDIRECT("'"&amp;$Q$2&amp;"'!G"&amp;ROW())),"",INDIRECT("'"&amp;$Q$2&amp;"'!G"&amp;ROW())),"")</f>
        <v/>
      </c>
      <c r="T97" s="30">
        <f>IF(OR($G97="",$S97=""),"",$G97-$S97)</f>
        <v/>
      </c>
      <c r="U97" s="29">
        <f>IFERROR(IF(ISBLANK(INDIRECT("'"&amp;$Q$2&amp;"'!K"&amp;ROW())),"",INDIRECT("'"&amp;$Q$2&amp;"'!K"&amp;ROW())),"")</f>
        <v/>
      </c>
      <c r="V97" s="30">
        <f>IF(OR($K97="",$U97=""),"",$K97-$U97)</f>
        <v/>
      </c>
      <c r="W97" s="31">
        <f>IFERROR(IF(ISBLANK(INDIRECT("'"&amp;$Q$2&amp;"'!O"&amp;ROW())),"",INDIRECT("'"&amp;$Q$2&amp;"'!O"&amp;ROW())),"")</f>
        <v/>
      </c>
      <c r="X97" s="31">
        <f>IF(OR(C30=0,C51=0,C74=0,C96=0),"",$O97-$W97)</f>
        <v/>
      </c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conditionalFormatting sqref="G3:G97">
    <cfRule type="expression" priority="1" dxfId="3" stopIfTrue="1">
      <formula>AND(ISNUMBER(G3),G3&gt;=0.2)</formula>
    </cfRule>
    <cfRule type="expression" priority="2" dxfId="2" stopIfTrue="1">
      <formula>AND(ISNUMBER(G3),G3&lt;=-0.2)</formula>
    </cfRule>
    <cfRule type="expression" priority="3" dxfId="1" stopIfTrue="1">
      <formula>AND(ISNUMBER(G3),G3&gt;0)</formula>
    </cfRule>
    <cfRule type="expression" priority="4" dxfId="0" stopIfTrue="1">
      <formula>AND(ISNUMBER(G3),G3&lt;0)</formula>
    </cfRule>
  </conditionalFormatting>
  <conditionalFormatting sqref="K3:K97">
    <cfRule type="expression" priority="5" dxfId="3" stopIfTrue="1">
      <formula>AND(ISNUMBER(K3),K3&gt;=0.2)</formula>
    </cfRule>
    <cfRule type="expression" priority="6" dxfId="2" stopIfTrue="1">
      <formula>AND(ISNUMBER(K3),K3&lt;=-0.2)</formula>
    </cfRule>
    <cfRule type="expression" priority="7" dxfId="1" stopIfTrue="1">
      <formula>AND(ISNUMBER(K3),K3&gt;0)</formula>
    </cfRule>
    <cfRule type="expression" priority="8" dxfId="0" stopIfTrue="1">
      <formula>AND(ISNUMBER(K3),K3&lt;0)</formula>
    </cfRule>
  </conditionalFormatting>
  <conditionalFormatting sqref="T3:T97">
    <cfRule type="expression" priority="9" dxfId="3" stopIfTrue="1">
      <formula>AND(ISNUMBER(T3),T3&gt;=0.2)</formula>
    </cfRule>
    <cfRule type="expression" priority="10" dxfId="2" stopIfTrue="1">
      <formula>AND(ISNUMBER(T3),T3&lt;=-0.2)</formula>
    </cfRule>
    <cfRule type="expression" priority="11" dxfId="1" stopIfTrue="1">
      <formula>AND(ISNUMBER(T3),T3&gt;0)</formula>
    </cfRule>
    <cfRule type="expression" priority="12" dxfId="0" stopIfTrue="1">
      <formula>AND(ISNUMBER(T3),T3&lt;0)</formula>
    </cfRule>
  </conditionalFormatting>
  <conditionalFormatting sqref="V3:V97">
    <cfRule type="expression" priority="13" dxfId="3" stopIfTrue="1">
      <formula>AND(ISNUMBER(V3),V3&gt;=0.2)</formula>
    </cfRule>
    <cfRule type="expression" priority="14" dxfId="2" stopIfTrue="1">
      <formula>AND(ISNUMBER(V3),V3&lt;=-0.2)</formula>
    </cfRule>
    <cfRule type="expression" priority="15" dxfId="1" stopIfTrue="1">
      <formula>AND(ISNUMBER(V3),V3&gt;0)</formula>
    </cfRule>
    <cfRule type="expression" priority="16" dxfId="0" stopIfTrue="1">
      <formula>AND(ISNUMBER(V3),V3&lt;0)</formula>
    </cfRule>
  </conditionalFormatting>
  <conditionalFormatting sqref="F3:F97">
    <cfRule type="expression" priority="17" dxfId="1" stopIfTrue="1">
      <formula>AND(ISNUMBER(F3),F3&gt;0)</formula>
    </cfRule>
    <cfRule type="expression" priority="18" dxfId="0" stopIfTrue="1">
      <formula>AND(ISNUMBER(F3),F3&lt;0)</formula>
    </cfRule>
  </conditionalFormatting>
  <conditionalFormatting sqref="J3:J97">
    <cfRule type="expression" priority="19" dxfId="1" stopIfTrue="1">
      <formula>AND(ISNUMBER(J3),J3&gt;0)</formula>
    </cfRule>
    <cfRule type="expression" priority="20" dxfId="0" stopIfTrue="1">
      <formula>AND(ISNUMBER(J3),J3&lt;0)</formula>
    </cfRule>
  </conditionalFormatting>
  <conditionalFormatting sqref="O3:O97">
    <cfRule type="expression" priority="21" dxfId="1" stopIfTrue="1">
      <formula>AND(ISNUMBER(O3),O3&gt;0)</formula>
    </cfRule>
    <cfRule type="expression" priority="22" dxfId="0" stopIfTrue="1">
      <formula>AND(ISNUMBER(O3),O3&lt;0)</formula>
    </cfRule>
  </conditionalFormatting>
  <conditionalFormatting sqref="X3:X97">
    <cfRule type="expression" priority="23" dxfId="1" stopIfTrue="1">
      <formula>AND(ISNUMBER(X3),X3&gt;0)</formula>
    </cfRule>
    <cfRule type="expression" priority="24" dxfId="0" stopIfTrue="1">
      <formula>AND(ISNUMBER(X3),X3&lt;0)</formula>
    </cfRule>
  </conditionalFormatting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3984375" defaultRowHeight="15" customHeight="1"/>
  <cols>
    <col width="15" customWidth="1" style="58" min="1" max="1"/>
    <col width="22" customWidth="1" style="58" min="2" max="2"/>
    <col width="11" customWidth="1" style="58" min="3" max="3"/>
    <col width="12" customWidth="1" style="58" min="4" max="4"/>
    <col width="13" customWidth="1" style="58" min="5" max="6"/>
    <col width="9" customWidth="1" style="58" min="7" max="7"/>
    <col width="10" customWidth="1" style="58" min="8" max="8"/>
    <col width="12" customWidth="1" style="58" min="9" max="9"/>
    <col width="11" customWidth="1" style="58" min="10" max="10"/>
    <col width="9" customWidth="1" style="58" min="11" max="11"/>
    <col width="14" customWidth="1" style="58" min="12" max="13"/>
    <col width="12" customWidth="1" style="58" min="14" max="15"/>
    <col width="8.73046875" customWidth="1" style="58" min="16" max="16"/>
    <col width="46" customWidth="1" style="58" min="17" max="17"/>
    <col width="8.73046875" customWidth="1" style="58" min="18" max="18"/>
    <col width="15" customWidth="1" style="58" min="19" max="24"/>
  </cols>
  <sheetData>
    <row r="1" ht="17.25" customHeight="1" s="58">
      <c r="A1" s="1" t="inlineStr">
        <is>
          <t>Недельный съём · 31.08–06.09.2026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" t="inlineStr">
        <is>
          <t>Лист прошлой недели (питает колонки E, I, O):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2" customHeight="1" s="58">
      <c r="A2" s="5" t="inlineStr">
        <is>
          <t>Площадка</t>
        </is>
      </c>
      <c r="B2" s="5" t="inlineStr">
        <is>
          <t>Ресурс</t>
        </is>
      </c>
      <c r="C2" s="5" t="inlineStr">
        <is>
          <t>Публикаций</t>
        </is>
      </c>
      <c r="D2" s="5" t="inlineStr">
        <is>
          <t>Просмотры</t>
        </is>
      </c>
      <c r="E2" s="5" t="inlineStr">
        <is>
          <t>Просмотры
пред. неделя</t>
        </is>
      </c>
      <c r="F2" s="5" t="inlineStr">
        <is>
          <t>Δ просмотров</t>
        </is>
      </c>
      <c r="G2" s="5" t="inlineStr">
        <is>
          <t>Δ %</t>
        </is>
      </c>
      <c r="H2" s="5" t="inlineStr">
        <is>
          <t>Лайки</t>
        </is>
      </c>
      <c r="I2" s="5" t="inlineStr">
        <is>
          <t>Лайки
пред. неделя</t>
        </is>
      </c>
      <c r="J2" s="5" t="inlineStr">
        <is>
          <t>Δ лайков</t>
        </is>
      </c>
      <c r="K2" s="5" t="inlineStr">
        <is>
          <t>Δ %</t>
        </is>
      </c>
      <c r="L2" s="5" t="inlineStr">
        <is>
          <t>Ср. просмотров
на пост</t>
        </is>
      </c>
      <c r="M2" s="5" t="inlineStr">
        <is>
          <t>Лайков на 1000
просмотров</t>
        </is>
      </c>
      <c r="N2" s="5" t="inlineStr">
        <is>
          <t>Подписчики</t>
        </is>
      </c>
      <c r="O2" s="5" t="inlineStr">
        <is>
          <t>Прирост
подписчиков</t>
        </is>
      </c>
      <c r="P2" s="2" t="n"/>
      <c r="Q2" s="9" t="inlineStr">
        <is>
          <t>24-30.08</t>
        </is>
      </c>
      <c r="R2" s="2" t="n"/>
      <c r="S2" s="10" t="inlineStr">
        <is>
          <t>Δ % просмотров
пред. неделя</t>
        </is>
      </c>
      <c r="T2" s="10" t="inlineStr">
        <is>
          <t>Ускорение
просмотров, п.п.</t>
        </is>
      </c>
      <c r="U2" s="10" t="inlineStr">
        <is>
          <t>Δ % лайков
пред. неделя</t>
        </is>
      </c>
      <c r="V2" s="10" t="inlineStr">
        <is>
          <t>Ускорение
лайков, п.п.</t>
        </is>
      </c>
      <c r="W2" s="10" t="inlineStr">
        <is>
          <t>Прирост подписч.
пред. неделя</t>
        </is>
      </c>
      <c r="X2" s="10" t="inlineStr">
        <is>
          <t>Ускорение
подписчиков, чел.</t>
        </is>
      </c>
      <c r="Y2" s="2" t="n"/>
      <c r="Z2" s="2" t="n"/>
    </row>
    <row r="3" ht="14.25" customHeight="1" s="58">
      <c r="A3" s="12" t="inlineStr">
        <is>
          <t>ВКонтакте</t>
        </is>
      </c>
      <c r="B3" s="12" t="inlineStr">
        <is>
          <t>Ямал-Медиа</t>
        </is>
      </c>
      <c r="C3" s="13" t="n">
        <v>123</v>
      </c>
      <c r="D3" s="13" t="n">
        <v>400662</v>
      </c>
      <c r="E3" s="13">
        <f>IF($D3="","",IFERROR(IF(ISBLANK(INDIRECT("'"&amp;$Q$2&amp;"'!D"&amp;ROW())),"",INDIRECT("'"&amp;$Q$2&amp;"'!D"&amp;ROW())),""))</f>
        <v/>
      </c>
      <c r="F3" s="15">
        <f>IF(OR(D3="",E3=""),"",D3-E3)</f>
        <v/>
      </c>
      <c r="G3" s="16">
        <f>IFERROR(F3/E3,"")</f>
        <v/>
      </c>
      <c r="H3" s="13" t="n">
        <v>1937</v>
      </c>
      <c r="I3" s="13">
        <f>IF($H3="","",IFERROR(IF(ISBLANK(INDIRECT("'"&amp;$Q$2&amp;"'!H"&amp;ROW())),"",INDIRECT("'"&amp;$Q$2&amp;"'!H"&amp;ROW())),""))</f>
        <v/>
      </c>
      <c r="J3" s="15">
        <f>IF(OR(H3="",I3=""),"",H3-I3)</f>
        <v/>
      </c>
      <c r="K3" s="16">
        <f>IFERROR(J3/I3,"")</f>
        <v/>
      </c>
      <c r="L3" s="13">
        <f>IFERROR(D3/C3,"")</f>
        <v/>
      </c>
      <c r="M3" s="13">
        <f>IFERROR(H3/D3*1000,"")</f>
        <v/>
      </c>
      <c r="N3" s="13" t="n">
        <v>87798</v>
      </c>
      <c r="O3" s="15">
        <f>IFERROR(IF(OR(N3="",ISBLANK(INDIRECT("'"&amp;$Q$2&amp;"'!N"&amp;ROW()))),"",N3-INDIRECT("'"&amp;$Q$2&amp;"'!N"&amp;ROW())),"")</f>
        <v/>
      </c>
      <c r="P3" s="2" t="n"/>
      <c r="Q3" s="8" t="inlineStr">
        <is>
          <t>Колонки E и I берут прошлую неделю только по строкам, снятым в текущей — сравнение идёт по сопоставимому периметру.</t>
        </is>
      </c>
      <c r="R3" s="2" t="n"/>
      <c r="S3" s="18">
        <f>IFERROR(IF(ISBLANK(INDIRECT("'"&amp;$Q$2&amp;"'!G"&amp;ROW())),"",INDIRECT("'"&amp;$Q$2&amp;"'!G"&amp;ROW())),"")</f>
        <v/>
      </c>
      <c r="T3" s="20">
        <f>IF(OR($G3="",$S3=""),"",$G3-$S3)</f>
        <v/>
      </c>
      <c r="U3" s="18">
        <f>IFERROR(IF(ISBLANK(INDIRECT("'"&amp;$Q$2&amp;"'!K"&amp;ROW())),"",INDIRECT("'"&amp;$Q$2&amp;"'!K"&amp;ROW())),"")</f>
        <v/>
      </c>
      <c r="V3" s="20">
        <f>IF(OR($K3="",$U3=""),"",$K3-$U3)</f>
        <v/>
      </c>
      <c r="W3" s="21">
        <f>IFERROR(IF(ISBLANK(INDIRECT("'"&amp;$Q$2&amp;"'!O"&amp;ROW())),"",INDIRECT("'"&amp;$Q$2&amp;"'!O"&amp;ROW())),"")</f>
        <v/>
      </c>
      <c r="X3" s="21">
        <f>IF(OR($O3="",$W3=""),"",$O3-$W3)</f>
        <v/>
      </c>
      <c r="Y3" s="2" t="n"/>
      <c r="Z3" s="2" t="n"/>
    </row>
    <row r="4" ht="14.25" customHeight="1" s="58">
      <c r="A4" s="12" t="inlineStr">
        <is>
          <t>ВКонтакте</t>
        </is>
      </c>
      <c r="B4" s="12" t="inlineStr">
        <is>
          <t>Север-Пресс</t>
        </is>
      </c>
      <c r="C4" s="13" t="n">
        <v>123</v>
      </c>
      <c r="D4" s="13" t="n">
        <v>99188</v>
      </c>
      <c r="E4" s="13">
        <f>IF($D4="","",IFERROR(IF(ISBLANK(INDIRECT("'"&amp;$Q$2&amp;"'!D"&amp;ROW())),"",INDIRECT("'"&amp;$Q$2&amp;"'!D"&amp;ROW())),""))</f>
        <v/>
      </c>
      <c r="F4" s="15">
        <f>IF(OR(D4="",E4=""),"",D4-E4)</f>
        <v/>
      </c>
      <c r="G4" s="16">
        <f>IFERROR(F4/E4,"")</f>
        <v/>
      </c>
      <c r="H4" s="13" t="n">
        <v>469</v>
      </c>
      <c r="I4" s="13">
        <f>IF($H4="","",IFERROR(IF(ISBLANK(INDIRECT("'"&amp;$Q$2&amp;"'!H"&amp;ROW())),"",INDIRECT("'"&amp;$Q$2&amp;"'!H"&amp;ROW())),""))</f>
        <v/>
      </c>
      <c r="J4" s="15">
        <f>IF(OR(H4="",I4=""),"",H4-I4)</f>
        <v/>
      </c>
      <c r="K4" s="16">
        <f>IFERROR(J4/I4,"")</f>
        <v/>
      </c>
      <c r="L4" s="13">
        <f>IFERROR(D4/C4,"")</f>
        <v/>
      </c>
      <c r="M4" s="13">
        <f>IFERROR(H4/D4*1000,"")</f>
        <v/>
      </c>
      <c r="N4" s="13" t="n">
        <v>26203</v>
      </c>
      <c r="O4" s="15">
        <f>IFERROR(IF(OR(N4="",ISBLANK(INDIRECT("'"&amp;$Q$2&amp;"'!N"&amp;ROW()))),"",N4-INDIRECT("'"&amp;$Q$2&amp;"'!N"&amp;ROW())),"")</f>
        <v/>
      </c>
      <c r="P4" s="2" t="n"/>
      <c r="Q4" s="2" t="n"/>
      <c r="R4" s="2" t="n"/>
      <c r="S4" s="18">
        <f>IFERROR(IF(ISBLANK(INDIRECT("'"&amp;$Q$2&amp;"'!G"&amp;ROW())),"",INDIRECT("'"&amp;$Q$2&amp;"'!G"&amp;ROW())),"")</f>
        <v/>
      </c>
      <c r="T4" s="20">
        <f>IF(OR($G4="",$S4=""),"",$G4-$S4)</f>
        <v/>
      </c>
      <c r="U4" s="18">
        <f>IFERROR(IF(ISBLANK(INDIRECT("'"&amp;$Q$2&amp;"'!K"&amp;ROW())),"",INDIRECT("'"&amp;$Q$2&amp;"'!K"&amp;ROW())),"")</f>
        <v/>
      </c>
      <c r="V4" s="20">
        <f>IF(OR($K4="",$U4=""),"",$K4-$U4)</f>
        <v/>
      </c>
      <c r="W4" s="21">
        <f>IFERROR(IF(ISBLANK(INDIRECT("'"&amp;$Q$2&amp;"'!O"&amp;ROW())),"",INDIRECT("'"&amp;$Q$2&amp;"'!O"&amp;ROW())),"")</f>
        <v/>
      </c>
      <c r="X4" s="21">
        <f>IF(OR($O4="",$W4=""),"",$O4-$W4)</f>
        <v/>
      </c>
      <c r="Y4" s="2" t="n"/>
      <c r="Z4" s="2" t="n"/>
    </row>
    <row r="5" ht="14.25" customHeight="1" s="58">
      <c r="A5" s="12" t="inlineStr">
        <is>
          <t>ВКонтакте</t>
        </is>
      </c>
      <c r="B5" s="12" t="inlineStr">
        <is>
          <t>Лента СП</t>
        </is>
      </c>
      <c r="C5" s="13" t="n">
        <v>252</v>
      </c>
      <c r="D5" s="13" t="n">
        <v>5221</v>
      </c>
      <c r="E5" s="13">
        <f>IF($D5="","",IFERROR(IF(ISBLANK(INDIRECT("'"&amp;$Q$2&amp;"'!D"&amp;ROW())),"",INDIRECT("'"&amp;$Q$2&amp;"'!D"&amp;ROW())),""))</f>
        <v/>
      </c>
      <c r="F5" s="15">
        <f>IF(OR(D5="",E5=""),"",D5-E5)</f>
        <v/>
      </c>
      <c r="G5" s="16">
        <f>IFERROR(F5/E5,"")</f>
        <v/>
      </c>
      <c r="H5" s="13" t="n">
        <v>13</v>
      </c>
      <c r="I5" s="13">
        <f>IF($H5="","",IFERROR(IF(ISBLANK(INDIRECT("'"&amp;$Q$2&amp;"'!H"&amp;ROW())),"",INDIRECT("'"&amp;$Q$2&amp;"'!H"&amp;ROW())),""))</f>
        <v/>
      </c>
      <c r="J5" s="15">
        <f>IF(OR(H5="",I5=""),"",H5-I5)</f>
        <v/>
      </c>
      <c r="K5" s="16">
        <f>IFERROR(J5/I5,"")</f>
        <v/>
      </c>
      <c r="L5" s="13">
        <f>IFERROR(D5/C5,"")</f>
        <v/>
      </c>
      <c r="M5" s="13">
        <f>IFERROR(H5/D5*1000,"")</f>
        <v/>
      </c>
      <c r="N5" s="13" t="n">
        <v>3501</v>
      </c>
      <c r="O5" s="15">
        <f>IFERROR(IF(OR(N5="",ISBLANK(INDIRECT("'"&amp;$Q$2&amp;"'!N"&amp;ROW()))),"",N5-INDIRECT("'"&amp;$Q$2&amp;"'!N"&amp;ROW())),"")</f>
        <v/>
      </c>
      <c r="P5" s="2" t="n"/>
      <c r="Q5" s="2" t="n"/>
      <c r="R5" s="2" t="n"/>
      <c r="S5" s="18">
        <f>IFERROR(IF(ISBLANK(INDIRECT("'"&amp;$Q$2&amp;"'!G"&amp;ROW())),"",INDIRECT("'"&amp;$Q$2&amp;"'!G"&amp;ROW())),"")</f>
        <v/>
      </c>
      <c r="T5" s="20">
        <f>IF(OR($G5="",$S5=""),"",$G5-$S5)</f>
        <v/>
      </c>
      <c r="U5" s="18">
        <f>IFERROR(IF(ISBLANK(INDIRECT("'"&amp;$Q$2&amp;"'!K"&amp;ROW())),"",INDIRECT("'"&amp;$Q$2&amp;"'!K"&amp;ROW())),"")</f>
        <v/>
      </c>
      <c r="V5" s="20">
        <f>IF(OR($K5="",$U5=""),"",$K5-$U5)</f>
        <v/>
      </c>
      <c r="W5" s="21">
        <f>IFERROR(IF(ISBLANK(INDIRECT("'"&amp;$Q$2&amp;"'!O"&amp;ROW())),"",INDIRECT("'"&amp;$Q$2&amp;"'!O"&amp;ROW())),"")</f>
        <v/>
      </c>
      <c r="X5" s="21">
        <f>IF(OR($O5="",$W5=""),"",$O5-$W5)</f>
        <v/>
      </c>
      <c r="Y5" s="2" t="n"/>
      <c r="Z5" s="2" t="n"/>
    </row>
    <row r="6" ht="14.25" customHeight="1" s="58">
      <c r="A6" s="12" t="inlineStr">
        <is>
          <t>ВКонтакте</t>
        </is>
      </c>
      <c r="B6" s="12" t="inlineStr">
        <is>
          <t>Красный Север</t>
        </is>
      </c>
      <c r="C6" s="13" t="n">
        <v>83</v>
      </c>
      <c r="D6" s="13" t="n">
        <v>66380</v>
      </c>
      <c r="E6" s="13">
        <f>IF($D6="","",IFERROR(IF(ISBLANK(INDIRECT("'"&amp;$Q$2&amp;"'!D"&amp;ROW())),"",INDIRECT("'"&amp;$Q$2&amp;"'!D"&amp;ROW())),""))</f>
        <v/>
      </c>
      <c r="F6" s="15">
        <f>IF(OR(D6="",E6=""),"",D6-E6)</f>
        <v/>
      </c>
      <c r="G6" s="16">
        <f>IFERROR(F6/E6,"")</f>
        <v/>
      </c>
      <c r="H6" s="13" t="n">
        <v>294</v>
      </c>
      <c r="I6" s="13">
        <f>IF($H6="","",IFERROR(IF(ISBLANK(INDIRECT("'"&amp;$Q$2&amp;"'!H"&amp;ROW())),"",INDIRECT("'"&amp;$Q$2&amp;"'!H"&amp;ROW())),""))</f>
        <v/>
      </c>
      <c r="J6" s="15">
        <f>IF(OR(H6="",I6=""),"",H6-I6)</f>
        <v/>
      </c>
      <c r="K6" s="16">
        <f>IFERROR(J6/I6,"")</f>
        <v/>
      </c>
      <c r="L6" s="13">
        <f>IFERROR(D6/C6,"")</f>
        <v/>
      </c>
      <c r="M6" s="13">
        <f>IFERROR(H6/D6*1000,"")</f>
        <v/>
      </c>
      <c r="N6" s="13" t="n">
        <v>22924</v>
      </c>
      <c r="O6" s="15">
        <f>IFERROR(IF(OR(N6="",ISBLANK(INDIRECT("'"&amp;$Q$2&amp;"'!N"&amp;ROW()))),"",N6-INDIRECT("'"&amp;$Q$2&amp;"'!N"&amp;ROW())),"")</f>
        <v/>
      </c>
      <c r="P6" s="2" t="n"/>
      <c r="Q6" s="2" t="n"/>
      <c r="R6" s="2" t="n"/>
      <c r="S6" s="18">
        <f>IFERROR(IF(ISBLANK(INDIRECT("'"&amp;$Q$2&amp;"'!G"&amp;ROW())),"",INDIRECT("'"&amp;$Q$2&amp;"'!G"&amp;ROW())),"")</f>
        <v/>
      </c>
      <c r="T6" s="20">
        <f>IF(OR($G6="",$S6=""),"",$G6-$S6)</f>
        <v/>
      </c>
      <c r="U6" s="18">
        <f>IFERROR(IF(ISBLANK(INDIRECT("'"&amp;$Q$2&amp;"'!K"&amp;ROW())),"",INDIRECT("'"&amp;$Q$2&amp;"'!K"&amp;ROW())),"")</f>
        <v/>
      </c>
      <c r="V6" s="20">
        <f>IF(OR($K6="",$U6=""),"",$K6-$U6)</f>
        <v/>
      </c>
      <c r="W6" s="21">
        <f>IFERROR(IF(ISBLANK(INDIRECT("'"&amp;$Q$2&amp;"'!O"&amp;ROW())),"",INDIRECT("'"&amp;$Q$2&amp;"'!O"&amp;ROW())),"")</f>
        <v/>
      </c>
      <c r="X6" s="21">
        <f>IF(OR($O6="",$W6=""),"",$O6-$W6)</f>
        <v/>
      </c>
      <c r="Y6" s="2" t="n"/>
      <c r="Z6" s="2" t="n"/>
    </row>
    <row r="7" ht="14.25" customHeight="1" s="58">
      <c r="A7" s="12" t="inlineStr">
        <is>
          <t>ВКонтакте</t>
        </is>
      </c>
      <c r="B7" s="12" t="inlineStr">
        <is>
          <t>Новый Уренгой</t>
        </is>
      </c>
      <c r="C7" s="13" t="n">
        <v>125</v>
      </c>
      <c r="D7" s="13" t="n">
        <v>200470</v>
      </c>
      <c r="E7" s="13">
        <f>IF($D7="","",IFERROR(IF(ISBLANK(INDIRECT("'"&amp;$Q$2&amp;"'!D"&amp;ROW())),"",INDIRECT("'"&amp;$Q$2&amp;"'!D"&amp;ROW())),""))</f>
        <v/>
      </c>
      <c r="F7" s="15">
        <f>IF(OR(D7="",E7=""),"",D7-E7)</f>
        <v/>
      </c>
      <c r="G7" s="16">
        <f>IFERROR(F7/E7,"")</f>
        <v/>
      </c>
      <c r="H7" s="13" t="n">
        <v>2217</v>
      </c>
      <c r="I7" s="13">
        <f>IF($H7="","",IFERROR(IF(ISBLANK(INDIRECT("'"&amp;$Q$2&amp;"'!H"&amp;ROW())),"",INDIRECT("'"&amp;$Q$2&amp;"'!H"&amp;ROW())),""))</f>
        <v/>
      </c>
      <c r="J7" s="15">
        <f>IF(OR(H7="",I7=""),"",H7-I7)</f>
        <v/>
      </c>
      <c r="K7" s="16">
        <f>IFERROR(J7/I7,"")</f>
        <v/>
      </c>
      <c r="L7" s="13">
        <f>IFERROR(D7/C7,"")</f>
        <v/>
      </c>
      <c r="M7" s="13">
        <f>IFERROR(H7/D7*1000,"")</f>
        <v/>
      </c>
      <c r="N7" s="13" t="n">
        <v>24442</v>
      </c>
      <c r="O7" s="15">
        <f>IFERROR(IF(OR(N7="",ISBLANK(INDIRECT("'"&amp;$Q$2&amp;"'!N"&amp;ROW()))),"",N7-INDIRECT("'"&amp;$Q$2&amp;"'!N"&amp;ROW())),"")</f>
        <v/>
      </c>
      <c r="P7" s="2" t="n"/>
      <c r="Q7" s="2" t="n"/>
      <c r="R7" s="2" t="n"/>
      <c r="S7" s="18">
        <f>IFERROR(IF(ISBLANK(INDIRECT("'"&amp;$Q$2&amp;"'!G"&amp;ROW())),"",INDIRECT("'"&amp;$Q$2&amp;"'!G"&amp;ROW())),"")</f>
        <v/>
      </c>
      <c r="T7" s="20">
        <f>IF(OR($G7="",$S7=""),"",$G7-$S7)</f>
        <v/>
      </c>
      <c r="U7" s="18">
        <f>IFERROR(IF(ISBLANK(INDIRECT("'"&amp;$Q$2&amp;"'!K"&amp;ROW())),"",INDIRECT("'"&amp;$Q$2&amp;"'!K"&amp;ROW())),"")</f>
        <v/>
      </c>
      <c r="V7" s="20">
        <f>IF(OR($K7="",$U7=""),"",$K7-$U7)</f>
        <v/>
      </c>
      <c r="W7" s="21">
        <f>IFERROR(IF(ISBLANK(INDIRECT("'"&amp;$Q$2&amp;"'!O"&amp;ROW())),"",INDIRECT("'"&amp;$Q$2&amp;"'!O"&amp;ROW())),"")</f>
        <v/>
      </c>
      <c r="X7" s="21">
        <f>IF(OR($O7="",$W7=""),"",$O7-$W7)</f>
        <v/>
      </c>
      <c r="Y7" s="2" t="n"/>
      <c r="Z7" s="2" t="n"/>
    </row>
    <row r="8" ht="14.25" customHeight="1" s="58">
      <c r="A8" s="12" t="inlineStr">
        <is>
          <t>ВКонтакте</t>
        </is>
      </c>
      <c r="B8" s="12" t="inlineStr">
        <is>
          <t>Надым</t>
        </is>
      </c>
      <c r="C8" s="13" t="n">
        <v>100</v>
      </c>
      <c r="D8" s="13" t="n">
        <v>371998</v>
      </c>
      <c r="E8" s="13">
        <f>IF($D8="","",IFERROR(IF(ISBLANK(INDIRECT("'"&amp;$Q$2&amp;"'!D"&amp;ROW())),"",INDIRECT("'"&amp;$Q$2&amp;"'!D"&amp;ROW())),""))</f>
        <v/>
      </c>
      <c r="F8" s="15">
        <f>IF(OR(D8="",E8=""),"",D8-E8)</f>
        <v/>
      </c>
      <c r="G8" s="16">
        <f>IFERROR(F8/E8,"")</f>
        <v/>
      </c>
      <c r="H8" s="13" t="n">
        <v>6123</v>
      </c>
      <c r="I8" s="13">
        <f>IF($H8="","",IFERROR(IF(ISBLANK(INDIRECT("'"&amp;$Q$2&amp;"'!H"&amp;ROW())),"",INDIRECT("'"&amp;$Q$2&amp;"'!H"&amp;ROW())),""))</f>
        <v/>
      </c>
      <c r="J8" s="15">
        <f>IF(OR(H8="",I8=""),"",H8-I8)</f>
        <v/>
      </c>
      <c r="K8" s="16">
        <f>IFERROR(J8/I8,"")</f>
        <v/>
      </c>
      <c r="L8" s="13">
        <f>IFERROR(D8/C8,"")</f>
        <v/>
      </c>
      <c r="M8" s="13">
        <f>IFERROR(H8/D8*1000,"")</f>
        <v/>
      </c>
      <c r="N8" s="13" t="n">
        <v>21437</v>
      </c>
      <c r="O8" s="15">
        <f>IFERROR(IF(OR(N8="",ISBLANK(INDIRECT("'"&amp;$Q$2&amp;"'!N"&amp;ROW()))),"",N8-INDIRECT("'"&amp;$Q$2&amp;"'!N"&amp;ROW())),"")</f>
        <v/>
      </c>
      <c r="P8" s="2" t="n"/>
      <c r="Q8" s="2" t="n"/>
      <c r="R8" s="2" t="n"/>
      <c r="S8" s="18">
        <f>IFERROR(IF(ISBLANK(INDIRECT("'"&amp;$Q$2&amp;"'!G"&amp;ROW())),"",INDIRECT("'"&amp;$Q$2&amp;"'!G"&amp;ROW())),"")</f>
        <v/>
      </c>
      <c r="T8" s="20">
        <f>IF(OR($G8="",$S8=""),"",$G8-$S8)</f>
        <v/>
      </c>
      <c r="U8" s="18">
        <f>IFERROR(IF(ISBLANK(INDIRECT("'"&amp;$Q$2&amp;"'!K"&amp;ROW())),"",INDIRECT("'"&amp;$Q$2&amp;"'!K"&amp;ROW())),"")</f>
        <v/>
      </c>
      <c r="V8" s="20">
        <f>IF(OR($K8="",$U8=""),"",$K8-$U8)</f>
        <v/>
      </c>
      <c r="W8" s="21">
        <f>IFERROR(IF(ISBLANK(INDIRECT("'"&amp;$Q$2&amp;"'!O"&amp;ROW())),"",INDIRECT("'"&amp;$Q$2&amp;"'!O"&amp;ROW())),"")</f>
        <v/>
      </c>
      <c r="X8" s="21">
        <f>IF(OR($O8="",$W8=""),"",$O8-$W8)</f>
        <v/>
      </c>
      <c r="Y8" s="2" t="n"/>
      <c r="Z8" s="2" t="n"/>
    </row>
    <row r="9" ht="14.25" customHeight="1" s="58">
      <c r="A9" s="12" t="inlineStr">
        <is>
          <t>ВКонтакте</t>
        </is>
      </c>
      <c r="B9" s="12" t="inlineStr">
        <is>
          <t>Ноябрьск</t>
        </is>
      </c>
      <c r="C9" s="13" t="n">
        <v>110</v>
      </c>
      <c r="D9" s="13" t="n">
        <v>471044</v>
      </c>
      <c r="E9" s="13">
        <f>IF($D9="","",IFERROR(IF(ISBLANK(INDIRECT("'"&amp;$Q$2&amp;"'!D"&amp;ROW())),"",INDIRECT("'"&amp;$Q$2&amp;"'!D"&amp;ROW())),""))</f>
        <v/>
      </c>
      <c r="F9" s="15">
        <f>IF(OR(D9="",E9=""),"",D9-E9)</f>
        <v/>
      </c>
      <c r="G9" s="16">
        <f>IFERROR(F9/E9,"")</f>
        <v/>
      </c>
      <c r="H9" s="13" t="n">
        <v>6733</v>
      </c>
      <c r="I9" s="13">
        <f>IF($H9="","",IFERROR(IF(ISBLANK(INDIRECT("'"&amp;$Q$2&amp;"'!H"&amp;ROW())),"",INDIRECT("'"&amp;$Q$2&amp;"'!H"&amp;ROW())),""))</f>
        <v/>
      </c>
      <c r="J9" s="15">
        <f>IF(OR(H9="",I9=""),"",H9-I9)</f>
        <v/>
      </c>
      <c r="K9" s="16">
        <f>IFERROR(J9/I9,"")</f>
        <v/>
      </c>
      <c r="L9" s="13">
        <f>IFERROR(D9/C9,"")</f>
        <v/>
      </c>
      <c r="M9" s="13">
        <f>IFERROR(H9/D9*1000,"")</f>
        <v/>
      </c>
      <c r="N9" s="13" t="n">
        <v>30983</v>
      </c>
      <c r="O9" s="15">
        <f>IFERROR(IF(OR(N9="",ISBLANK(INDIRECT("'"&amp;$Q$2&amp;"'!N"&amp;ROW()))),"",N9-INDIRECT("'"&amp;$Q$2&amp;"'!N"&amp;ROW())),"")</f>
        <v/>
      </c>
      <c r="P9" s="2" t="n"/>
      <c r="Q9" s="2" t="n"/>
      <c r="R9" s="2" t="n"/>
      <c r="S9" s="18">
        <f>IFERROR(IF(ISBLANK(INDIRECT("'"&amp;$Q$2&amp;"'!G"&amp;ROW())),"",INDIRECT("'"&amp;$Q$2&amp;"'!G"&amp;ROW())),"")</f>
        <v/>
      </c>
      <c r="T9" s="20">
        <f>IF(OR($G9="",$S9=""),"",$G9-$S9)</f>
        <v/>
      </c>
      <c r="U9" s="18">
        <f>IFERROR(IF(ISBLANK(INDIRECT("'"&amp;$Q$2&amp;"'!K"&amp;ROW())),"",INDIRECT("'"&amp;$Q$2&amp;"'!K"&amp;ROW())),"")</f>
        <v/>
      </c>
      <c r="V9" s="20">
        <f>IF(OR($K9="",$U9=""),"",$K9-$U9)</f>
        <v/>
      </c>
      <c r="W9" s="21">
        <f>IFERROR(IF(ISBLANK(INDIRECT("'"&amp;$Q$2&amp;"'!O"&amp;ROW())),"",INDIRECT("'"&amp;$Q$2&amp;"'!O"&amp;ROW())),"")</f>
        <v/>
      </c>
      <c r="X9" s="21">
        <f>IF(OR($O9="",$W9=""),"",$O9-$W9)</f>
        <v/>
      </c>
      <c r="Y9" s="2" t="n"/>
      <c r="Z9" s="2" t="n"/>
    </row>
    <row r="10" ht="14.25" customHeight="1" s="58">
      <c r="A10" s="12" t="inlineStr">
        <is>
          <t>ВКонтакте</t>
        </is>
      </c>
      <c r="B10" s="12" t="inlineStr">
        <is>
          <t>Салехард</t>
        </is>
      </c>
      <c r="C10" s="13" t="n">
        <v>103</v>
      </c>
      <c r="D10" s="13" t="n">
        <v>156425</v>
      </c>
      <c r="E10" s="13">
        <f>IF($D10="","",IFERROR(IF(ISBLANK(INDIRECT("'"&amp;$Q$2&amp;"'!D"&amp;ROW())),"",INDIRECT("'"&amp;$Q$2&amp;"'!D"&amp;ROW())),""))</f>
        <v/>
      </c>
      <c r="F10" s="15">
        <f>IF(OR(D10="",E10=""),"",D10-E10)</f>
        <v/>
      </c>
      <c r="G10" s="16">
        <f>IFERROR(F10/E10,"")</f>
        <v/>
      </c>
      <c r="H10" s="13" t="n">
        <v>1004</v>
      </c>
      <c r="I10" s="13">
        <f>IF($H10="","",IFERROR(IF(ISBLANK(INDIRECT("'"&amp;$Q$2&amp;"'!H"&amp;ROW())),"",INDIRECT("'"&amp;$Q$2&amp;"'!H"&amp;ROW())),""))</f>
        <v/>
      </c>
      <c r="J10" s="15">
        <f>IF(OR(H10="",I10=""),"",H10-I10)</f>
        <v/>
      </c>
      <c r="K10" s="16">
        <f>IFERROR(J10/I10,"")</f>
        <v/>
      </c>
      <c r="L10" s="13">
        <f>IFERROR(D10/C10,"")</f>
        <v/>
      </c>
      <c r="M10" s="13">
        <f>IFERROR(H10/D10*1000,"")</f>
        <v/>
      </c>
      <c r="N10" s="13" t="n">
        <v>21279</v>
      </c>
      <c r="O10" s="15">
        <f>IFERROR(IF(OR(N10="",ISBLANK(INDIRECT("'"&amp;$Q$2&amp;"'!N"&amp;ROW()))),"",N10-INDIRECT("'"&amp;$Q$2&amp;"'!N"&amp;ROW())),"")</f>
        <v/>
      </c>
      <c r="P10" s="2" t="n"/>
      <c r="Q10" s="2" t="n"/>
      <c r="R10" s="2" t="n"/>
      <c r="S10" s="18">
        <f>IFERROR(IF(ISBLANK(INDIRECT("'"&amp;$Q$2&amp;"'!G"&amp;ROW())),"",INDIRECT("'"&amp;$Q$2&amp;"'!G"&amp;ROW())),"")</f>
        <v/>
      </c>
      <c r="T10" s="20">
        <f>IF(OR($G10="",$S10=""),"",$G10-$S10)</f>
        <v/>
      </c>
      <c r="U10" s="18">
        <f>IFERROR(IF(ISBLANK(INDIRECT("'"&amp;$Q$2&amp;"'!K"&amp;ROW())),"",INDIRECT("'"&amp;$Q$2&amp;"'!K"&amp;ROW())),"")</f>
        <v/>
      </c>
      <c r="V10" s="20">
        <f>IF(OR($K10="",$U10=""),"",$K10-$U10)</f>
        <v/>
      </c>
      <c r="W10" s="21">
        <f>IFERROR(IF(ISBLANK(INDIRECT("'"&amp;$Q$2&amp;"'!O"&amp;ROW())),"",INDIRECT("'"&amp;$Q$2&amp;"'!O"&amp;ROW())),"")</f>
        <v/>
      </c>
      <c r="X10" s="21">
        <f>IF(OR($O10="",$W10=""),"",$O10-$W10)</f>
        <v/>
      </c>
      <c r="Y10" s="2" t="n"/>
      <c r="Z10" s="2" t="n"/>
    </row>
    <row r="11" ht="14.25" customHeight="1" s="58">
      <c r="A11" s="12" t="inlineStr">
        <is>
          <t>ВКонтакте</t>
        </is>
      </c>
      <c r="B11" s="12" t="inlineStr">
        <is>
          <t>Приуралье</t>
        </is>
      </c>
      <c r="C11" s="13" t="n">
        <v>103</v>
      </c>
      <c r="D11" s="13" t="n">
        <v>448825</v>
      </c>
      <c r="E11" s="13">
        <f>IF($D11="","",IFERROR(IF(ISBLANK(INDIRECT("'"&amp;$Q$2&amp;"'!D"&amp;ROW())),"",INDIRECT("'"&amp;$Q$2&amp;"'!D"&amp;ROW())),""))</f>
        <v/>
      </c>
      <c r="F11" s="15">
        <f>IF(OR(D11="",E11=""),"",D11-E11)</f>
        <v/>
      </c>
      <c r="G11" s="16">
        <f>IFERROR(F11/E11,"")</f>
        <v/>
      </c>
      <c r="H11" s="13" t="n">
        <v>4345</v>
      </c>
      <c r="I11" s="13">
        <f>IF($H11="","",IFERROR(IF(ISBLANK(INDIRECT("'"&amp;$Q$2&amp;"'!H"&amp;ROW())),"",INDIRECT("'"&amp;$Q$2&amp;"'!H"&amp;ROW())),""))</f>
        <v/>
      </c>
      <c r="J11" s="15">
        <f>IF(OR(H11="",I11=""),"",H11-I11)</f>
        <v/>
      </c>
      <c r="K11" s="16">
        <f>IFERROR(J11/I11,"")</f>
        <v/>
      </c>
      <c r="L11" s="13">
        <f>IFERROR(D11/C11,"")</f>
        <v/>
      </c>
      <c r="M11" s="13">
        <f>IFERROR(H11/D11*1000,"")</f>
        <v/>
      </c>
      <c r="N11" s="13" t="n">
        <v>20590</v>
      </c>
      <c r="O11" s="15">
        <f>IFERROR(IF(OR(N11="",ISBLANK(INDIRECT("'"&amp;$Q$2&amp;"'!N"&amp;ROW()))),"",N11-INDIRECT("'"&amp;$Q$2&amp;"'!N"&amp;ROW())),"")</f>
        <v/>
      </c>
      <c r="P11" s="2" t="n"/>
      <c r="Q11" s="2" t="n"/>
      <c r="R11" s="2" t="n"/>
      <c r="S11" s="18">
        <f>IFERROR(IF(ISBLANK(INDIRECT("'"&amp;$Q$2&amp;"'!G"&amp;ROW())),"",INDIRECT("'"&amp;$Q$2&amp;"'!G"&amp;ROW())),"")</f>
        <v/>
      </c>
      <c r="T11" s="20">
        <f>IF(OR($G11="",$S11=""),"",$G11-$S11)</f>
        <v/>
      </c>
      <c r="U11" s="18">
        <f>IFERROR(IF(ISBLANK(INDIRECT("'"&amp;$Q$2&amp;"'!K"&amp;ROW())),"",INDIRECT("'"&amp;$Q$2&amp;"'!K"&amp;ROW())),"")</f>
        <v/>
      </c>
      <c r="V11" s="20">
        <f>IF(OR($K11="",$U11=""),"",$K11-$U11)</f>
        <v/>
      </c>
      <c r="W11" s="21">
        <f>IFERROR(IF(ISBLANK(INDIRECT("'"&amp;$Q$2&amp;"'!O"&amp;ROW())),"",INDIRECT("'"&amp;$Q$2&amp;"'!O"&amp;ROW())),"")</f>
        <v/>
      </c>
      <c r="X11" s="21">
        <f>IF(OR($O11="",$W11=""),"",$O11-$W11)</f>
        <v/>
      </c>
      <c r="Y11" s="2" t="n"/>
      <c r="Z11" s="2" t="n"/>
    </row>
    <row r="12" ht="14.25" customHeight="1" s="58">
      <c r="A12" s="12" t="inlineStr">
        <is>
          <t>ВКонтакте</t>
        </is>
      </c>
      <c r="B12" s="12" t="inlineStr">
        <is>
          <t>Лабытнанги</t>
        </is>
      </c>
      <c r="C12" s="13" t="n">
        <v>67</v>
      </c>
      <c r="D12" s="13" t="n">
        <v>91251</v>
      </c>
      <c r="E12" s="13">
        <f>IF($D12="","",IFERROR(IF(ISBLANK(INDIRECT("'"&amp;$Q$2&amp;"'!D"&amp;ROW())),"",INDIRECT("'"&amp;$Q$2&amp;"'!D"&amp;ROW())),""))</f>
        <v/>
      </c>
      <c r="F12" s="15">
        <f>IF(OR(D12="",E12=""),"",D12-E12)</f>
        <v/>
      </c>
      <c r="G12" s="16">
        <f>IFERROR(F12/E12,"")</f>
        <v/>
      </c>
      <c r="H12" s="13" t="n">
        <v>1648</v>
      </c>
      <c r="I12" s="13">
        <f>IF($H12="","",IFERROR(IF(ISBLANK(INDIRECT("'"&amp;$Q$2&amp;"'!H"&amp;ROW())),"",INDIRECT("'"&amp;$Q$2&amp;"'!H"&amp;ROW())),""))</f>
        <v/>
      </c>
      <c r="J12" s="15">
        <f>IF(OR(H12="",I12=""),"",H12-I12)</f>
        <v/>
      </c>
      <c r="K12" s="16">
        <f>IFERROR(J12/I12,"")</f>
        <v/>
      </c>
      <c r="L12" s="13">
        <f>IFERROR(D12/C12,"")</f>
        <v/>
      </c>
      <c r="M12" s="13">
        <f>IFERROR(H12/D12*1000,"")</f>
        <v/>
      </c>
      <c r="N12" s="13" t="n">
        <v>15319</v>
      </c>
      <c r="O12" s="15">
        <f>IFERROR(IF(OR(N12="",ISBLANK(INDIRECT("'"&amp;$Q$2&amp;"'!N"&amp;ROW()))),"",N12-INDIRECT("'"&amp;$Q$2&amp;"'!N"&amp;ROW())),"")</f>
        <v/>
      </c>
      <c r="P12" s="2" t="n"/>
      <c r="Q12" s="2" t="n"/>
      <c r="R12" s="2" t="n"/>
      <c r="S12" s="18">
        <f>IFERROR(IF(ISBLANK(INDIRECT("'"&amp;$Q$2&amp;"'!G"&amp;ROW())),"",INDIRECT("'"&amp;$Q$2&amp;"'!G"&amp;ROW())),"")</f>
        <v/>
      </c>
      <c r="T12" s="20">
        <f>IF(OR($G12="",$S12=""),"",$G12-$S12)</f>
        <v/>
      </c>
      <c r="U12" s="18">
        <f>IFERROR(IF(ISBLANK(INDIRECT("'"&amp;$Q$2&amp;"'!K"&amp;ROW())),"",INDIRECT("'"&amp;$Q$2&amp;"'!K"&amp;ROW())),"")</f>
        <v/>
      </c>
      <c r="V12" s="20">
        <f>IF(OR($K12="",$U12=""),"",$K12-$U12)</f>
        <v/>
      </c>
      <c r="W12" s="21">
        <f>IFERROR(IF(ISBLANK(INDIRECT("'"&amp;$Q$2&amp;"'!O"&amp;ROW())),"",INDIRECT("'"&amp;$Q$2&amp;"'!O"&amp;ROW())),"")</f>
        <v/>
      </c>
      <c r="X12" s="21">
        <f>IF(OR($O12="",$W12=""),"",$O12-$W12)</f>
        <v/>
      </c>
      <c r="Y12" s="2" t="n"/>
      <c r="Z12" s="2" t="n"/>
    </row>
    <row r="13" ht="14.25" customHeight="1" s="58">
      <c r="A13" s="12" t="inlineStr">
        <is>
          <t>ВКонтакте</t>
        </is>
      </c>
      <c r="B13" s="12" t="inlineStr">
        <is>
          <t>Пуровский</t>
        </is>
      </c>
      <c r="C13" s="13" t="n">
        <v>70</v>
      </c>
      <c r="D13" s="13" t="n">
        <v>65931</v>
      </c>
      <c r="E13" s="13">
        <f>IF($D13="","",IFERROR(IF(ISBLANK(INDIRECT("'"&amp;$Q$2&amp;"'!D"&amp;ROW())),"",INDIRECT("'"&amp;$Q$2&amp;"'!D"&amp;ROW())),""))</f>
        <v/>
      </c>
      <c r="F13" s="15">
        <f>IF(OR(D13="",E13=""),"",D13-E13)</f>
        <v/>
      </c>
      <c r="G13" s="16">
        <f>IFERROR(F13/E13,"")</f>
        <v/>
      </c>
      <c r="H13" s="13" t="n">
        <v>1056</v>
      </c>
      <c r="I13" s="13">
        <f>IF($H13="","",IFERROR(IF(ISBLANK(INDIRECT("'"&amp;$Q$2&amp;"'!H"&amp;ROW())),"",INDIRECT("'"&amp;$Q$2&amp;"'!H"&amp;ROW())),""))</f>
        <v/>
      </c>
      <c r="J13" s="15">
        <f>IF(OR(H13="",I13=""),"",H13-I13)</f>
        <v/>
      </c>
      <c r="K13" s="16">
        <f>IFERROR(J13/I13,"")</f>
        <v/>
      </c>
      <c r="L13" s="13">
        <f>IFERROR(D13/C13,"")</f>
        <v/>
      </c>
      <c r="M13" s="13">
        <f>IFERROR(H13/D13*1000,"")</f>
        <v/>
      </c>
      <c r="N13" s="13" t="n">
        <v>16342</v>
      </c>
      <c r="O13" s="15">
        <f>IFERROR(IF(OR(N13="",ISBLANK(INDIRECT("'"&amp;$Q$2&amp;"'!N"&amp;ROW()))),"",N13-INDIRECT("'"&amp;$Q$2&amp;"'!N"&amp;ROW())),"")</f>
        <v/>
      </c>
      <c r="P13" s="2" t="n"/>
      <c r="Q13" s="2" t="n"/>
      <c r="R13" s="2" t="n"/>
      <c r="S13" s="18">
        <f>IFERROR(IF(ISBLANK(INDIRECT("'"&amp;$Q$2&amp;"'!G"&amp;ROW())),"",INDIRECT("'"&amp;$Q$2&amp;"'!G"&amp;ROW())),"")</f>
        <v/>
      </c>
      <c r="T13" s="20">
        <f>IF(OR($G13="",$S13=""),"",$G13-$S13)</f>
        <v/>
      </c>
      <c r="U13" s="18">
        <f>IFERROR(IF(ISBLANK(INDIRECT("'"&amp;$Q$2&amp;"'!K"&amp;ROW())),"",INDIRECT("'"&amp;$Q$2&amp;"'!K"&amp;ROW())),"")</f>
        <v/>
      </c>
      <c r="V13" s="20">
        <f>IF(OR($K13="",$U13=""),"",$K13-$U13)</f>
        <v/>
      </c>
      <c r="W13" s="21">
        <f>IFERROR(IF(ISBLANK(INDIRECT("'"&amp;$Q$2&amp;"'!O"&amp;ROW())),"",INDIRECT("'"&amp;$Q$2&amp;"'!O"&amp;ROW())),"")</f>
        <v/>
      </c>
      <c r="X13" s="21">
        <f>IF(OR($O13="",$W13=""),"",$O13-$W13)</f>
        <v/>
      </c>
      <c r="Y13" s="2" t="n"/>
      <c r="Z13" s="2" t="n"/>
    </row>
    <row r="14" ht="14.25" customHeight="1" s="58">
      <c r="A14" s="12" t="inlineStr">
        <is>
          <t>ВКонтакте</t>
        </is>
      </c>
      <c r="B14" s="12" t="inlineStr">
        <is>
          <t>Тазовский</t>
        </is>
      </c>
      <c r="C14" s="13" t="n">
        <v>45</v>
      </c>
      <c r="D14" s="13" t="n">
        <v>37833</v>
      </c>
      <c r="E14" s="13">
        <f>IF($D14="","",IFERROR(IF(ISBLANK(INDIRECT("'"&amp;$Q$2&amp;"'!D"&amp;ROW())),"",INDIRECT("'"&amp;$Q$2&amp;"'!D"&amp;ROW())),""))</f>
        <v/>
      </c>
      <c r="F14" s="15">
        <f>IF(OR(D14="",E14=""),"",D14-E14)</f>
        <v/>
      </c>
      <c r="G14" s="16">
        <f>IFERROR(F14/E14,"")</f>
        <v/>
      </c>
      <c r="H14" s="13" t="n">
        <v>415</v>
      </c>
      <c r="I14" s="13">
        <f>IF($H14="","",IFERROR(IF(ISBLANK(INDIRECT("'"&amp;$Q$2&amp;"'!H"&amp;ROW())),"",INDIRECT("'"&amp;$Q$2&amp;"'!H"&amp;ROW())),""))</f>
        <v/>
      </c>
      <c r="J14" s="15">
        <f>IF(OR(H14="",I14=""),"",H14-I14)</f>
        <v/>
      </c>
      <c r="K14" s="16">
        <f>IFERROR(J14/I14,"")</f>
        <v/>
      </c>
      <c r="L14" s="13">
        <f>IFERROR(D14/C14,"")</f>
        <v/>
      </c>
      <c r="M14" s="13">
        <f>IFERROR(H14/D14*1000,"")</f>
        <v/>
      </c>
      <c r="N14" s="13" t="n">
        <v>6299</v>
      </c>
      <c r="O14" s="15">
        <f>IFERROR(IF(OR(N14="",ISBLANK(INDIRECT("'"&amp;$Q$2&amp;"'!N"&amp;ROW()))),"",N14-INDIRECT("'"&amp;$Q$2&amp;"'!N"&amp;ROW())),"")</f>
        <v/>
      </c>
      <c r="P14" s="2" t="n"/>
      <c r="Q14" s="2" t="n"/>
      <c r="R14" s="2" t="n"/>
      <c r="S14" s="18">
        <f>IFERROR(IF(ISBLANK(INDIRECT("'"&amp;$Q$2&amp;"'!G"&amp;ROW())),"",INDIRECT("'"&amp;$Q$2&amp;"'!G"&amp;ROW())),"")</f>
        <v/>
      </c>
      <c r="T14" s="20">
        <f>IF(OR($G14="",$S14=""),"",$G14-$S14)</f>
        <v/>
      </c>
      <c r="U14" s="18">
        <f>IFERROR(IF(ISBLANK(INDIRECT("'"&amp;$Q$2&amp;"'!K"&amp;ROW())),"",INDIRECT("'"&amp;$Q$2&amp;"'!K"&amp;ROW())),"")</f>
        <v/>
      </c>
      <c r="V14" s="20">
        <f>IF(OR($K14="",$U14=""),"",$K14-$U14)</f>
        <v/>
      </c>
      <c r="W14" s="21">
        <f>IFERROR(IF(ISBLANK(INDIRECT("'"&amp;$Q$2&amp;"'!O"&amp;ROW())),"",INDIRECT("'"&amp;$Q$2&amp;"'!O"&amp;ROW())),"")</f>
        <v/>
      </c>
      <c r="X14" s="21">
        <f>IF(OR($O14="",$W14=""),"",$O14-$W14)</f>
        <v/>
      </c>
      <c r="Y14" s="2" t="n"/>
      <c r="Z14" s="2" t="n"/>
    </row>
    <row r="15" ht="14.25" customHeight="1" s="58">
      <c r="A15" s="12" t="inlineStr">
        <is>
          <t>ВКонтакте</t>
        </is>
      </c>
      <c r="B15" s="12" t="inlineStr">
        <is>
          <t>Красноселькуп</t>
        </is>
      </c>
      <c r="C15" s="13" t="n">
        <v>34</v>
      </c>
      <c r="D15" s="13" t="n">
        <v>39455</v>
      </c>
      <c r="E15" s="13">
        <f>IF($D15="","",IFERROR(IF(ISBLANK(INDIRECT("'"&amp;$Q$2&amp;"'!D"&amp;ROW())),"",INDIRECT("'"&amp;$Q$2&amp;"'!D"&amp;ROW())),""))</f>
        <v/>
      </c>
      <c r="F15" s="15">
        <f>IF(OR(D15="",E15=""),"",D15-E15)</f>
        <v/>
      </c>
      <c r="G15" s="16">
        <f>IFERROR(F15/E15,"")</f>
        <v/>
      </c>
      <c r="H15" s="13" t="n">
        <v>488</v>
      </c>
      <c r="I15" s="13">
        <f>IF($H15="","",IFERROR(IF(ISBLANK(INDIRECT("'"&amp;$Q$2&amp;"'!H"&amp;ROW())),"",INDIRECT("'"&amp;$Q$2&amp;"'!H"&amp;ROW())),""))</f>
        <v/>
      </c>
      <c r="J15" s="15">
        <f>IF(OR(H15="",I15=""),"",H15-I15)</f>
        <v/>
      </c>
      <c r="K15" s="16">
        <f>IFERROR(J15/I15,"")</f>
        <v/>
      </c>
      <c r="L15" s="13">
        <f>IFERROR(D15/C15,"")</f>
        <v/>
      </c>
      <c r="M15" s="13">
        <f>IFERROR(H15/D15*1000,"")</f>
        <v/>
      </c>
      <c r="N15" s="13" t="n">
        <v>3648</v>
      </c>
      <c r="O15" s="15">
        <f>IFERROR(IF(OR(N15="",ISBLANK(INDIRECT("'"&amp;$Q$2&amp;"'!N"&amp;ROW()))),"",N15-INDIRECT("'"&amp;$Q$2&amp;"'!N"&amp;ROW())),"")</f>
        <v/>
      </c>
      <c r="P15" s="2" t="n"/>
      <c r="Q15" s="2" t="n"/>
      <c r="R15" s="2" t="n"/>
      <c r="S15" s="18">
        <f>IFERROR(IF(ISBLANK(INDIRECT("'"&amp;$Q$2&amp;"'!G"&amp;ROW())),"",INDIRECT("'"&amp;$Q$2&amp;"'!G"&amp;ROW())),"")</f>
        <v/>
      </c>
      <c r="T15" s="20">
        <f>IF(OR($G15="",$S15=""),"",$G15-$S15)</f>
        <v/>
      </c>
      <c r="U15" s="18">
        <f>IFERROR(IF(ISBLANK(INDIRECT("'"&amp;$Q$2&amp;"'!K"&amp;ROW())),"",INDIRECT("'"&amp;$Q$2&amp;"'!K"&amp;ROW())),"")</f>
        <v/>
      </c>
      <c r="V15" s="20">
        <f>IF(OR($K15="",$U15=""),"",$K15-$U15)</f>
        <v/>
      </c>
      <c r="W15" s="21">
        <f>IFERROR(IF(ISBLANK(INDIRECT("'"&amp;$Q$2&amp;"'!O"&amp;ROW())),"",INDIRECT("'"&amp;$Q$2&amp;"'!O"&amp;ROW())),"")</f>
        <v/>
      </c>
      <c r="X15" s="21">
        <f>IF(OR($O15="",$W15=""),"",$O15-$W15)</f>
        <v/>
      </c>
      <c r="Y15" s="2" t="n"/>
      <c r="Z15" s="2" t="n"/>
    </row>
    <row r="16" ht="14.25" customHeight="1" s="58">
      <c r="A16" s="12" t="inlineStr">
        <is>
          <t>ВКонтакте</t>
        </is>
      </c>
      <c r="B16" s="12" t="inlineStr">
        <is>
          <t>Ямальский</t>
        </is>
      </c>
      <c r="C16" s="13" t="n">
        <v>45</v>
      </c>
      <c r="D16" s="13" t="n">
        <v>100934</v>
      </c>
      <c r="E16" s="13">
        <f>IF($D16="","",IFERROR(IF(ISBLANK(INDIRECT("'"&amp;$Q$2&amp;"'!D"&amp;ROW())),"",INDIRECT("'"&amp;$Q$2&amp;"'!D"&amp;ROW())),""))</f>
        <v/>
      </c>
      <c r="F16" s="15">
        <f>IF(OR(D16="",E16=""),"",D16-E16)</f>
        <v/>
      </c>
      <c r="G16" s="16">
        <f>IFERROR(F16/E16,"")</f>
        <v/>
      </c>
      <c r="H16" s="13" t="n">
        <v>955</v>
      </c>
      <c r="I16" s="13">
        <f>IF($H16="","",IFERROR(IF(ISBLANK(INDIRECT("'"&amp;$Q$2&amp;"'!H"&amp;ROW())),"",INDIRECT("'"&amp;$Q$2&amp;"'!H"&amp;ROW())),""))</f>
        <v/>
      </c>
      <c r="J16" s="15">
        <f>IF(OR(H16="",I16=""),"",H16-I16)</f>
        <v/>
      </c>
      <c r="K16" s="16">
        <f>IFERROR(J16/I16,"")</f>
        <v/>
      </c>
      <c r="L16" s="13">
        <f>IFERROR(D16/C16,"")</f>
        <v/>
      </c>
      <c r="M16" s="13">
        <f>IFERROR(H16/D16*1000,"")</f>
        <v/>
      </c>
      <c r="N16" s="13" t="n">
        <v>12285</v>
      </c>
      <c r="O16" s="15">
        <f>IFERROR(IF(OR(N16="",ISBLANK(INDIRECT("'"&amp;$Q$2&amp;"'!N"&amp;ROW()))),"",N16-INDIRECT("'"&amp;$Q$2&amp;"'!N"&amp;ROW())),"")</f>
        <v/>
      </c>
      <c r="P16" s="2" t="n"/>
      <c r="Q16" s="2" t="n"/>
      <c r="R16" s="2" t="n"/>
      <c r="S16" s="18">
        <f>IFERROR(IF(ISBLANK(INDIRECT("'"&amp;$Q$2&amp;"'!G"&amp;ROW())),"",INDIRECT("'"&amp;$Q$2&amp;"'!G"&amp;ROW())),"")</f>
        <v/>
      </c>
      <c r="T16" s="20">
        <f>IF(OR($G16="",$S16=""),"",$G16-$S16)</f>
        <v/>
      </c>
      <c r="U16" s="18">
        <f>IFERROR(IF(ISBLANK(INDIRECT("'"&amp;$Q$2&amp;"'!K"&amp;ROW())),"",INDIRECT("'"&amp;$Q$2&amp;"'!K"&amp;ROW())),"")</f>
        <v/>
      </c>
      <c r="V16" s="20">
        <f>IF(OR($K16="",$U16=""),"",$K16-$U16)</f>
        <v/>
      </c>
      <c r="W16" s="21">
        <f>IFERROR(IF(ISBLANK(INDIRECT("'"&amp;$Q$2&amp;"'!O"&amp;ROW())),"",INDIRECT("'"&amp;$Q$2&amp;"'!O"&amp;ROW())),"")</f>
        <v/>
      </c>
      <c r="X16" s="21">
        <f>IF(OR($O16="",$W16=""),"",$O16-$W16)</f>
        <v/>
      </c>
      <c r="Y16" s="2" t="n"/>
      <c r="Z16" s="2" t="n"/>
    </row>
    <row r="17" ht="14.25" customHeight="1" s="58">
      <c r="A17" s="12" t="inlineStr">
        <is>
          <t>ВКонтакте</t>
        </is>
      </c>
      <c r="B17" s="12" t="inlineStr">
        <is>
          <t>Шурышкарский</t>
        </is>
      </c>
      <c r="C17" s="13" t="n">
        <v>50</v>
      </c>
      <c r="D17" s="13" t="n">
        <v>125560</v>
      </c>
      <c r="E17" s="13">
        <f>IF($D17="","",IFERROR(IF(ISBLANK(INDIRECT("'"&amp;$Q$2&amp;"'!D"&amp;ROW())),"",INDIRECT("'"&amp;$Q$2&amp;"'!D"&amp;ROW())),""))</f>
        <v/>
      </c>
      <c r="F17" s="15">
        <f>IF(OR(D17="",E17=""),"",D17-E17)</f>
        <v/>
      </c>
      <c r="G17" s="16">
        <f>IFERROR(F17/E17,"")</f>
        <v/>
      </c>
      <c r="H17" s="13" t="n">
        <v>1636</v>
      </c>
      <c r="I17" s="13">
        <f>IF($H17="","",IFERROR(IF(ISBLANK(INDIRECT("'"&amp;$Q$2&amp;"'!H"&amp;ROW())),"",INDIRECT("'"&amp;$Q$2&amp;"'!H"&amp;ROW())),""))</f>
        <v/>
      </c>
      <c r="J17" s="15">
        <f>IF(OR(H17="",I17=""),"",H17-I17)</f>
        <v/>
      </c>
      <c r="K17" s="16">
        <f>IFERROR(J17/I17,"")</f>
        <v/>
      </c>
      <c r="L17" s="13">
        <f>IFERROR(D17/C17,"")</f>
        <v/>
      </c>
      <c r="M17" s="13">
        <f>IFERROR(H17/D17*1000,"")</f>
        <v/>
      </c>
      <c r="N17" s="13" t="n">
        <v>7762</v>
      </c>
      <c r="O17" s="15">
        <f>IFERROR(IF(OR(N17="",ISBLANK(INDIRECT("'"&amp;$Q$2&amp;"'!N"&amp;ROW()))),"",N17-INDIRECT("'"&amp;$Q$2&amp;"'!N"&amp;ROW())),"")</f>
        <v/>
      </c>
      <c r="P17" s="2" t="n"/>
      <c r="Q17" s="2" t="n"/>
      <c r="R17" s="2" t="n"/>
      <c r="S17" s="18">
        <f>IFERROR(IF(ISBLANK(INDIRECT("'"&amp;$Q$2&amp;"'!G"&amp;ROW())),"",INDIRECT("'"&amp;$Q$2&amp;"'!G"&amp;ROW())),"")</f>
        <v/>
      </c>
      <c r="T17" s="20">
        <f>IF(OR($G17="",$S17=""),"",$G17-$S17)</f>
        <v/>
      </c>
      <c r="U17" s="18">
        <f>IFERROR(IF(ISBLANK(INDIRECT("'"&amp;$Q$2&amp;"'!K"&amp;ROW())),"",INDIRECT("'"&amp;$Q$2&amp;"'!K"&amp;ROW())),"")</f>
        <v/>
      </c>
      <c r="V17" s="20">
        <f>IF(OR($K17="",$U17=""),"",$K17-$U17)</f>
        <v/>
      </c>
      <c r="W17" s="21">
        <f>IFERROR(IF(ISBLANK(INDIRECT("'"&amp;$Q$2&amp;"'!O"&amp;ROW())),"",INDIRECT("'"&amp;$Q$2&amp;"'!O"&amp;ROW())),"")</f>
        <v/>
      </c>
      <c r="X17" s="21">
        <f>IF(OR($O17="",$W17=""),"",$O17-$W17)</f>
        <v/>
      </c>
      <c r="Y17" s="2" t="n"/>
      <c r="Z17" s="2" t="n"/>
    </row>
    <row r="18" ht="14.25" customHeight="1" s="58">
      <c r="A18" s="12" t="inlineStr">
        <is>
          <t>ВКонтакте</t>
        </is>
      </c>
      <c r="B18" s="12" t="inlineStr">
        <is>
          <t>Муравленко</t>
        </is>
      </c>
      <c r="C18" s="13" t="n">
        <v>80</v>
      </c>
      <c r="D18" s="13" t="n">
        <v>249272</v>
      </c>
      <c r="E18" s="13">
        <f>IF($D18="","",IFERROR(IF(ISBLANK(INDIRECT("'"&amp;$Q$2&amp;"'!D"&amp;ROW())),"",INDIRECT("'"&amp;$Q$2&amp;"'!D"&amp;ROW())),""))</f>
        <v/>
      </c>
      <c r="F18" s="15">
        <f>IF(OR(D18="",E18=""),"",D18-E18)</f>
        <v/>
      </c>
      <c r="G18" s="16">
        <f>IFERROR(F18/E18,"")</f>
        <v/>
      </c>
      <c r="H18" s="13" t="n">
        <v>2460</v>
      </c>
      <c r="I18" s="13">
        <f>IF($H18="","",IFERROR(IF(ISBLANK(INDIRECT("'"&amp;$Q$2&amp;"'!H"&amp;ROW())),"",INDIRECT("'"&amp;$Q$2&amp;"'!H"&amp;ROW())),""))</f>
        <v/>
      </c>
      <c r="J18" s="15">
        <f>IF(OR(H18="",I18=""),"",H18-I18)</f>
        <v/>
      </c>
      <c r="K18" s="16">
        <f>IFERROR(J18/I18,"")</f>
        <v/>
      </c>
      <c r="L18" s="13">
        <f>IFERROR(D18/C18,"")</f>
        <v/>
      </c>
      <c r="M18" s="13">
        <f>IFERROR(H18/D18*1000,"")</f>
        <v/>
      </c>
      <c r="N18" s="13" t="n">
        <v>18151</v>
      </c>
      <c r="O18" s="15">
        <f>IFERROR(IF(OR(N18="",ISBLANK(INDIRECT("'"&amp;$Q$2&amp;"'!N"&amp;ROW()))),"",N18-INDIRECT("'"&amp;$Q$2&amp;"'!N"&amp;ROW())),"")</f>
        <v/>
      </c>
      <c r="P18" s="2" t="n"/>
      <c r="Q18" s="2" t="n"/>
      <c r="R18" s="2" t="n"/>
      <c r="S18" s="18">
        <f>IFERROR(IF(ISBLANK(INDIRECT("'"&amp;$Q$2&amp;"'!G"&amp;ROW())),"",INDIRECT("'"&amp;$Q$2&amp;"'!G"&amp;ROW())),"")</f>
        <v/>
      </c>
      <c r="T18" s="20">
        <f>IF(OR($G18="",$S18=""),"",$G18-$S18)</f>
        <v/>
      </c>
      <c r="U18" s="18">
        <f>IFERROR(IF(ISBLANK(INDIRECT("'"&amp;$Q$2&amp;"'!K"&amp;ROW())),"",INDIRECT("'"&amp;$Q$2&amp;"'!K"&amp;ROW())),"")</f>
        <v/>
      </c>
      <c r="V18" s="20">
        <f>IF(OR($K18="",$U18=""),"",$K18-$U18)</f>
        <v/>
      </c>
      <c r="W18" s="21">
        <f>IFERROR(IF(ISBLANK(INDIRECT("'"&amp;$Q$2&amp;"'!O"&amp;ROW())),"",INDIRECT("'"&amp;$Q$2&amp;"'!O"&amp;ROW())),"")</f>
        <v/>
      </c>
      <c r="X18" s="21">
        <f>IF(OR($O18="",$W18=""),"",$O18-$W18)</f>
        <v/>
      </c>
      <c r="Y18" s="2" t="n"/>
      <c r="Z18" s="2" t="n"/>
    </row>
    <row r="19" ht="14.25" customHeight="1" s="58">
      <c r="A19" s="12" t="inlineStr">
        <is>
          <t>ВКонтакте</t>
        </is>
      </c>
      <c r="B19" s="12" t="inlineStr">
        <is>
          <t>Губкинский</t>
        </is>
      </c>
      <c r="C19" s="13" t="n">
        <v>70</v>
      </c>
      <c r="D19" s="13" t="n">
        <v>137530</v>
      </c>
      <c r="E19" s="13">
        <f>IF($D19="","",IFERROR(IF(ISBLANK(INDIRECT("'"&amp;$Q$2&amp;"'!D"&amp;ROW())),"",INDIRECT("'"&amp;$Q$2&amp;"'!D"&amp;ROW())),""))</f>
        <v/>
      </c>
      <c r="F19" s="15">
        <f>IF(OR(D19="",E19=""),"",D19-E19)</f>
        <v/>
      </c>
      <c r="G19" s="16">
        <f>IFERROR(F19/E19,"")</f>
        <v/>
      </c>
      <c r="H19" s="13" t="n">
        <v>1450</v>
      </c>
      <c r="I19" s="13">
        <f>IF($H19="","",IFERROR(IF(ISBLANK(INDIRECT("'"&amp;$Q$2&amp;"'!H"&amp;ROW())),"",INDIRECT("'"&amp;$Q$2&amp;"'!H"&amp;ROW())),""))</f>
        <v/>
      </c>
      <c r="J19" s="15">
        <f>IF(OR(H19="",I19=""),"",H19-I19)</f>
        <v/>
      </c>
      <c r="K19" s="16">
        <f>IFERROR(J19/I19,"")</f>
        <v/>
      </c>
      <c r="L19" s="13">
        <f>IFERROR(D19/C19,"")</f>
        <v/>
      </c>
      <c r="M19" s="13">
        <f>IFERROR(H19/D19*1000,"")</f>
        <v/>
      </c>
      <c r="N19" s="13" t="n">
        <v>18930</v>
      </c>
      <c r="O19" s="15">
        <f>IFERROR(IF(OR(N19="",ISBLANK(INDIRECT("'"&amp;$Q$2&amp;"'!N"&amp;ROW()))),"",N19-INDIRECT("'"&amp;$Q$2&amp;"'!N"&amp;ROW())),"")</f>
        <v/>
      </c>
      <c r="P19" s="2" t="n"/>
      <c r="Q19" s="2" t="n"/>
      <c r="R19" s="2" t="n"/>
      <c r="S19" s="18">
        <f>IFERROR(IF(ISBLANK(INDIRECT("'"&amp;$Q$2&amp;"'!G"&amp;ROW())),"",INDIRECT("'"&amp;$Q$2&amp;"'!G"&amp;ROW())),"")</f>
        <v/>
      </c>
      <c r="T19" s="20">
        <f>IF(OR($G19="",$S19=""),"",$G19-$S19)</f>
        <v/>
      </c>
      <c r="U19" s="18">
        <f>IFERROR(IF(ISBLANK(INDIRECT("'"&amp;$Q$2&amp;"'!K"&amp;ROW())),"",INDIRECT("'"&amp;$Q$2&amp;"'!K"&amp;ROW())),"")</f>
        <v/>
      </c>
      <c r="V19" s="20">
        <f>IF(OR($K19="",$U19=""),"",$K19-$U19)</f>
        <v/>
      </c>
      <c r="W19" s="21">
        <f>IFERROR(IF(ISBLANK(INDIRECT("'"&amp;$Q$2&amp;"'!O"&amp;ROW())),"",INDIRECT("'"&amp;$Q$2&amp;"'!O"&amp;ROW())),"")</f>
        <v/>
      </c>
      <c r="X19" s="21">
        <f>IF(OR($O19="",$W19=""),"",$O19-$W19)</f>
        <v/>
      </c>
      <c r="Y19" s="2" t="n"/>
      <c r="Z19" s="2" t="n"/>
    </row>
    <row r="20" ht="14.25" customHeight="1" s="58">
      <c r="A20" s="12" t="inlineStr">
        <is>
          <t>ВКонтакте</t>
        </is>
      </c>
      <c r="B20" s="12" t="inlineStr">
        <is>
          <t>Не олени</t>
        </is>
      </c>
      <c r="C20" s="13" t="n">
        <v>23</v>
      </c>
      <c r="D20" s="13" t="n">
        <v>94264</v>
      </c>
      <c r="E20" s="13">
        <f>IF($D20="","",IFERROR(IF(ISBLANK(INDIRECT("'"&amp;$Q$2&amp;"'!D"&amp;ROW())),"",INDIRECT("'"&amp;$Q$2&amp;"'!D"&amp;ROW())),""))</f>
        <v/>
      </c>
      <c r="F20" s="15">
        <f>IF(OR(D20="",E20=""),"",D20-E20)</f>
        <v/>
      </c>
      <c r="G20" s="16">
        <f>IFERROR(F20/E20,"")</f>
        <v/>
      </c>
      <c r="H20" s="13" t="n">
        <v>1404</v>
      </c>
      <c r="I20" s="13">
        <f>IF($H20="","",IFERROR(IF(ISBLANK(INDIRECT("'"&amp;$Q$2&amp;"'!H"&amp;ROW())),"",INDIRECT("'"&amp;$Q$2&amp;"'!H"&amp;ROW())),""))</f>
        <v/>
      </c>
      <c r="J20" s="15">
        <f>IF(OR(H20="",I20=""),"",H20-I20)</f>
        <v/>
      </c>
      <c r="K20" s="16">
        <f>IFERROR(J20/I20,"")</f>
        <v/>
      </c>
      <c r="L20" s="13">
        <f>IFERROR(D20/C20,"")</f>
        <v/>
      </c>
      <c r="M20" s="13">
        <f>IFERROR(H20/D20*1000,"")</f>
        <v/>
      </c>
      <c r="N20" s="13" t="n">
        <v>14457</v>
      </c>
      <c r="O20" s="15">
        <f>IFERROR(IF(OR(N20="",ISBLANK(INDIRECT("'"&amp;$Q$2&amp;"'!N"&amp;ROW()))),"",N20-INDIRECT("'"&amp;$Q$2&amp;"'!N"&amp;ROW())),"")</f>
        <v/>
      </c>
      <c r="P20" s="2" t="n"/>
      <c r="Q20" s="2" t="n"/>
      <c r="R20" s="2" t="n"/>
      <c r="S20" s="18">
        <f>IFERROR(IF(ISBLANK(INDIRECT("'"&amp;$Q$2&amp;"'!G"&amp;ROW())),"",INDIRECT("'"&amp;$Q$2&amp;"'!G"&amp;ROW())),"")</f>
        <v/>
      </c>
      <c r="T20" s="20">
        <f>IF(OR($G20="",$S20=""),"",$G20-$S20)</f>
        <v/>
      </c>
      <c r="U20" s="18">
        <f>IFERROR(IF(ISBLANK(INDIRECT("'"&amp;$Q$2&amp;"'!K"&amp;ROW())),"",INDIRECT("'"&amp;$Q$2&amp;"'!K"&amp;ROW())),"")</f>
        <v/>
      </c>
      <c r="V20" s="20">
        <f>IF(OR($K20="",$U20=""),"",$K20-$U20)</f>
        <v/>
      </c>
      <c r="W20" s="21">
        <f>IFERROR(IF(ISBLANK(INDIRECT("'"&amp;$Q$2&amp;"'!O"&amp;ROW())),"",INDIRECT("'"&amp;$Q$2&amp;"'!O"&amp;ROW())),"")</f>
        <v/>
      </c>
      <c r="X20" s="21">
        <f>IF(OR($O20="",$W20=""),"",$O20-$W20)</f>
        <v/>
      </c>
      <c r="Y20" s="2" t="n"/>
      <c r="Z20" s="2" t="n"/>
    </row>
    <row r="21" ht="14.25" customHeight="1" s="58">
      <c r="A21" s="12" t="inlineStr">
        <is>
          <t>ВКонтакте</t>
        </is>
      </c>
      <c r="B21" s="12" t="inlineStr">
        <is>
          <t>Этноарктика</t>
        </is>
      </c>
      <c r="C21" s="13" t="n">
        <v>3</v>
      </c>
      <c r="D21" s="13" t="n">
        <v>1574</v>
      </c>
      <c r="E21" s="13">
        <f>IF($D21="","",IFERROR(IF(ISBLANK(INDIRECT("'"&amp;$Q$2&amp;"'!D"&amp;ROW())),"",INDIRECT("'"&amp;$Q$2&amp;"'!D"&amp;ROW())),""))</f>
        <v/>
      </c>
      <c r="F21" s="15">
        <f>IF(OR(D21="",E21=""),"",D21-E21)</f>
        <v/>
      </c>
      <c r="G21" s="16">
        <f>IFERROR(F21/E21,"")</f>
        <v/>
      </c>
      <c r="H21" s="13" t="n">
        <v>31</v>
      </c>
      <c r="I21" s="13">
        <f>IF($H21="","",IFERROR(IF(ISBLANK(INDIRECT("'"&amp;$Q$2&amp;"'!H"&amp;ROW())),"",INDIRECT("'"&amp;$Q$2&amp;"'!H"&amp;ROW())),""))</f>
        <v/>
      </c>
      <c r="J21" s="15">
        <f>IF(OR(H21="",I21=""),"",H21-I21)</f>
        <v/>
      </c>
      <c r="K21" s="16">
        <f>IFERROR(J21/I21,"")</f>
        <v/>
      </c>
      <c r="L21" s="13">
        <f>IFERROR(D21/C21,"")</f>
        <v/>
      </c>
      <c r="M21" s="13">
        <f>IFERROR(H21/D21*1000,"")</f>
        <v/>
      </c>
      <c r="N21" s="13" t="n">
        <v>10600</v>
      </c>
      <c r="O21" s="15">
        <f>IFERROR(IF(OR(N21="",ISBLANK(INDIRECT("'"&amp;$Q$2&amp;"'!N"&amp;ROW()))),"",N21-INDIRECT("'"&amp;$Q$2&amp;"'!N"&amp;ROW())),"")</f>
        <v/>
      </c>
      <c r="P21" s="2" t="n"/>
      <c r="Q21" s="2" t="n"/>
      <c r="R21" s="2" t="n"/>
      <c r="S21" s="18">
        <f>IFERROR(IF(ISBLANK(INDIRECT("'"&amp;$Q$2&amp;"'!G"&amp;ROW())),"",INDIRECT("'"&amp;$Q$2&amp;"'!G"&amp;ROW())),"")</f>
        <v/>
      </c>
      <c r="T21" s="20">
        <f>IF(OR($G21="",$S21=""),"",$G21-$S21)</f>
        <v/>
      </c>
      <c r="U21" s="18">
        <f>IFERROR(IF(ISBLANK(INDIRECT("'"&amp;$Q$2&amp;"'!K"&amp;ROW())),"",INDIRECT("'"&amp;$Q$2&amp;"'!K"&amp;ROW())),"")</f>
        <v/>
      </c>
      <c r="V21" s="20">
        <f>IF(OR($K21="",$U21=""),"",$K21-$U21)</f>
        <v/>
      </c>
      <c r="W21" s="21">
        <f>IFERROR(IF(ISBLANK(INDIRECT("'"&amp;$Q$2&amp;"'!O"&amp;ROW())),"",INDIRECT("'"&amp;$Q$2&amp;"'!O"&amp;ROW())),"")</f>
        <v/>
      </c>
      <c r="X21" s="21">
        <f>IF(OR($O21="",$W21=""),"",$O21-$W21)</f>
        <v/>
      </c>
      <c r="Y21" s="2" t="n"/>
      <c r="Z21" s="2" t="n"/>
    </row>
    <row r="22" ht="14.25" customHeight="1" s="58">
      <c r="A22" s="12" t="inlineStr">
        <is>
          <t>ВКонтакте</t>
        </is>
      </c>
      <c r="B22" s="12" t="inlineStr">
        <is>
          <t>ЗажгиФакел</t>
        </is>
      </c>
      <c r="C22" s="13" t="n">
        <v>26</v>
      </c>
      <c r="D22" s="13" t="n">
        <v>11462</v>
      </c>
      <c r="E22" s="13">
        <f>IF($D22="","",IFERROR(IF(ISBLANK(INDIRECT("'"&amp;$Q$2&amp;"'!D"&amp;ROW())),"",INDIRECT("'"&amp;$Q$2&amp;"'!D"&amp;ROW())),""))</f>
        <v/>
      </c>
      <c r="F22" s="15">
        <f>IF(OR(D22="",E22=""),"",D22-E22)</f>
        <v/>
      </c>
      <c r="G22" s="16">
        <f>IFERROR(F22/E22,"")</f>
        <v/>
      </c>
      <c r="H22" s="13" t="n">
        <v>206</v>
      </c>
      <c r="I22" s="13">
        <f>IF($H22="","",IFERROR(IF(ISBLANK(INDIRECT("'"&amp;$Q$2&amp;"'!H"&amp;ROW())),"",INDIRECT("'"&amp;$Q$2&amp;"'!H"&amp;ROW())),""))</f>
        <v/>
      </c>
      <c r="J22" s="15">
        <f>IF(OR(H22="",I22=""),"",H22-I22)</f>
        <v/>
      </c>
      <c r="K22" s="16">
        <f>IFERROR(J22/I22,"")</f>
        <v/>
      </c>
      <c r="L22" s="13">
        <f>IFERROR(D22/C22,"")</f>
        <v/>
      </c>
      <c r="M22" s="13">
        <f>IFERROR(H22/D22*1000,"")</f>
        <v/>
      </c>
      <c r="N22" s="13" t="n">
        <v>7385</v>
      </c>
      <c r="O22" s="15">
        <f>IFERROR(IF(OR(N22="",ISBLANK(INDIRECT("'"&amp;$Q$2&amp;"'!N"&amp;ROW()))),"",N22-INDIRECT("'"&amp;$Q$2&amp;"'!N"&amp;ROW())),"")</f>
        <v/>
      </c>
      <c r="P22" s="2" t="n"/>
      <c r="Q22" s="2" t="n"/>
      <c r="R22" s="2" t="n"/>
      <c r="S22" s="18">
        <f>IFERROR(IF(ISBLANK(INDIRECT("'"&amp;$Q$2&amp;"'!G"&amp;ROW())),"",INDIRECT("'"&amp;$Q$2&amp;"'!G"&amp;ROW())),"")</f>
        <v/>
      </c>
      <c r="T22" s="20">
        <f>IF(OR($G22="",$S22=""),"",$G22-$S22)</f>
        <v/>
      </c>
      <c r="U22" s="18">
        <f>IFERROR(IF(ISBLANK(INDIRECT("'"&amp;$Q$2&amp;"'!K"&amp;ROW())),"",INDIRECT("'"&amp;$Q$2&amp;"'!K"&amp;ROW())),"")</f>
        <v/>
      </c>
      <c r="V22" s="20">
        <f>IF(OR($K22="",$U22=""),"",$K22-$U22)</f>
        <v/>
      </c>
      <c r="W22" s="21">
        <f>IFERROR(IF(ISBLANK(INDIRECT("'"&amp;$Q$2&amp;"'!O"&amp;ROW())),"",INDIRECT("'"&amp;$Q$2&amp;"'!O"&amp;ROW())),"")</f>
        <v/>
      </c>
      <c r="X22" s="21">
        <f>IF(OR($O22="",$W22=""),"",$O22-$W22)</f>
        <v/>
      </c>
      <c r="Y22" s="2" t="n"/>
      <c r="Z22" s="2" t="n"/>
    </row>
    <row r="23" ht="14.25" customHeight="1" s="58">
      <c r="A23" s="12" t="inlineStr">
        <is>
          <t>ВКонтакте</t>
        </is>
      </c>
      <c r="B23" s="12" t="inlineStr">
        <is>
          <t>Нярьяна Нгэрм</t>
        </is>
      </c>
      <c r="C23" s="13" t="n">
        <v>4</v>
      </c>
      <c r="D23" s="13" t="n">
        <v>2570</v>
      </c>
      <c r="E23" s="13">
        <f>IF($D23="","",IFERROR(IF(ISBLANK(INDIRECT("'"&amp;$Q$2&amp;"'!D"&amp;ROW())),"",INDIRECT("'"&amp;$Q$2&amp;"'!D"&amp;ROW())),""))</f>
        <v/>
      </c>
      <c r="F23" s="15">
        <f>IF(OR(D23="",E23=""),"",D23-E23)</f>
        <v/>
      </c>
      <c r="G23" s="16">
        <f>IFERROR(F23/E23,"")</f>
        <v/>
      </c>
      <c r="H23" s="13" t="n">
        <v>168</v>
      </c>
      <c r="I23" s="13">
        <f>IF($H23="","",IFERROR(IF(ISBLANK(INDIRECT("'"&amp;$Q$2&amp;"'!H"&amp;ROW())),"",INDIRECT("'"&amp;$Q$2&amp;"'!H"&amp;ROW())),""))</f>
        <v/>
      </c>
      <c r="J23" s="15">
        <f>IF(OR(H23="",I23=""),"",H23-I23)</f>
        <v/>
      </c>
      <c r="K23" s="16">
        <f>IFERROR(J23/I23,"")</f>
        <v/>
      </c>
      <c r="L23" s="13">
        <f>IFERROR(D23/C23,"")</f>
        <v/>
      </c>
      <c r="M23" s="13">
        <f>IFERROR(H23/D23*1000,"")</f>
        <v/>
      </c>
      <c r="N23" s="13" t="n">
        <v>5600</v>
      </c>
      <c r="O23" s="15">
        <f>IFERROR(IF(OR(N23="",ISBLANK(INDIRECT("'"&amp;$Q$2&amp;"'!N"&amp;ROW()))),"",N23-INDIRECT("'"&amp;$Q$2&amp;"'!N"&amp;ROW())),"")</f>
        <v/>
      </c>
      <c r="P23" s="2" t="n"/>
      <c r="Q23" s="2" t="n"/>
      <c r="R23" s="2" t="n"/>
      <c r="S23" s="18">
        <f>IFERROR(IF(ISBLANK(INDIRECT("'"&amp;$Q$2&amp;"'!G"&amp;ROW())),"",INDIRECT("'"&amp;$Q$2&amp;"'!G"&amp;ROW())),"")</f>
        <v/>
      </c>
      <c r="T23" s="20">
        <f>IF(OR($G23="",$S23=""),"",$G23-$S23)</f>
        <v/>
      </c>
      <c r="U23" s="18">
        <f>IFERROR(IF(ISBLANK(INDIRECT("'"&amp;$Q$2&amp;"'!K"&amp;ROW())),"",INDIRECT("'"&amp;$Q$2&amp;"'!K"&amp;ROW())),"")</f>
        <v/>
      </c>
      <c r="V23" s="20">
        <f>IF(OR($K23="",$U23=""),"",$K23-$U23)</f>
        <v/>
      </c>
      <c r="W23" s="21">
        <f>IFERROR(IF(ISBLANK(INDIRECT("'"&amp;$Q$2&amp;"'!O"&amp;ROW())),"",INDIRECT("'"&amp;$Q$2&amp;"'!O"&amp;ROW())),"")</f>
        <v/>
      </c>
      <c r="X23" s="21">
        <f>IF(OR($O23="",$W23=""),"",$O23-$W23)</f>
        <v/>
      </c>
      <c r="Y23" s="2" t="n"/>
      <c r="Z23" s="2" t="n"/>
    </row>
    <row r="24" ht="14.25" customHeight="1" s="58">
      <c r="A24" s="12" t="inlineStr">
        <is>
          <t>ВКонтакте</t>
        </is>
      </c>
      <c r="B24" s="12" t="inlineStr">
        <is>
          <t>Лух Авт</t>
        </is>
      </c>
      <c r="C24" s="13" t="n">
        <v>6</v>
      </c>
      <c r="D24" s="13" t="n">
        <v>9898</v>
      </c>
      <c r="E24" s="13">
        <f>IF($D24="","",IFERROR(IF(ISBLANK(INDIRECT("'"&amp;$Q$2&amp;"'!D"&amp;ROW())),"",INDIRECT("'"&amp;$Q$2&amp;"'!D"&amp;ROW())),""))</f>
        <v/>
      </c>
      <c r="F24" s="15">
        <f>IF(OR(D24="",E24=""),"",D24-E24)</f>
        <v/>
      </c>
      <c r="G24" s="16">
        <f>IFERROR(F24/E24,"")</f>
        <v/>
      </c>
      <c r="H24" s="13" t="n">
        <v>256</v>
      </c>
      <c r="I24" s="13">
        <f>IF($H24="","",IFERROR(IF(ISBLANK(INDIRECT("'"&amp;$Q$2&amp;"'!H"&amp;ROW())),"",INDIRECT("'"&amp;$Q$2&amp;"'!H"&amp;ROW())),""))</f>
        <v/>
      </c>
      <c r="J24" s="15">
        <f>IF(OR(H24="",I24=""),"",H24-I24)</f>
        <v/>
      </c>
      <c r="K24" s="16">
        <f>IFERROR(J24/I24,"")</f>
        <v/>
      </c>
      <c r="L24" s="13">
        <f>IFERROR(D24/C24,"")</f>
        <v/>
      </c>
      <c r="M24" s="13">
        <f>IFERROR(H24/D24*1000,"")</f>
        <v/>
      </c>
      <c r="N24" s="13" t="n">
        <v>2315</v>
      </c>
      <c r="O24" s="15">
        <f>IFERROR(IF(OR(N24="",ISBLANK(INDIRECT("'"&amp;$Q$2&amp;"'!N"&amp;ROW()))),"",N24-INDIRECT("'"&amp;$Q$2&amp;"'!N"&amp;ROW())),"")</f>
        <v/>
      </c>
      <c r="P24" s="2" t="n"/>
      <c r="Q24" s="2" t="n"/>
      <c r="R24" s="2" t="n"/>
      <c r="S24" s="18">
        <f>IFERROR(IF(ISBLANK(INDIRECT("'"&amp;$Q$2&amp;"'!G"&amp;ROW())),"",INDIRECT("'"&amp;$Q$2&amp;"'!G"&amp;ROW())),"")</f>
        <v/>
      </c>
      <c r="T24" s="20">
        <f>IF(OR($G24="",$S24=""),"",$G24-$S24)</f>
        <v/>
      </c>
      <c r="U24" s="18">
        <f>IFERROR(IF(ISBLANK(INDIRECT("'"&amp;$Q$2&amp;"'!K"&amp;ROW())),"",INDIRECT("'"&amp;$Q$2&amp;"'!K"&amp;ROW())),"")</f>
        <v/>
      </c>
      <c r="V24" s="20">
        <f>IF(OR($K24="",$U24=""),"",$K24-$U24)</f>
        <v/>
      </c>
      <c r="W24" s="21">
        <f>IFERROR(IF(ISBLANK(INDIRECT("'"&amp;$Q$2&amp;"'!O"&amp;ROW())),"",INDIRECT("'"&amp;$Q$2&amp;"'!O"&amp;ROW())),"")</f>
        <v/>
      </c>
      <c r="X24" s="21">
        <f>IF(OR($O24="",$W24=""),"",$O24-$W24)</f>
        <v/>
      </c>
      <c r="Y24" s="2" t="n"/>
      <c r="Z24" s="2" t="n"/>
    </row>
    <row r="25" ht="14.25" customHeight="1" s="58">
      <c r="A25" s="12" t="inlineStr">
        <is>
          <t>ВКонтакте</t>
        </is>
      </c>
      <c r="B25" s="12" t="inlineStr">
        <is>
          <t>Ямальский меридиан</t>
        </is>
      </c>
      <c r="C25" s="13" t="n">
        <v>8</v>
      </c>
      <c r="D25" s="13" t="n">
        <v>16793</v>
      </c>
      <c r="E25" s="13">
        <f>IF($D25="","",IFERROR(IF(ISBLANK(INDIRECT("'"&amp;$Q$2&amp;"'!D"&amp;ROW())),"",INDIRECT("'"&amp;$Q$2&amp;"'!D"&amp;ROW())),""))</f>
        <v/>
      </c>
      <c r="F25" s="15">
        <f>IF(OR(D25="",E25=""),"",D25-E25)</f>
        <v/>
      </c>
      <c r="G25" s="16">
        <f>IFERROR(F25/E25,"")</f>
        <v/>
      </c>
      <c r="H25" s="13" t="n">
        <v>176</v>
      </c>
      <c r="I25" s="13">
        <f>IF($H25="","",IFERROR(IF(ISBLANK(INDIRECT("'"&amp;$Q$2&amp;"'!H"&amp;ROW())),"",INDIRECT("'"&amp;$Q$2&amp;"'!H"&amp;ROW())),""))</f>
        <v/>
      </c>
      <c r="J25" s="15">
        <f>IF(OR(H25="",I25=""),"",H25-I25)</f>
        <v/>
      </c>
      <c r="K25" s="16">
        <f>IFERROR(J25/I25,"")</f>
        <v/>
      </c>
      <c r="L25" s="13">
        <f>IFERROR(D25/C25,"")</f>
        <v/>
      </c>
      <c r="M25" s="13">
        <f>IFERROR(H25/D25*1000,"")</f>
        <v/>
      </c>
      <c r="N25" s="13" t="n">
        <v>6154</v>
      </c>
      <c r="O25" s="15">
        <f>IFERROR(IF(OR(N25="",ISBLANK(INDIRECT("'"&amp;$Q$2&amp;"'!N"&amp;ROW()))),"",N25-INDIRECT("'"&amp;$Q$2&amp;"'!N"&amp;ROW())),"")</f>
        <v/>
      </c>
      <c r="P25" s="2" t="n"/>
      <c r="Q25" s="2" t="n"/>
      <c r="R25" s="2" t="n"/>
      <c r="S25" s="18">
        <f>IFERROR(IF(ISBLANK(INDIRECT("'"&amp;$Q$2&amp;"'!G"&amp;ROW())),"",INDIRECT("'"&amp;$Q$2&amp;"'!G"&amp;ROW())),"")</f>
        <v/>
      </c>
      <c r="T25" s="20">
        <f>IF(OR($G25="",$S25=""),"",$G25-$S25)</f>
        <v/>
      </c>
      <c r="U25" s="18">
        <f>IFERROR(IF(ISBLANK(INDIRECT("'"&amp;$Q$2&amp;"'!K"&amp;ROW())),"",INDIRECT("'"&amp;$Q$2&amp;"'!K"&amp;ROW())),"")</f>
        <v/>
      </c>
      <c r="V25" s="20">
        <f>IF(OR($K25="",$U25=""),"",$K25-$U25)</f>
        <v/>
      </c>
      <c r="W25" s="21">
        <f>IFERROR(IF(ISBLANK(INDIRECT("'"&amp;$Q$2&amp;"'!O"&amp;ROW())),"",INDIRECT("'"&amp;$Q$2&amp;"'!O"&amp;ROW())),"")</f>
        <v/>
      </c>
      <c r="X25" s="21">
        <f>IF(OR($O25="",$W25=""),"",$O25-$W25)</f>
        <v/>
      </c>
      <c r="Y25" s="2" t="n"/>
      <c r="Z25" s="2" t="n"/>
    </row>
    <row r="26" ht="14.25" customHeight="1" s="58">
      <c r="A26" s="12" t="inlineStr">
        <is>
          <t>ВКонтакте</t>
        </is>
      </c>
      <c r="B26" s="12" t="inlineStr">
        <is>
          <t>МК-Ямал</t>
        </is>
      </c>
      <c r="C26" s="13" t="n">
        <v>241</v>
      </c>
      <c r="D26" s="13" t="n">
        <v>50551</v>
      </c>
      <c r="E26" s="13">
        <f>IF($D26="","",IFERROR(IF(ISBLANK(INDIRECT("'"&amp;$Q$2&amp;"'!D"&amp;ROW())),"",INDIRECT("'"&amp;$Q$2&amp;"'!D"&amp;ROW())),""))</f>
        <v/>
      </c>
      <c r="F26" s="15">
        <f>IF(OR(D26="",E26=""),"",D26-E26)</f>
        <v/>
      </c>
      <c r="G26" s="16">
        <f>IFERROR(F26/E26,"")</f>
        <v/>
      </c>
      <c r="H26" s="13" t="n">
        <v>129</v>
      </c>
      <c r="I26" s="13">
        <f>IF($H26="","",IFERROR(IF(ISBLANK(INDIRECT("'"&amp;$Q$2&amp;"'!H"&amp;ROW())),"",INDIRECT("'"&amp;$Q$2&amp;"'!H"&amp;ROW())),""))</f>
        <v/>
      </c>
      <c r="J26" s="15">
        <f>IF(OR(H26="",I26=""),"",H26-I26)</f>
        <v/>
      </c>
      <c r="K26" s="16">
        <f>IFERROR(J26/I26,"")</f>
        <v/>
      </c>
      <c r="L26" s="13">
        <f>IFERROR(D26/C26,"")</f>
        <v/>
      </c>
      <c r="M26" s="13">
        <f>IFERROR(H26/D26*1000,"")</f>
        <v/>
      </c>
      <c r="N26" s="13" t="n">
        <v>7889</v>
      </c>
      <c r="O26" s="15">
        <f>IFERROR(IF(OR(N26="",ISBLANK(INDIRECT("'"&amp;$Q$2&amp;"'!N"&amp;ROW()))),"",N26-INDIRECT("'"&amp;$Q$2&amp;"'!N"&amp;ROW())),"")</f>
        <v/>
      </c>
      <c r="P26" s="2" t="n"/>
      <c r="Q26" s="2" t="n"/>
      <c r="R26" s="2" t="n"/>
      <c r="S26" s="18">
        <f>IFERROR(IF(ISBLANK(INDIRECT("'"&amp;$Q$2&amp;"'!G"&amp;ROW())),"",INDIRECT("'"&amp;$Q$2&amp;"'!G"&amp;ROW())),"")</f>
        <v/>
      </c>
      <c r="T26" s="20">
        <f>IF(OR($G26="",$S26=""),"",$G26-$S26)</f>
        <v/>
      </c>
      <c r="U26" s="18">
        <f>IFERROR(IF(ISBLANK(INDIRECT("'"&amp;$Q$2&amp;"'!K"&amp;ROW())),"",INDIRECT("'"&amp;$Q$2&amp;"'!K"&amp;ROW())),"")</f>
        <v/>
      </c>
      <c r="V26" s="20">
        <f>IF(OR($K26="",$U26=""),"",$K26-$U26)</f>
        <v/>
      </c>
      <c r="W26" s="21">
        <f>IFERROR(IF(ISBLANK(INDIRECT("'"&amp;$Q$2&amp;"'!O"&amp;ROW())),"",INDIRECT("'"&amp;$Q$2&amp;"'!O"&amp;ROW())),"")</f>
        <v/>
      </c>
      <c r="X26" s="21">
        <f>IF(OR($O26="",$W26=""),"",$O26-$W26)</f>
        <v/>
      </c>
      <c r="Y26" s="2" t="n"/>
      <c r="Z26" s="2" t="n"/>
    </row>
    <row r="27" ht="14.25" customHeight="1" s="58">
      <c r="A27" s="12" t="inlineStr">
        <is>
          <t>ВКонтакте</t>
        </is>
      </c>
      <c r="B27" s="12" t="inlineStr">
        <is>
          <t>Арктика Вконтакте</t>
        </is>
      </c>
      <c r="C27" s="13" t="n">
        <v>10</v>
      </c>
      <c r="D27" s="13" t="n">
        <v>2091</v>
      </c>
      <c r="E27" s="13">
        <f>IF($D27="","",IFERROR(IF(ISBLANK(INDIRECT("'"&amp;$Q$2&amp;"'!D"&amp;ROW())),"",INDIRECT("'"&amp;$Q$2&amp;"'!D"&amp;ROW())),""))</f>
        <v/>
      </c>
      <c r="F27" s="15">
        <f>IF(OR(D27="",E27=""),"",D27-E27)</f>
        <v/>
      </c>
      <c r="G27" s="16">
        <f>IFERROR(F27/E27,"")</f>
        <v/>
      </c>
      <c r="H27" s="13" t="n">
        <v>41</v>
      </c>
      <c r="I27" s="13">
        <f>IF($H27="","",IFERROR(IF(ISBLANK(INDIRECT("'"&amp;$Q$2&amp;"'!H"&amp;ROW())),"",INDIRECT("'"&amp;$Q$2&amp;"'!H"&amp;ROW())),""))</f>
        <v/>
      </c>
      <c r="J27" s="15">
        <f>IF(OR(H27="",I27=""),"",H27-I27)</f>
        <v/>
      </c>
      <c r="K27" s="16">
        <f>IFERROR(J27/I27,"")</f>
        <v/>
      </c>
      <c r="L27" s="13">
        <f>IFERROR(D27/C27,"")</f>
        <v/>
      </c>
      <c r="M27" s="13">
        <f>IFERROR(H27/D27*1000,"")</f>
        <v/>
      </c>
      <c r="N27" s="13" t="n">
        <v>16722</v>
      </c>
      <c r="O27" s="15">
        <f>IFERROR(IF(OR(N27="",ISBLANK(INDIRECT("'"&amp;$Q$2&amp;"'!N"&amp;ROW()))),"",N27-INDIRECT("'"&amp;$Q$2&amp;"'!N"&amp;ROW())),"")</f>
        <v/>
      </c>
      <c r="P27" s="2" t="n"/>
      <c r="Q27" s="2" t="n"/>
      <c r="R27" s="2" t="n"/>
      <c r="S27" s="18">
        <f>IFERROR(IF(ISBLANK(INDIRECT("'"&amp;$Q$2&amp;"'!G"&amp;ROW())),"",INDIRECT("'"&amp;$Q$2&amp;"'!G"&amp;ROW())),"")</f>
        <v/>
      </c>
      <c r="T27" s="20">
        <f>IF(OR($G27="",$S27=""),"",$G27-$S27)</f>
        <v/>
      </c>
      <c r="U27" s="18">
        <f>IFERROR(IF(ISBLANK(INDIRECT("'"&amp;$Q$2&amp;"'!K"&amp;ROW())),"",INDIRECT("'"&amp;$Q$2&amp;"'!K"&amp;ROW())),"")</f>
        <v/>
      </c>
      <c r="V27" s="20">
        <f>IF(OR($K27="",$U27=""),"",$K27-$U27)</f>
        <v/>
      </c>
      <c r="W27" s="21">
        <f>IFERROR(IF(ISBLANK(INDIRECT("'"&amp;$Q$2&amp;"'!O"&amp;ROW())),"",INDIRECT("'"&amp;$Q$2&amp;"'!O"&amp;ROW())),"")</f>
        <v/>
      </c>
      <c r="X27" s="21">
        <f>IF(OR($O27="",$W27=""),"",$O27-$W27)</f>
        <v/>
      </c>
      <c r="Y27" s="2" t="n"/>
      <c r="Z27" s="2" t="n"/>
    </row>
    <row r="28" ht="14.25" customHeight="1" s="58">
      <c r="A28" s="12" t="inlineStr">
        <is>
          <t>ВКонтакте</t>
        </is>
      </c>
      <c r="B28" s="12" t="inlineStr">
        <is>
          <t>Ямал Live</t>
        </is>
      </c>
      <c r="C28" s="13" t="n">
        <v>20</v>
      </c>
      <c r="D28" s="13" t="n">
        <v>7279</v>
      </c>
      <c r="E28" s="13">
        <f>IF($D28="","",IFERROR(IF(ISBLANK(INDIRECT("'"&amp;$Q$2&amp;"'!D"&amp;ROW())),"",INDIRECT("'"&amp;$Q$2&amp;"'!D"&amp;ROW())),""))</f>
        <v/>
      </c>
      <c r="F28" s="15">
        <f>IF(OR(D28="",E28=""),"",D28-E28)</f>
        <v/>
      </c>
      <c r="G28" s="16">
        <f>IFERROR(F28/E28,"")</f>
        <v/>
      </c>
      <c r="H28" s="13" t="n">
        <v>35</v>
      </c>
      <c r="I28" s="13">
        <f>IF($H28="","",IFERROR(IF(ISBLANK(INDIRECT("'"&amp;$Q$2&amp;"'!H"&amp;ROW())),"",INDIRECT("'"&amp;$Q$2&amp;"'!H"&amp;ROW())),""))</f>
        <v/>
      </c>
      <c r="J28" s="15">
        <f>IF(OR(H28="",I28=""),"",H28-I28)</f>
        <v/>
      </c>
      <c r="K28" s="16">
        <f>IFERROR(J28/I28,"")</f>
        <v/>
      </c>
      <c r="L28" s="13">
        <f>IFERROR(D28/C28,"")</f>
        <v/>
      </c>
      <c r="M28" s="13">
        <f>IFERROR(H28/D28*1000,"")</f>
        <v/>
      </c>
      <c r="N28" s="13" t="n">
        <v>21908</v>
      </c>
      <c r="O28" s="15">
        <f>IFERROR(IF(OR(N28="",ISBLANK(INDIRECT("'"&amp;$Q$2&amp;"'!N"&amp;ROW()))),"",N28-INDIRECT("'"&amp;$Q$2&amp;"'!N"&amp;ROW())),"")</f>
        <v/>
      </c>
      <c r="P28" s="2" t="n"/>
      <c r="Q28" s="2" t="n"/>
      <c r="R28" s="2" t="n"/>
      <c r="S28" s="18">
        <f>IFERROR(IF(ISBLANK(INDIRECT("'"&amp;$Q$2&amp;"'!G"&amp;ROW())),"",INDIRECT("'"&amp;$Q$2&amp;"'!G"&amp;ROW())),"")</f>
        <v/>
      </c>
      <c r="T28" s="20">
        <f>IF(OR($G28="",$S28=""),"",$G28-$S28)</f>
        <v/>
      </c>
      <c r="U28" s="18">
        <f>IFERROR(IF(ISBLANK(INDIRECT("'"&amp;$Q$2&amp;"'!K"&amp;ROW())),"",INDIRECT("'"&amp;$Q$2&amp;"'!K"&amp;ROW())),"")</f>
        <v/>
      </c>
      <c r="V28" s="20">
        <f>IF(OR($K28="",$U28=""),"",$K28-$U28)</f>
        <v/>
      </c>
      <c r="W28" s="21">
        <f>IFERROR(IF(ISBLANK(INDIRECT("'"&amp;$Q$2&amp;"'!O"&amp;ROW())),"",INDIRECT("'"&amp;$Q$2&amp;"'!O"&amp;ROW())),"")</f>
        <v/>
      </c>
      <c r="X28" s="21">
        <f>IF(OR($O28="",$W28=""),"",$O28-$W28)</f>
        <v/>
      </c>
      <c r="Y28" s="2" t="n"/>
      <c r="Z28" s="2" t="n"/>
    </row>
    <row r="29" ht="14.25" customHeight="1" s="58">
      <c r="A29" s="12" t="inlineStr">
        <is>
          <t>ВКонтакте</t>
        </is>
      </c>
      <c r="B29" s="12" t="inlineStr">
        <is>
          <t>Морошка</t>
        </is>
      </c>
      <c r="C29" s="13" t="n">
        <v>8</v>
      </c>
      <c r="D29" s="13" t="n">
        <v>14353</v>
      </c>
      <c r="E29" s="13">
        <f>IF($D29="","",IFERROR(IF(ISBLANK(INDIRECT("'"&amp;$Q$2&amp;"'!D"&amp;ROW())),"",INDIRECT("'"&amp;$Q$2&amp;"'!D"&amp;ROW())),""))</f>
        <v/>
      </c>
      <c r="F29" s="15">
        <f>IF(OR(D29="",E29=""),"",D29-E29)</f>
        <v/>
      </c>
      <c r="G29" s="16">
        <f>IFERROR(F29/E29,"")</f>
        <v/>
      </c>
      <c r="H29" s="13" t="n">
        <v>353</v>
      </c>
      <c r="I29" s="13">
        <f>IF($H29="","",IFERROR(IF(ISBLANK(INDIRECT("'"&amp;$Q$2&amp;"'!H"&amp;ROW())),"",INDIRECT("'"&amp;$Q$2&amp;"'!H"&amp;ROW())),""))</f>
        <v/>
      </c>
      <c r="J29" s="15">
        <f>IF(OR(H29="",I29=""),"",H29-I29)</f>
        <v/>
      </c>
      <c r="K29" s="16">
        <f>IFERROR(J29/I29,"")</f>
        <v/>
      </c>
      <c r="L29" s="13">
        <f>IFERROR(D29/C29,"")</f>
        <v/>
      </c>
      <c r="M29" s="13">
        <f>IFERROR(H29/D29*1000,"")</f>
        <v/>
      </c>
      <c r="N29" s="13" t="n">
        <v>9538</v>
      </c>
      <c r="O29" s="15">
        <f>IFERROR(IF(OR(N29="",ISBLANK(INDIRECT("'"&amp;$Q$2&amp;"'!N"&amp;ROW()))),"",N29-INDIRECT("'"&amp;$Q$2&amp;"'!N"&amp;ROW())),"")</f>
        <v/>
      </c>
      <c r="P29" s="2" t="n"/>
      <c r="Q29" s="2" t="n"/>
      <c r="R29" s="2" t="n"/>
      <c r="S29" s="18">
        <f>IFERROR(IF(ISBLANK(INDIRECT("'"&amp;$Q$2&amp;"'!G"&amp;ROW())),"",INDIRECT("'"&amp;$Q$2&amp;"'!G"&amp;ROW())),"")</f>
        <v/>
      </c>
      <c r="T29" s="20">
        <f>IF(OR($G29="",$S29=""),"",$G29-$S29)</f>
        <v/>
      </c>
      <c r="U29" s="18">
        <f>IFERROR(IF(ISBLANK(INDIRECT("'"&amp;$Q$2&amp;"'!K"&amp;ROW())),"",INDIRECT("'"&amp;$Q$2&amp;"'!K"&amp;ROW())),"")</f>
        <v/>
      </c>
      <c r="V29" s="20">
        <f>IF(OR($K29="",$U29=""),"",$K29-$U29)</f>
        <v/>
      </c>
      <c r="W29" s="21">
        <f>IFERROR(IF(ISBLANK(INDIRECT("'"&amp;$Q$2&amp;"'!O"&amp;ROW())),"",INDIRECT("'"&amp;$Q$2&amp;"'!O"&amp;ROW())),"")</f>
        <v/>
      </c>
      <c r="X29" s="21">
        <f>IF(OR($O29="",$W29=""),"",$O29-$W29)</f>
        <v/>
      </c>
      <c r="Y29" s="2" t="n"/>
      <c r="Z29" s="2" t="n"/>
    </row>
    <row r="30" ht="14.25" customHeight="1" s="58">
      <c r="A30" s="25" t="n"/>
      <c r="B30" s="25" t="inlineStr">
        <is>
          <t>Итого ВКонтакте</t>
        </is>
      </c>
      <c r="C30" s="26">
        <f>SUM(C3:C29)</f>
        <v/>
      </c>
      <c r="D30" s="26">
        <f>SUM(D3:D29)</f>
        <v/>
      </c>
      <c r="E30" s="26">
        <f>SUM(E3:E29)</f>
        <v/>
      </c>
      <c r="F30" s="27">
        <f>SUM(F3:F29)</f>
        <v/>
      </c>
      <c r="G30" s="28">
        <f>IF(C30=0,"",IFERROR(F30/E30,""))</f>
        <v/>
      </c>
      <c r="H30" s="26">
        <f>SUM(H3:H29)</f>
        <v/>
      </c>
      <c r="I30" s="26">
        <f>SUM(I3:I29)</f>
        <v/>
      </c>
      <c r="J30" s="27">
        <f>SUM(J3:J29)</f>
        <v/>
      </c>
      <c r="K30" s="28">
        <f>IF(C30=0,"",IFERROR(J30/I30,""))</f>
        <v/>
      </c>
      <c r="L30" s="26">
        <f>IFERROR(D30/C30,"")</f>
        <v/>
      </c>
      <c r="M30" s="26">
        <f>IFERROR(H30/D30*1000,"")</f>
        <v/>
      </c>
      <c r="N30" s="26">
        <f>SUM(N3:N29)</f>
        <v/>
      </c>
      <c r="O30" s="27">
        <f>SUM(O3:O29)</f>
        <v/>
      </c>
      <c r="P30" s="2" t="n"/>
      <c r="Q30" s="2" t="n"/>
      <c r="R30" s="2" t="n"/>
      <c r="S30" s="29">
        <f>IFERROR(IF(ISBLANK(INDIRECT("'"&amp;$Q$2&amp;"'!G"&amp;ROW())),"",INDIRECT("'"&amp;$Q$2&amp;"'!G"&amp;ROW())),"")</f>
        <v/>
      </c>
      <c r="T30" s="30">
        <f>IF(OR($G30="",$S30=""),"",$G30-$S30)</f>
        <v/>
      </c>
      <c r="U30" s="29">
        <f>IFERROR(IF(ISBLANK(INDIRECT("'"&amp;$Q$2&amp;"'!K"&amp;ROW())),"",INDIRECT("'"&amp;$Q$2&amp;"'!K"&amp;ROW())),"")</f>
        <v/>
      </c>
      <c r="V30" s="30">
        <f>IF(OR($K30="",$U30=""),"",$K30-$U30)</f>
        <v/>
      </c>
      <c r="W30" s="31">
        <f>IFERROR(IF(ISBLANK(INDIRECT("'"&amp;$Q$2&amp;"'!O"&amp;ROW())),"",INDIRECT("'"&amp;$Q$2&amp;"'!O"&amp;ROW())),"")</f>
        <v/>
      </c>
      <c r="X30" s="31">
        <f>IF(OR(C30=0,$O30="",$W30=""),"",$O30-$W30)</f>
        <v/>
      </c>
      <c r="Y30" s="2" t="n"/>
      <c r="Z30" s="2" t="n"/>
    </row>
    <row r="31" ht="14.25" customHeight="1" s="58">
      <c r="A31" s="12" t="inlineStr">
        <is>
          <t>Одноклассники</t>
        </is>
      </c>
      <c r="B31" s="12" t="inlineStr">
        <is>
          <t>Ямал-Медиа</t>
        </is>
      </c>
      <c r="C31" s="13" t="n">
        <v>164</v>
      </c>
      <c r="D31" s="13" t="n">
        <v>24426</v>
      </c>
      <c r="E31" s="13">
        <f>IF($D31="","",IFERROR(IF(ISBLANK(INDIRECT("'"&amp;$Q$2&amp;"'!D"&amp;ROW())),"",INDIRECT("'"&amp;$Q$2&amp;"'!D"&amp;ROW())),""))</f>
        <v/>
      </c>
      <c r="F31" s="15">
        <f>IF(OR(D31="",E31=""),"",D31-E31)</f>
        <v/>
      </c>
      <c r="G31" s="16">
        <f>IFERROR(F31/E31,"")</f>
        <v/>
      </c>
      <c r="H31" s="13" t="n">
        <v>79</v>
      </c>
      <c r="I31" s="13">
        <f>IF($H31="","",IFERROR(IF(ISBLANK(INDIRECT("'"&amp;$Q$2&amp;"'!H"&amp;ROW())),"",INDIRECT("'"&amp;$Q$2&amp;"'!H"&amp;ROW())),""))</f>
        <v/>
      </c>
      <c r="J31" s="15">
        <f>IF(OR(H31="",I31=""),"",H31-I31)</f>
        <v/>
      </c>
      <c r="K31" s="16">
        <f>IFERROR(J31/I31,"")</f>
        <v/>
      </c>
      <c r="L31" s="13">
        <f>IFERROR(D31/C31,"")</f>
        <v/>
      </c>
      <c r="M31" s="13">
        <f>IFERROR(H31/D31*1000,"")</f>
        <v/>
      </c>
      <c r="N31" s="13" t="n">
        <v>32463</v>
      </c>
      <c r="O31" s="15">
        <f>IFERROR(IF(OR(N31="",ISBLANK(INDIRECT("'"&amp;$Q$2&amp;"'!N"&amp;ROW()))),"",N31-INDIRECT("'"&amp;$Q$2&amp;"'!N"&amp;ROW())),"")</f>
        <v/>
      </c>
      <c r="P31" s="2" t="n"/>
      <c r="Q31" s="2" t="n"/>
      <c r="R31" s="2" t="n"/>
      <c r="S31" s="18">
        <f>IFERROR(IF(ISBLANK(INDIRECT("'"&amp;$Q$2&amp;"'!G"&amp;ROW())),"",INDIRECT("'"&amp;$Q$2&amp;"'!G"&amp;ROW())),"")</f>
        <v/>
      </c>
      <c r="T31" s="20">
        <f>IF(OR($G31="",$S31=""),"",$G31-$S31)</f>
        <v/>
      </c>
      <c r="U31" s="18">
        <f>IFERROR(IF(ISBLANK(INDIRECT("'"&amp;$Q$2&amp;"'!K"&amp;ROW())),"",INDIRECT("'"&amp;$Q$2&amp;"'!K"&amp;ROW())),"")</f>
        <v/>
      </c>
      <c r="V31" s="20">
        <f>IF(OR($K31="",$U31=""),"",$K31-$U31)</f>
        <v/>
      </c>
      <c r="W31" s="21">
        <f>IFERROR(IF(ISBLANK(INDIRECT("'"&amp;$Q$2&amp;"'!O"&amp;ROW())),"",INDIRECT("'"&amp;$Q$2&amp;"'!O"&amp;ROW())),"")</f>
        <v/>
      </c>
      <c r="X31" s="21">
        <f>IF(OR($O31="",$W31=""),"",$O31-$W31)</f>
        <v/>
      </c>
      <c r="Y31" s="2" t="n"/>
      <c r="Z31" s="2" t="n"/>
    </row>
    <row r="32" ht="14.25" customHeight="1" s="58">
      <c r="A32" s="12" t="inlineStr">
        <is>
          <t>Одноклассники</t>
        </is>
      </c>
      <c r="B32" s="12" t="inlineStr">
        <is>
          <t>Север-Пресс</t>
        </is>
      </c>
      <c r="C32" s="13" t="n">
        <v>121</v>
      </c>
      <c r="D32" s="13" t="n">
        <v>35622</v>
      </c>
      <c r="E32" s="13">
        <f>IF($D32="","",IFERROR(IF(ISBLANK(INDIRECT("'"&amp;$Q$2&amp;"'!D"&amp;ROW())),"",INDIRECT("'"&amp;$Q$2&amp;"'!D"&amp;ROW())),""))</f>
        <v/>
      </c>
      <c r="F32" s="15">
        <f>IF(OR(D32="",E32=""),"",D32-E32)</f>
        <v/>
      </c>
      <c r="G32" s="16">
        <f>IFERROR(F32/E32,"")</f>
        <v/>
      </c>
      <c r="H32" s="13" t="n">
        <v>41</v>
      </c>
      <c r="I32" s="13">
        <f>IF($H32="","",IFERROR(IF(ISBLANK(INDIRECT("'"&amp;$Q$2&amp;"'!H"&amp;ROW())),"",INDIRECT("'"&amp;$Q$2&amp;"'!H"&amp;ROW())),""))</f>
        <v/>
      </c>
      <c r="J32" s="15">
        <f>IF(OR(H32="",I32=""),"",H32-I32)</f>
        <v/>
      </c>
      <c r="K32" s="16">
        <f>IFERROR(J32/I32,"")</f>
        <v/>
      </c>
      <c r="L32" s="13">
        <f>IFERROR(D32/C32,"")</f>
        <v/>
      </c>
      <c r="M32" s="13">
        <f>IFERROR(H32/D32*1000,"")</f>
        <v/>
      </c>
      <c r="N32" s="13" t="n">
        <v>21732</v>
      </c>
      <c r="O32" s="15">
        <f>IFERROR(IF(OR(N32="",ISBLANK(INDIRECT("'"&amp;$Q$2&amp;"'!N"&amp;ROW()))),"",N32-INDIRECT("'"&amp;$Q$2&amp;"'!N"&amp;ROW())),"")</f>
        <v/>
      </c>
      <c r="P32" s="2" t="n"/>
      <c r="Q32" s="2" t="n"/>
      <c r="R32" s="2" t="n"/>
      <c r="S32" s="18">
        <f>IFERROR(IF(ISBLANK(INDIRECT("'"&amp;$Q$2&amp;"'!G"&amp;ROW())),"",INDIRECT("'"&amp;$Q$2&amp;"'!G"&amp;ROW())),"")</f>
        <v/>
      </c>
      <c r="T32" s="20">
        <f>IF(OR($G32="",$S32=""),"",$G32-$S32)</f>
        <v/>
      </c>
      <c r="U32" s="18">
        <f>IFERROR(IF(ISBLANK(INDIRECT("'"&amp;$Q$2&amp;"'!K"&amp;ROW())),"",INDIRECT("'"&amp;$Q$2&amp;"'!K"&amp;ROW())),"")</f>
        <v/>
      </c>
      <c r="V32" s="20">
        <f>IF(OR($K32="",$U32=""),"",$K32-$U32)</f>
        <v/>
      </c>
      <c r="W32" s="21">
        <f>IFERROR(IF(ISBLANK(INDIRECT("'"&amp;$Q$2&amp;"'!O"&amp;ROW())),"",INDIRECT("'"&amp;$Q$2&amp;"'!O"&amp;ROW())),"")</f>
        <v/>
      </c>
      <c r="X32" s="21">
        <f>IF(OR($O32="",$W32=""),"",$O32-$W32)</f>
        <v/>
      </c>
      <c r="Y32" s="2" t="n"/>
      <c r="Z32" s="2" t="n"/>
    </row>
    <row r="33" ht="14.25" customHeight="1" s="58">
      <c r="A33" s="12" t="inlineStr">
        <is>
          <t>Одноклассники</t>
        </is>
      </c>
      <c r="B33" s="12" t="inlineStr">
        <is>
          <t>Красный Север</t>
        </is>
      </c>
      <c r="C33" s="13" t="n">
        <v>85</v>
      </c>
      <c r="D33" s="13" t="n">
        <v>25717</v>
      </c>
      <c r="E33" s="13">
        <f>IF($D33="","",IFERROR(IF(ISBLANK(INDIRECT("'"&amp;$Q$2&amp;"'!D"&amp;ROW())),"",INDIRECT("'"&amp;$Q$2&amp;"'!D"&amp;ROW())),""))</f>
        <v/>
      </c>
      <c r="F33" s="15">
        <f>IF(OR(D33="",E33=""),"",D33-E33)</f>
        <v/>
      </c>
      <c r="G33" s="16">
        <f>IFERROR(F33/E33,"")</f>
        <v/>
      </c>
      <c r="H33" s="13" t="n">
        <v>6</v>
      </c>
      <c r="I33" s="13">
        <f>IF($H33="","",IFERROR(IF(ISBLANK(INDIRECT("'"&amp;$Q$2&amp;"'!H"&amp;ROW())),"",INDIRECT("'"&amp;$Q$2&amp;"'!H"&amp;ROW())),""))</f>
        <v/>
      </c>
      <c r="J33" s="15">
        <f>IF(OR(H33="",I33=""),"",H33-I33)</f>
        <v/>
      </c>
      <c r="K33" s="16">
        <f>IFERROR(J33/I33,"")</f>
        <v/>
      </c>
      <c r="L33" s="13">
        <f>IFERROR(D33/C33,"")</f>
        <v/>
      </c>
      <c r="M33" s="13">
        <f>IFERROR(H33/D33*1000,"")</f>
        <v/>
      </c>
      <c r="N33" s="13" t="n">
        <v>8962</v>
      </c>
      <c r="O33" s="15">
        <f>IFERROR(IF(OR(N33="",ISBLANK(INDIRECT("'"&amp;$Q$2&amp;"'!N"&amp;ROW()))),"",N33-INDIRECT("'"&amp;$Q$2&amp;"'!N"&amp;ROW())),"")</f>
        <v/>
      </c>
      <c r="P33" s="2" t="n"/>
      <c r="Q33" s="2" t="n"/>
      <c r="R33" s="2" t="n"/>
      <c r="S33" s="18">
        <f>IFERROR(IF(ISBLANK(INDIRECT("'"&amp;$Q$2&amp;"'!G"&amp;ROW())),"",INDIRECT("'"&amp;$Q$2&amp;"'!G"&amp;ROW())),"")</f>
        <v/>
      </c>
      <c r="T33" s="20">
        <f>IF(OR($G33="",$S33=""),"",$G33-$S33)</f>
        <v/>
      </c>
      <c r="U33" s="18">
        <f>IFERROR(IF(ISBLANK(INDIRECT("'"&amp;$Q$2&amp;"'!K"&amp;ROW())),"",INDIRECT("'"&amp;$Q$2&amp;"'!K"&amp;ROW())),"")</f>
        <v/>
      </c>
      <c r="V33" s="20">
        <f>IF(OR($K33="",$U33=""),"",$K33-$U33)</f>
        <v/>
      </c>
      <c r="W33" s="21">
        <f>IFERROR(IF(ISBLANK(INDIRECT("'"&amp;$Q$2&amp;"'!O"&amp;ROW())),"",INDIRECT("'"&amp;$Q$2&amp;"'!O"&amp;ROW())),"")</f>
        <v/>
      </c>
      <c r="X33" s="21">
        <f>IF(OR($O33="",$W33=""),"",$O33-$W33)</f>
        <v/>
      </c>
      <c r="Y33" s="2" t="n"/>
      <c r="Z33" s="2" t="n"/>
    </row>
    <row r="34" ht="14.25" customHeight="1" s="58">
      <c r="A34" s="12" t="inlineStr">
        <is>
          <t>Одноклассники</t>
        </is>
      </c>
      <c r="B34" s="12" t="inlineStr">
        <is>
          <t>Новый Уренгой</t>
        </is>
      </c>
      <c r="C34" s="13" t="n">
        <v>107</v>
      </c>
      <c r="D34" s="13" t="n">
        <v>1655</v>
      </c>
      <c r="E34" s="13">
        <f>IF($D34="","",IFERROR(IF(ISBLANK(INDIRECT("'"&amp;$Q$2&amp;"'!D"&amp;ROW())),"",INDIRECT("'"&amp;$Q$2&amp;"'!D"&amp;ROW())),""))</f>
        <v/>
      </c>
      <c r="F34" s="15">
        <f>IF(OR(D34="",E34=""),"",D34-E34)</f>
        <v/>
      </c>
      <c r="G34" s="16">
        <f>IFERROR(F34/E34,"")</f>
        <v/>
      </c>
      <c r="H34" s="13" t="n">
        <v>0</v>
      </c>
      <c r="I34" s="13">
        <f>IF($H34="","",IFERROR(IF(ISBLANK(INDIRECT("'"&amp;$Q$2&amp;"'!H"&amp;ROW())),"",INDIRECT("'"&amp;$Q$2&amp;"'!H"&amp;ROW())),""))</f>
        <v/>
      </c>
      <c r="J34" s="15">
        <f>IF(OR(H34="",I34=""),"",H34-I34)</f>
        <v/>
      </c>
      <c r="K34" s="16">
        <f>IFERROR(J34/I34,"")</f>
        <v/>
      </c>
      <c r="L34" s="13">
        <f>IFERROR(D34/C34,"")</f>
        <v/>
      </c>
      <c r="M34" s="13">
        <f>IFERROR(H34/D34*1000,"")</f>
        <v/>
      </c>
      <c r="N34" s="13" t="n">
        <v>6</v>
      </c>
      <c r="O34" s="15">
        <f>IFERROR(IF(OR(N34="",ISBLANK(INDIRECT("'"&amp;$Q$2&amp;"'!N"&amp;ROW()))),"",N34-INDIRECT("'"&amp;$Q$2&amp;"'!N"&amp;ROW())),"")</f>
        <v/>
      </c>
      <c r="P34" s="2" t="n"/>
      <c r="Q34" s="2" t="n"/>
      <c r="R34" s="2" t="n"/>
      <c r="S34" s="18">
        <f>IFERROR(IF(ISBLANK(INDIRECT("'"&amp;$Q$2&amp;"'!G"&amp;ROW())),"",INDIRECT("'"&amp;$Q$2&amp;"'!G"&amp;ROW())),"")</f>
        <v/>
      </c>
      <c r="T34" s="20">
        <f>IF(OR($G34="",$S34=""),"",$G34-$S34)</f>
        <v/>
      </c>
      <c r="U34" s="18">
        <f>IFERROR(IF(ISBLANK(INDIRECT("'"&amp;$Q$2&amp;"'!K"&amp;ROW())),"",INDIRECT("'"&amp;$Q$2&amp;"'!K"&amp;ROW())),"")</f>
        <v/>
      </c>
      <c r="V34" s="20">
        <f>IF(OR($K34="",$U34=""),"",$K34-$U34)</f>
        <v/>
      </c>
      <c r="W34" s="21">
        <f>IFERROR(IF(ISBLANK(INDIRECT("'"&amp;$Q$2&amp;"'!O"&amp;ROW())),"",INDIRECT("'"&amp;$Q$2&amp;"'!O"&amp;ROW())),"")</f>
        <v/>
      </c>
      <c r="X34" s="21">
        <f>IF(OR($O34="",$W34=""),"",$O34-$W34)</f>
        <v/>
      </c>
      <c r="Y34" s="2" t="n"/>
      <c r="Z34" s="2" t="n"/>
    </row>
    <row r="35" ht="14.25" customHeight="1" s="58">
      <c r="A35" s="12" t="inlineStr">
        <is>
          <t>Одноклассники</t>
        </is>
      </c>
      <c r="B35" s="12" t="inlineStr">
        <is>
          <t>Надым</t>
        </is>
      </c>
      <c r="C35" s="13" t="n">
        <v>97</v>
      </c>
      <c r="D35" s="13" t="n">
        <v>10205</v>
      </c>
      <c r="E35" s="13">
        <f>IF($D35="","",IFERROR(IF(ISBLANK(INDIRECT("'"&amp;$Q$2&amp;"'!D"&amp;ROW())),"",INDIRECT("'"&amp;$Q$2&amp;"'!D"&amp;ROW())),""))</f>
        <v/>
      </c>
      <c r="F35" s="15">
        <f>IF(OR(D35="",E35=""),"",D35-E35)</f>
        <v/>
      </c>
      <c r="G35" s="16">
        <f>IFERROR(F35/E35,"")</f>
        <v/>
      </c>
      <c r="H35" s="13" t="n">
        <v>158</v>
      </c>
      <c r="I35" s="13">
        <f>IF($H35="","",IFERROR(IF(ISBLANK(INDIRECT("'"&amp;$Q$2&amp;"'!H"&amp;ROW())),"",INDIRECT("'"&amp;$Q$2&amp;"'!H"&amp;ROW())),""))</f>
        <v/>
      </c>
      <c r="J35" s="15">
        <f>IF(OR(H35="",I35=""),"",H35-I35)</f>
        <v/>
      </c>
      <c r="K35" s="16">
        <f>IFERROR(J35/I35,"")</f>
        <v/>
      </c>
      <c r="L35" s="13">
        <f>IFERROR(D35/C35,"")</f>
        <v/>
      </c>
      <c r="M35" s="13">
        <f>IFERROR(H35/D35*1000,"")</f>
        <v/>
      </c>
      <c r="N35" s="13" t="n">
        <v>1936</v>
      </c>
      <c r="O35" s="15">
        <f>IFERROR(IF(OR(N35="",ISBLANK(INDIRECT("'"&amp;$Q$2&amp;"'!N"&amp;ROW()))),"",N35-INDIRECT("'"&amp;$Q$2&amp;"'!N"&amp;ROW())),"")</f>
        <v/>
      </c>
      <c r="P35" s="2" t="n"/>
      <c r="Q35" s="2" t="n"/>
      <c r="R35" s="2" t="n"/>
      <c r="S35" s="18">
        <f>IFERROR(IF(ISBLANK(INDIRECT("'"&amp;$Q$2&amp;"'!G"&amp;ROW())),"",INDIRECT("'"&amp;$Q$2&amp;"'!G"&amp;ROW())),"")</f>
        <v/>
      </c>
      <c r="T35" s="20">
        <f>IF(OR($G35="",$S35=""),"",$G35-$S35)</f>
        <v/>
      </c>
      <c r="U35" s="18">
        <f>IFERROR(IF(ISBLANK(INDIRECT("'"&amp;$Q$2&amp;"'!K"&amp;ROW())),"",INDIRECT("'"&amp;$Q$2&amp;"'!K"&amp;ROW())),"")</f>
        <v/>
      </c>
      <c r="V35" s="20">
        <f>IF(OR($K35="",$U35=""),"",$K35-$U35)</f>
        <v/>
      </c>
      <c r="W35" s="21">
        <f>IFERROR(IF(ISBLANK(INDIRECT("'"&amp;$Q$2&amp;"'!O"&amp;ROW())),"",INDIRECT("'"&amp;$Q$2&amp;"'!O"&amp;ROW())),"")</f>
        <v/>
      </c>
      <c r="X35" s="21">
        <f>IF(OR($O35="",$W35=""),"",$O35-$W35)</f>
        <v/>
      </c>
      <c r="Y35" s="2" t="n"/>
      <c r="Z35" s="2" t="n"/>
    </row>
    <row r="36" ht="14.25" customHeight="1" s="58">
      <c r="A36" s="12" t="inlineStr">
        <is>
          <t>Одноклассники</t>
        </is>
      </c>
      <c r="B36" s="12" t="inlineStr">
        <is>
          <t>Ноябрьск</t>
        </is>
      </c>
      <c r="C36" s="13" t="n">
        <v>104</v>
      </c>
      <c r="D36" s="13" t="n">
        <v>43443</v>
      </c>
      <c r="E36" s="13">
        <f>IF($D36="","",IFERROR(IF(ISBLANK(INDIRECT("'"&amp;$Q$2&amp;"'!D"&amp;ROW())),"",INDIRECT("'"&amp;$Q$2&amp;"'!D"&amp;ROW())),""))</f>
        <v/>
      </c>
      <c r="F36" s="15">
        <f>IF(OR(D36="",E36=""),"",D36-E36)</f>
        <v/>
      </c>
      <c r="G36" s="16">
        <f>IFERROR(F36/E36,"")</f>
        <v/>
      </c>
      <c r="H36" s="13" t="n">
        <v>922</v>
      </c>
      <c r="I36" s="13">
        <f>IF($H36="","",IFERROR(IF(ISBLANK(INDIRECT("'"&amp;$Q$2&amp;"'!H"&amp;ROW())),"",INDIRECT("'"&amp;$Q$2&amp;"'!H"&amp;ROW())),""))</f>
        <v/>
      </c>
      <c r="J36" s="15">
        <f>IF(OR(H36="",I36=""),"",H36-I36)</f>
        <v/>
      </c>
      <c r="K36" s="16">
        <f>IFERROR(J36/I36,"")</f>
        <v/>
      </c>
      <c r="L36" s="13">
        <f>IFERROR(D36/C36,"")</f>
        <v/>
      </c>
      <c r="M36" s="13">
        <f>IFERROR(H36/D36*1000,"")</f>
        <v/>
      </c>
      <c r="N36" s="13" t="n">
        <v>5879</v>
      </c>
      <c r="O36" s="15">
        <f>IFERROR(IF(OR(N36="",ISBLANK(INDIRECT("'"&amp;$Q$2&amp;"'!N"&amp;ROW()))),"",N36-INDIRECT("'"&amp;$Q$2&amp;"'!N"&amp;ROW())),"")</f>
        <v/>
      </c>
      <c r="P36" s="2" t="n"/>
      <c r="Q36" s="2" t="n"/>
      <c r="R36" s="2" t="n"/>
      <c r="S36" s="18">
        <f>IFERROR(IF(ISBLANK(INDIRECT("'"&amp;$Q$2&amp;"'!G"&amp;ROW())),"",INDIRECT("'"&amp;$Q$2&amp;"'!G"&amp;ROW())),"")</f>
        <v/>
      </c>
      <c r="T36" s="20">
        <f>IF(OR($G36="",$S36=""),"",$G36-$S36)</f>
        <v/>
      </c>
      <c r="U36" s="18">
        <f>IFERROR(IF(ISBLANK(INDIRECT("'"&amp;$Q$2&amp;"'!K"&amp;ROW())),"",INDIRECT("'"&amp;$Q$2&amp;"'!K"&amp;ROW())),"")</f>
        <v/>
      </c>
      <c r="V36" s="20">
        <f>IF(OR($K36="",$U36=""),"",$K36-$U36)</f>
        <v/>
      </c>
      <c r="W36" s="21">
        <f>IFERROR(IF(ISBLANK(INDIRECT("'"&amp;$Q$2&amp;"'!O"&amp;ROW())),"",INDIRECT("'"&amp;$Q$2&amp;"'!O"&amp;ROW())),"")</f>
        <v/>
      </c>
      <c r="X36" s="21">
        <f>IF(OR($O36="",$W36=""),"",$O36-$W36)</f>
        <v/>
      </c>
      <c r="Y36" s="2" t="n"/>
      <c r="Z36" s="2" t="n"/>
    </row>
    <row r="37" ht="14.25" customHeight="1" s="58">
      <c r="A37" s="12" t="inlineStr">
        <is>
          <t>Одноклассники</t>
        </is>
      </c>
      <c r="B37" s="12" t="inlineStr">
        <is>
          <t>Салехард</t>
        </is>
      </c>
      <c r="C37" s="13" t="n">
        <v>101</v>
      </c>
      <c r="D37" s="13" t="n">
        <v>5494</v>
      </c>
      <c r="E37" s="13">
        <f>IF($D37="","",IFERROR(IF(ISBLANK(INDIRECT("'"&amp;$Q$2&amp;"'!D"&amp;ROW())),"",INDIRECT("'"&amp;$Q$2&amp;"'!D"&amp;ROW())),""))</f>
        <v/>
      </c>
      <c r="F37" s="15">
        <f>IF(OR(D37="",E37=""),"",D37-E37)</f>
        <v/>
      </c>
      <c r="G37" s="16">
        <f>IFERROR(F37/E37,"")</f>
        <v/>
      </c>
      <c r="H37" s="13" t="n">
        <v>23</v>
      </c>
      <c r="I37" s="13">
        <f>IF($H37="","",IFERROR(IF(ISBLANK(INDIRECT("'"&amp;$Q$2&amp;"'!H"&amp;ROW())),"",INDIRECT("'"&amp;$Q$2&amp;"'!H"&amp;ROW())),""))</f>
        <v/>
      </c>
      <c r="J37" s="15">
        <f>IF(OR(H37="",I37=""),"",H37-I37)</f>
        <v/>
      </c>
      <c r="K37" s="16">
        <f>IFERROR(J37/I37,"")</f>
        <v/>
      </c>
      <c r="L37" s="13">
        <f>IFERROR(D37/C37,"")</f>
        <v/>
      </c>
      <c r="M37" s="13">
        <f>IFERROR(H37/D37*1000,"")</f>
        <v/>
      </c>
      <c r="N37" s="13" t="n">
        <v>3234</v>
      </c>
      <c r="O37" s="15">
        <f>IFERROR(IF(OR(N37="",ISBLANK(INDIRECT("'"&amp;$Q$2&amp;"'!N"&amp;ROW()))),"",N37-INDIRECT("'"&amp;$Q$2&amp;"'!N"&amp;ROW())),"")</f>
        <v/>
      </c>
      <c r="P37" s="2" t="n"/>
      <c r="Q37" s="2" t="n"/>
      <c r="R37" s="2" t="n"/>
      <c r="S37" s="18">
        <f>IFERROR(IF(ISBLANK(INDIRECT("'"&amp;$Q$2&amp;"'!G"&amp;ROW())),"",INDIRECT("'"&amp;$Q$2&amp;"'!G"&amp;ROW())),"")</f>
        <v/>
      </c>
      <c r="T37" s="20">
        <f>IF(OR($G37="",$S37=""),"",$G37-$S37)</f>
        <v/>
      </c>
      <c r="U37" s="18">
        <f>IFERROR(IF(ISBLANK(INDIRECT("'"&amp;$Q$2&amp;"'!K"&amp;ROW())),"",INDIRECT("'"&amp;$Q$2&amp;"'!K"&amp;ROW())),"")</f>
        <v/>
      </c>
      <c r="V37" s="20">
        <f>IF(OR($K37="",$U37=""),"",$K37-$U37)</f>
        <v/>
      </c>
      <c r="W37" s="21">
        <f>IFERROR(IF(ISBLANK(INDIRECT("'"&amp;$Q$2&amp;"'!O"&amp;ROW())),"",INDIRECT("'"&amp;$Q$2&amp;"'!O"&amp;ROW())),"")</f>
        <v/>
      </c>
      <c r="X37" s="21">
        <f>IF(OR($O37="",$W37=""),"",$O37-$W37)</f>
        <v/>
      </c>
      <c r="Y37" s="2" t="n"/>
      <c r="Z37" s="2" t="n"/>
    </row>
    <row r="38" ht="14.25" customHeight="1" s="58">
      <c r="A38" s="12" t="inlineStr">
        <is>
          <t>Одноклассники</t>
        </is>
      </c>
      <c r="B38" s="12" t="inlineStr">
        <is>
          <t>Приуралье</t>
        </is>
      </c>
      <c r="C38" s="13" t="n">
        <v>90</v>
      </c>
      <c r="D38" s="13" t="n">
        <v>7276</v>
      </c>
      <c r="E38" s="13">
        <f>IF($D38="","",IFERROR(IF(ISBLANK(INDIRECT("'"&amp;$Q$2&amp;"'!D"&amp;ROW())),"",INDIRECT("'"&amp;$Q$2&amp;"'!D"&amp;ROW())),""))</f>
        <v/>
      </c>
      <c r="F38" s="15">
        <f>IF(OR(D38="",E38=""),"",D38-E38)</f>
        <v/>
      </c>
      <c r="G38" s="16">
        <f>IFERROR(F38/E38,"")</f>
        <v/>
      </c>
      <c r="H38" s="13" t="n">
        <v>85</v>
      </c>
      <c r="I38" s="13">
        <f>IF($H38="","",IFERROR(IF(ISBLANK(INDIRECT("'"&amp;$Q$2&amp;"'!H"&amp;ROW())),"",INDIRECT("'"&amp;$Q$2&amp;"'!H"&amp;ROW())),""))</f>
        <v/>
      </c>
      <c r="J38" s="15">
        <f>IF(OR(H38="",I38=""),"",H38-I38)</f>
        <v/>
      </c>
      <c r="K38" s="16">
        <f>IFERROR(J38/I38,"")</f>
        <v/>
      </c>
      <c r="L38" s="13">
        <f>IFERROR(D38/C38,"")</f>
        <v/>
      </c>
      <c r="M38" s="13">
        <f>IFERROR(H38/D38*1000,"")</f>
        <v/>
      </c>
      <c r="N38" s="13" t="n">
        <v>1695</v>
      </c>
      <c r="O38" s="15">
        <f>IFERROR(IF(OR(N38="",ISBLANK(INDIRECT("'"&amp;$Q$2&amp;"'!N"&amp;ROW()))),"",N38-INDIRECT("'"&amp;$Q$2&amp;"'!N"&amp;ROW())),"")</f>
        <v/>
      </c>
      <c r="P38" s="2" t="n"/>
      <c r="Q38" s="2" t="n"/>
      <c r="R38" s="2" t="n"/>
      <c r="S38" s="18">
        <f>IFERROR(IF(ISBLANK(INDIRECT("'"&amp;$Q$2&amp;"'!G"&amp;ROW())),"",INDIRECT("'"&amp;$Q$2&amp;"'!G"&amp;ROW())),"")</f>
        <v/>
      </c>
      <c r="T38" s="20">
        <f>IF(OR($G38="",$S38=""),"",$G38-$S38)</f>
        <v/>
      </c>
      <c r="U38" s="18">
        <f>IFERROR(IF(ISBLANK(INDIRECT("'"&amp;$Q$2&amp;"'!K"&amp;ROW())),"",INDIRECT("'"&amp;$Q$2&amp;"'!K"&amp;ROW())),"")</f>
        <v/>
      </c>
      <c r="V38" s="20">
        <f>IF(OR($K38="",$U38=""),"",$K38-$U38)</f>
        <v/>
      </c>
      <c r="W38" s="21">
        <f>IFERROR(IF(ISBLANK(INDIRECT("'"&amp;$Q$2&amp;"'!O"&amp;ROW())),"",INDIRECT("'"&amp;$Q$2&amp;"'!O"&amp;ROW())),"")</f>
        <v/>
      </c>
      <c r="X38" s="21">
        <f>IF(OR($O38="",$W38=""),"",$O38-$W38)</f>
        <v/>
      </c>
      <c r="Y38" s="2" t="n"/>
      <c r="Z38" s="2" t="n"/>
    </row>
    <row r="39" ht="14.25" customHeight="1" s="58">
      <c r="A39" s="12" t="inlineStr">
        <is>
          <t>Одноклассники</t>
        </is>
      </c>
      <c r="B39" s="12" t="inlineStr">
        <is>
          <t>Лабытнанги</t>
        </is>
      </c>
      <c r="C39" s="13" t="n">
        <v>67</v>
      </c>
      <c r="D39" s="13" t="n">
        <v>3006</v>
      </c>
      <c r="E39" s="13">
        <f>IF($D39="","",IFERROR(IF(ISBLANK(INDIRECT("'"&amp;$Q$2&amp;"'!D"&amp;ROW())),"",INDIRECT("'"&amp;$Q$2&amp;"'!D"&amp;ROW())),""))</f>
        <v/>
      </c>
      <c r="F39" s="15">
        <f>IF(OR(D39="",E39=""),"",D39-E39)</f>
        <v/>
      </c>
      <c r="G39" s="16">
        <f>IFERROR(F39/E39,"")</f>
        <v/>
      </c>
      <c r="H39" s="13" t="n">
        <v>46</v>
      </c>
      <c r="I39" s="13">
        <f>IF($H39="","",IFERROR(IF(ISBLANK(INDIRECT("'"&amp;$Q$2&amp;"'!H"&amp;ROW())),"",INDIRECT("'"&amp;$Q$2&amp;"'!H"&amp;ROW())),""))</f>
        <v/>
      </c>
      <c r="J39" s="15">
        <f>IF(OR(H39="",I39=""),"",H39-I39)</f>
        <v/>
      </c>
      <c r="K39" s="16">
        <f>IFERROR(J39/I39,"")</f>
        <v/>
      </c>
      <c r="L39" s="13">
        <f>IFERROR(D39/C39,"")</f>
        <v/>
      </c>
      <c r="M39" s="13">
        <f>IFERROR(H39/D39*1000,"")</f>
        <v/>
      </c>
      <c r="N39" s="13" t="n">
        <v>224</v>
      </c>
      <c r="O39" s="15">
        <f>IFERROR(IF(OR(N39="",ISBLANK(INDIRECT("'"&amp;$Q$2&amp;"'!N"&amp;ROW()))),"",N39-INDIRECT("'"&amp;$Q$2&amp;"'!N"&amp;ROW())),"")</f>
        <v/>
      </c>
      <c r="P39" s="2" t="n"/>
      <c r="Q39" s="2" t="n"/>
      <c r="R39" s="2" t="n"/>
      <c r="S39" s="18">
        <f>IFERROR(IF(ISBLANK(INDIRECT("'"&amp;$Q$2&amp;"'!G"&amp;ROW())),"",INDIRECT("'"&amp;$Q$2&amp;"'!G"&amp;ROW())),"")</f>
        <v/>
      </c>
      <c r="T39" s="20">
        <f>IF(OR($G39="",$S39=""),"",$G39-$S39)</f>
        <v/>
      </c>
      <c r="U39" s="18">
        <f>IFERROR(IF(ISBLANK(INDIRECT("'"&amp;$Q$2&amp;"'!K"&amp;ROW())),"",INDIRECT("'"&amp;$Q$2&amp;"'!K"&amp;ROW())),"")</f>
        <v/>
      </c>
      <c r="V39" s="20">
        <f>IF(OR($K39="",$U39=""),"",$K39-$U39)</f>
        <v/>
      </c>
      <c r="W39" s="21">
        <f>IFERROR(IF(ISBLANK(INDIRECT("'"&amp;$Q$2&amp;"'!O"&amp;ROW())),"",INDIRECT("'"&amp;$Q$2&amp;"'!O"&amp;ROW())),"")</f>
        <v/>
      </c>
      <c r="X39" s="21">
        <f>IF(OR($O39="",$W39=""),"",$O39-$W39)</f>
        <v/>
      </c>
      <c r="Y39" s="2" t="n"/>
      <c r="Z39" s="2" t="n"/>
    </row>
    <row r="40" ht="14.25" customHeight="1" s="58">
      <c r="A40" s="12" t="inlineStr">
        <is>
          <t>Одноклассники</t>
        </is>
      </c>
      <c r="B40" s="12" t="inlineStr">
        <is>
          <t>Пуровский</t>
        </is>
      </c>
      <c r="C40" s="13" t="n">
        <v>66</v>
      </c>
      <c r="D40" s="13" t="n">
        <v>8243</v>
      </c>
      <c r="E40" s="13">
        <f>IF($D40="","",IFERROR(IF(ISBLANK(INDIRECT("'"&amp;$Q$2&amp;"'!D"&amp;ROW())),"",INDIRECT("'"&amp;$Q$2&amp;"'!D"&amp;ROW())),""))</f>
        <v/>
      </c>
      <c r="F40" s="15">
        <f>IF(OR(D40="",E40=""),"",D40-E40)</f>
        <v/>
      </c>
      <c r="G40" s="16">
        <f>IFERROR(F40/E40,"")</f>
        <v/>
      </c>
      <c r="H40" s="13" t="n">
        <v>132</v>
      </c>
      <c r="I40" s="13">
        <f>IF($H40="","",IFERROR(IF(ISBLANK(INDIRECT("'"&amp;$Q$2&amp;"'!H"&amp;ROW())),"",INDIRECT("'"&amp;$Q$2&amp;"'!H"&amp;ROW())),""))</f>
        <v/>
      </c>
      <c r="J40" s="15">
        <f>IF(OR(H40="",I40=""),"",H40-I40)</f>
        <v/>
      </c>
      <c r="K40" s="16">
        <f>IFERROR(J40/I40,"")</f>
        <v/>
      </c>
      <c r="L40" s="13">
        <f>IFERROR(D40/C40,"")</f>
        <v/>
      </c>
      <c r="M40" s="13">
        <f>IFERROR(H40/D40*1000,"")</f>
        <v/>
      </c>
      <c r="N40" s="13" t="n">
        <v>4953</v>
      </c>
      <c r="O40" s="15">
        <f>IFERROR(IF(OR(N40="",ISBLANK(INDIRECT("'"&amp;$Q$2&amp;"'!N"&amp;ROW()))),"",N40-INDIRECT("'"&amp;$Q$2&amp;"'!N"&amp;ROW())),"")</f>
        <v/>
      </c>
      <c r="P40" s="2" t="n"/>
      <c r="Q40" s="2" t="n"/>
      <c r="R40" s="2" t="n"/>
      <c r="S40" s="18">
        <f>IFERROR(IF(ISBLANK(INDIRECT("'"&amp;$Q$2&amp;"'!G"&amp;ROW())),"",INDIRECT("'"&amp;$Q$2&amp;"'!G"&amp;ROW())),"")</f>
        <v/>
      </c>
      <c r="T40" s="20">
        <f>IF(OR($G40="",$S40=""),"",$G40-$S40)</f>
        <v/>
      </c>
      <c r="U40" s="18">
        <f>IFERROR(IF(ISBLANK(INDIRECT("'"&amp;$Q$2&amp;"'!K"&amp;ROW())),"",INDIRECT("'"&amp;$Q$2&amp;"'!K"&amp;ROW())),"")</f>
        <v/>
      </c>
      <c r="V40" s="20">
        <f>IF(OR($K40="",$U40=""),"",$K40-$U40)</f>
        <v/>
      </c>
      <c r="W40" s="21">
        <f>IFERROR(IF(ISBLANK(INDIRECT("'"&amp;$Q$2&amp;"'!O"&amp;ROW())),"",INDIRECT("'"&amp;$Q$2&amp;"'!O"&amp;ROW())),"")</f>
        <v/>
      </c>
      <c r="X40" s="21">
        <f>IF(OR($O40="",$W40=""),"",$O40-$W40)</f>
        <v/>
      </c>
      <c r="Y40" s="2" t="n"/>
      <c r="Z40" s="2" t="n"/>
    </row>
    <row r="41" ht="14.25" customHeight="1" s="58">
      <c r="A41" s="12" t="inlineStr">
        <is>
          <t>Одноклассники</t>
        </is>
      </c>
      <c r="B41" s="12" t="inlineStr">
        <is>
          <t>Тазовский</t>
        </is>
      </c>
      <c r="C41" s="13" t="n">
        <v>44</v>
      </c>
      <c r="D41" s="13" t="n">
        <v>7631</v>
      </c>
      <c r="E41" s="13">
        <f>IF($D41="","",IFERROR(IF(ISBLANK(INDIRECT("'"&amp;$Q$2&amp;"'!D"&amp;ROW())),"",INDIRECT("'"&amp;$Q$2&amp;"'!D"&amp;ROW())),""))</f>
        <v/>
      </c>
      <c r="F41" s="15">
        <f>IF(OR(D41="",E41=""),"",D41-E41)</f>
        <v/>
      </c>
      <c r="G41" s="16">
        <f>IFERROR(F41/E41,"")</f>
        <v/>
      </c>
      <c r="H41" s="13" t="n">
        <v>69</v>
      </c>
      <c r="I41" s="13">
        <f>IF($H41="","",IFERROR(IF(ISBLANK(INDIRECT("'"&amp;$Q$2&amp;"'!H"&amp;ROW())),"",INDIRECT("'"&amp;$Q$2&amp;"'!H"&amp;ROW())),""))</f>
        <v/>
      </c>
      <c r="J41" s="15">
        <f>IF(OR(H41="",I41=""),"",H41-I41)</f>
        <v/>
      </c>
      <c r="K41" s="16">
        <f>IFERROR(J41/I41,"")</f>
        <v/>
      </c>
      <c r="L41" s="13">
        <f>IFERROR(D41/C41,"")</f>
        <v/>
      </c>
      <c r="M41" s="13">
        <f>IFERROR(H41/D41*1000,"")</f>
        <v/>
      </c>
      <c r="N41" s="13" t="n">
        <v>3530</v>
      </c>
      <c r="O41" s="15">
        <f>IFERROR(IF(OR(N41="",ISBLANK(INDIRECT("'"&amp;$Q$2&amp;"'!N"&amp;ROW()))),"",N41-INDIRECT("'"&amp;$Q$2&amp;"'!N"&amp;ROW())),"")</f>
        <v/>
      </c>
      <c r="P41" s="2" t="n"/>
      <c r="Q41" s="2" t="n"/>
      <c r="R41" s="2" t="n"/>
      <c r="S41" s="18">
        <f>IFERROR(IF(ISBLANK(INDIRECT("'"&amp;$Q$2&amp;"'!G"&amp;ROW())),"",INDIRECT("'"&amp;$Q$2&amp;"'!G"&amp;ROW())),"")</f>
        <v/>
      </c>
      <c r="T41" s="20">
        <f>IF(OR($G41="",$S41=""),"",$G41-$S41)</f>
        <v/>
      </c>
      <c r="U41" s="18">
        <f>IFERROR(IF(ISBLANK(INDIRECT("'"&amp;$Q$2&amp;"'!K"&amp;ROW())),"",INDIRECT("'"&amp;$Q$2&amp;"'!K"&amp;ROW())),"")</f>
        <v/>
      </c>
      <c r="V41" s="20">
        <f>IF(OR($K41="",$U41=""),"",$K41-$U41)</f>
        <v/>
      </c>
      <c r="W41" s="21">
        <f>IFERROR(IF(ISBLANK(INDIRECT("'"&amp;$Q$2&amp;"'!O"&amp;ROW())),"",INDIRECT("'"&amp;$Q$2&amp;"'!O"&amp;ROW())),"")</f>
        <v/>
      </c>
      <c r="X41" s="21">
        <f>IF(OR($O41="",$W41=""),"",$O41-$W41)</f>
        <v/>
      </c>
      <c r="Y41" s="2" t="n"/>
      <c r="Z41" s="2" t="n"/>
    </row>
    <row r="42" ht="14.25" customHeight="1" s="58">
      <c r="A42" s="12" t="inlineStr">
        <is>
          <t>Одноклассники</t>
        </is>
      </c>
      <c r="B42" s="12" t="inlineStr">
        <is>
          <t>Красноселькуп</t>
        </is>
      </c>
      <c r="C42" s="13" t="n">
        <v>34</v>
      </c>
      <c r="D42" s="13" t="n">
        <v>8146</v>
      </c>
      <c r="E42" s="13">
        <f>IF($D42="","",IFERROR(IF(ISBLANK(INDIRECT("'"&amp;$Q$2&amp;"'!D"&amp;ROW())),"",INDIRECT("'"&amp;$Q$2&amp;"'!D"&amp;ROW())),""))</f>
        <v/>
      </c>
      <c r="F42" s="15">
        <f>IF(OR(D42="",E42=""),"",D42-E42)</f>
        <v/>
      </c>
      <c r="G42" s="16">
        <f>IFERROR(F42/E42,"")</f>
        <v/>
      </c>
      <c r="H42" s="13" t="n">
        <v>293</v>
      </c>
      <c r="I42" s="13">
        <f>IF($H42="","",IFERROR(IF(ISBLANK(INDIRECT("'"&amp;$Q$2&amp;"'!H"&amp;ROW())),"",INDIRECT("'"&amp;$Q$2&amp;"'!H"&amp;ROW())),""))</f>
        <v/>
      </c>
      <c r="J42" s="15">
        <f>IF(OR(H42="",I42=""),"",H42-I42)</f>
        <v/>
      </c>
      <c r="K42" s="16">
        <f>IFERROR(J42/I42,"")</f>
        <v/>
      </c>
      <c r="L42" s="13">
        <f>IFERROR(D42/C42,"")</f>
        <v/>
      </c>
      <c r="M42" s="13">
        <f>IFERROR(H42/D42*1000,"")</f>
        <v/>
      </c>
      <c r="N42" s="13" t="n">
        <v>648</v>
      </c>
      <c r="O42" s="15">
        <f>IFERROR(IF(OR(N42="",ISBLANK(INDIRECT("'"&amp;$Q$2&amp;"'!N"&amp;ROW()))),"",N42-INDIRECT("'"&amp;$Q$2&amp;"'!N"&amp;ROW())),"")</f>
        <v/>
      </c>
      <c r="P42" s="2" t="n"/>
      <c r="Q42" s="2" t="n"/>
      <c r="R42" s="2" t="n"/>
      <c r="S42" s="18">
        <f>IFERROR(IF(ISBLANK(INDIRECT("'"&amp;$Q$2&amp;"'!G"&amp;ROW())),"",INDIRECT("'"&amp;$Q$2&amp;"'!G"&amp;ROW())),"")</f>
        <v/>
      </c>
      <c r="T42" s="20">
        <f>IF(OR($G42="",$S42=""),"",$G42-$S42)</f>
        <v/>
      </c>
      <c r="U42" s="18">
        <f>IFERROR(IF(ISBLANK(INDIRECT("'"&amp;$Q$2&amp;"'!K"&amp;ROW())),"",INDIRECT("'"&amp;$Q$2&amp;"'!K"&amp;ROW())),"")</f>
        <v/>
      </c>
      <c r="V42" s="20">
        <f>IF(OR($K42="",$U42=""),"",$K42-$U42)</f>
        <v/>
      </c>
      <c r="W42" s="21">
        <f>IFERROR(IF(ISBLANK(INDIRECT("'"&amp;$Q$2&amp;"'!O"&amp;ROW())),"",INDIRECT("'"&amp;$Q$2&amp;"'!O"&amp;ROW())),"")</f>
        <v/>
      </c>
      <c r="X42" s="21">
        <f>IF(OR($O42="",$W42=""),"",$O42-$W42)</f>
        <v/>
      </c>
      <c r="Y42" s="2" t="n"/>
      <c r="Z42" s="2" t="n"/>
    </row>
    <row r="43" ht="14.25" customHeight="1" s="58">
      <c r="A43" s="12" t="inlineStr">
        <is>
          <t>Одноклассники</t>
        </is>
      </c>
      <c r="B43" s="12" t="inlineStr">
        <is>
          <t>Ямальский</t>
        </is>
      </c>
      <c r="C43" s="13" t="n">
        <v>47</v>
      </c>
      <c r="D43" s="13" t="n">
        <v>4493</v>
      </c>
      <c r="E43" s="13">
        <f>IF($D43="","",IFERROR(IF(ISBLANK(INDIRECT("'"&amp;$Q$2&amp;"'!D"&amp;ROW())),"",INDIRECT("'"&amp;$Q$2&amp;"'!D"&amp;ROW())),""))</f>
        <v/>
      </c>
      <c r="F43" s="15">
        <f>IF(OR(D43="",E43=""),"",D43-E43)</f>
        <v/>
      </c>
      <c r="G43" s="16">
        <f>IFERROR(F43/E43,"")</f>
        <v/>
      </c>
      <c r="H43" s="13" t="n">
        <v>53</v>
      </c>
      <c r="I43" s="13">
        <f>IF($H43="","",IFERROR(IF(ISBLANK(INDIRECT("'"&amp;$Q$2&amp;"'!H"&amp;ROW())),"",INDIRECT("'"&amp;$Q$2&amp;"'!H"&amp;ROW())),""))</f>
        <v/>
      </c>
      <c r="J43" s="15">
        <f>IF(OR(H43="",I43=""),"",H43-I43)</f>
        <v/>
      </c>
      <c r="K43" s="16">
        <f>IFERROR(J43/I43,"")</f>
        <v/>
      </c>
      <c r="L43" s="13">
        <f>IFERROR(D43/C43,"")</f>
        <v/>
      </c>
      <c r="M43" s="13">
        <f>IFERROR(H43/D43*1000,"")</f>
        <v/>
      </c>
      <c r="N43" s="13" t="n">
        <v>1951</v>
      </c>
      <c r="O43" s="15">
        <f>IFERROR(IF(OR(N43="",ISBLANK(INDIRECT("'"&amp;$Q$2&amp;"'!N"&amp;ROW()))),"",N43-INDIRECT("'"&amp;$Q$2&amp;"'!N"&amp;ROW())),"")</f>
        <v/>
      </c>
      <c r="P43" s="2" t="n"/>
      <c r="Q43" s="2" t="n"/>
      <c r="R43" s="2" t="n"/>
      <c r="S43" s="18">
        <f>IFERROR(IF(ISBLANK(INDIRECT("'"&amp;$Q$2&amp;"'!G"&amp;ROW())),"",INDIRECT("'"&amp;$Q$2&amp;"'!G"&amp;ROW())),"")</f>
        <v/>
      </c>
      <c r="T43" s="20">
        <f>IF(OR($G43="",$S43=""),"",$G43-$S43)</f>
        <v/>
      </c>
      <c r="U43" s="18">
        <f>IFERROR(IF(ISBLANK(INDIRECT("'"&amp;$Q$2&amp;"'!K"&amp;ROW())),"",INDIRECT("'"&amp;$Q$2&amp;"'!K"&amp;ROW())),"")</f>
        <v/>
      </c>
      <c r="V43" s="20">
        <f>IF(OR($K43="",$U43=""),"",$K43-$U43)</f>
        <v/>
      </c>
      <c r="W43" s="21">
        <f>IFERROR(IF(ISBLANK(INDIRECT("'"&amp;$Q$2&amp;"'!O"&amp;ROW())),"",INDIRECT("'"&amp;$Q$2&amp;"'!O"&amp;ROW())),"")</f>
        <v/>
      </c>
      <c r="X43" s="21">
        <f>IF(OR($O43="",$W43=""),"",$O43-$W43)</f>
        <v/>
      </c>
      <c r="Y43" s="2" t="n"/>
      <c r="Z43" s="2" t="n"/>
    </row>
    <row r="44" ht="14.25" customHeight="1" s="58">
      <c r="A44" s="12" t="inlineStr">
        <is>
          <t>Одноклассники</t>
        </is>
      </c>
      <c r="B44" s="12" t="inlineStr">
        <is>
          <t>Шурышкарский</t>
        </is>
      </c>
      <c r="C44" s="13" t="n">
        <v>51</v>
      </c>
      <c r="D44" s="13" t="n">
        <v>13849</v>
      </c>
      <c r="E44" s="13">
        <f>IF($D44="","",IFERROR(IF(ISBLANK(INDIRECT("'"&amp;$Q$2&amp;"'!D"&amp;ROW())),"",INDIRECT("'"&amp;$Q$2&amp;"'!D"&amp;ROW())),""))</f>
        <v/>
      </c>
      <c r="F44" s="15">
        <f>IF(OR(D44="",E44=""),"",D44-E44)</f>
        <v/>
      </c>
      <c r="G44" s="16">
        <f>IFERROR(F44/E44,"")</f>
        <v/>
      </c>
      <c r="H44" s="13" t="n">
        <v>374</v>
      </c>
      <c r="I44" s="13">
        <f>IF($H44="","",IFERROR(IF(ISBLANK(INDIRECT("'"&amp;$Q$2&amp;"'!H"&amp;ROW())),"",INDIRECT("'"&amp;$Q$2&amp;"'!H"&amp;ROW())),""))</f>
        <v/>
      </c>
      <c r="J44" s="15">
        <f>IF(OR(H44="",I44=""),"",H44-I44)</f>
        <v/>
      </c>
      <c r="K44" s="16">
        <f>IFERROR(J44/I44,"")</f>
        <v/>
      </c>
      <c r="L44" s="13">
        <f>IFERROR(D44/C44,"")</f>
        <v/>
      </c>
      <c r="M44" s="13">
        <f>IFERROR(H44/D44*1000,"")</f>
        <v/>
      </c>
      <c r="N44" s="13" t="n">
        <v>4886</v>
      </c>
      <c r="O44" s="15">
        <f>IFERROR(IF(OR(N44="",ISBLANK(INDIRECT("'"&amp;$Q$2&amp;"'!N"&amp;ROW()))),"",N44-INDIRECT("'"&amp;$Q$2&amp;"'!N"&amp;ROW())),"")</f>
        <v/>
      </c>
      <c r="P44" s="2" t="n"/>
      <c r="Q44" s="2" t="n"/>
      <c r="R44" s="2" t="n"/>
      <c r="S44" s="18">
        <f>IFERROR(IF(ISBLANK(INDIRECT("'"&amp;$Q$2&amp;"'!G"&amp;ROW())),"",INDIRECT("'"&amp;$Q$2&amp;"'!G"&amp;ROW())),"")</f>
        <v/>
      </c>
      <c r="T44" s="20">
        <f>IF(OR($G44="",$S44=""),"",$G44-$S44)</f>
        <v/>
      </c>
      <c r="U44" s="18">
        <f>IFERROR(IF(ISBLANK(INDIRECT("'"&amp;$Q$2&amp;"'!K"&amp;ROW())),"",INDIRECT("'"&amp;$Q$2&amp;"'!K"&amp;ROW())),"")</f>
        <v/>
      </c>
      <c r="V44" s="20">
        <f>IF(OR($K44="",$U44=""),"",$K44-$U44)</f>
        <v/>
      </c>
      <c r="W44" s="21">
        <f>IFERROR(IF(ISBLANK(INDIRECT("'"&amp;$Q$2&amp;"'!O"&amp;ROW())),"",INDIRECT("'"&amp;$Q$2&amp;"'!O"&amp;ROW())),"")</f>
        <v/>
      </c>
      <c r="X44" s="21">
        <f>IF(OR($O44="",$W44=""),"",$O44-$W44)</f>
        <v/>
      </c>
      <c r="Y44" s="2" t="n"/>
      <c r="Z44" s="2" t="n"/>
    </row>
    <row r="45" ht="14.25" customHeight="1" s="58">
      <c r="A45" s="12" t="inlineStr">
        <is>
          <t>Одноклассники</t>
        </is>
      </c>
      <c r="B45" s="12" t="inlineStr">
        <is>
          <t>Муравленко</t>
        </is>
      </c>
      <c r="C45" s="13" t="n">
        <v>80</v>
      </c>
      <c r="D45" s="13" t="n">
        <v>33212</v>
      </c>
      <c r="E45" s="13">
        <f>IF($D45="","",IFERROR(IF(ISBLANK(INDIRECT("'"&amp;$Q$2&amp;"'!D"&amp;ROW())),"",INDIRECT("'"&amp;$Q$2&amp;"'!D"&amp;ROW())),""))</f>
        <v/>
      </c>
      <c r="F45" s="15">
        <f>IF(OR(D45="",E45=""),"",D45-E45)</f>
        <v/>
      </c>
      <c r="G45" s="16">
        <f>IFERROR(F45/E45,"")</f>
        <v/>
      </c>
      <c r="H45" s="13" t="n">
        <v>566</v>
      </c>
      <c r="I45" s="13">
        <f>IF($H45="","",IFERROR(IF(ISBLANK(INDIRECT("'"&amp;$Q$2&amp;"'!H"&amp;ROW())),"",INDIRECT("'"&amp;$Q$2&amp;"'!H"&amp;ROW())),""))</f>
        <v/>
      </c>
      <c r="J45" s="15">
        <f>IF(OR(H45="",I45=""),"",H45-I45)</f>
        <v/>
      </c>
      <c r="K45" s="16">
        <f>IFERROR(J45/I45,"")</f>
        <v/>
      </c>
      <c r="L45" s="13">
        <f>IFERROR(D45/C45,"")</f>
        <v/>
      </c>
      <c r="M45" s="13">
        <f>IFERROR(H45/D45*1000,"")</f>
        <v/>
      </c>
      <c r="N45" s="13" t="n">
        <v>3737</v>
      </c>
      <c r="O45" s="15">
        <f>IFERROR(IF(OR(N45="",ISBLANK(INDIRECT("'"&amp;$Q$2&amp;"'!N"&amp;ROW()))),"",N45-INDIRECT("'"&amp;$Q$2&amp;"'!N"&amp;ROW())),"")</f>
        <v/>
      </c>
      <c r="P45" s="2" t="n"/>
      <c r="Q45" s="2" t="n"/>
      <c r="R45" s="2" t="n"/>
      <c r="S45" s="18">
        <f>IFERROR(IF(ISBLANK(INDIRECT("'"&amp;$Q$2&amp;"'!G"&amp;ROW())),"",INDIRECT("'"&amp;$Q$2&amp;"'!G"&amp;ROW())),"")</f>
        <v/>
      </c>
      <c r="T45" s="20">
        <f>IF(OR($G45="",$S45=""),"",$G45-$S45)</f>
        <v/>
      </c>
      <c r="U45" s="18">
        <f>IFERROR(IF(ISBLANK(INDIRECT("'"&amp;$Q$2&amp;"'!K"&amp;ROW())),"",INDIRECT("'"&amp;$Q$2&amp;"'!K"&amp;ROW())),"")</f>
        <v/>
      </c>
      <c r="V45" s="20">
        <f>IF(OR($K45="",$U45=""),"",$K45-$U45)</f>
        <v/>
      </c>
      <c r="W45" s="21">
        <f>IFERROR(IF(ISBLANK(INDIRECT("'"&amp;$Q$2&amp;"'!O"&amp;ROW())),"",INDIRECT("'"&amp;$Q$2&amp;"'!O"&amp;ROW())),"")</f>
        <v/>
      </c>
      <c r="X45" s="21">
        <f>IF(OR($O45="",$W45=""),"",$O45-$W45)</f>
        <v/>
      </c>
      <c r="Y45" s="2" t="n"/>
      <c r="Z45" s="2" t="n"/>
    </row>
    <row r="46" ht="14.25" customHeight="1" s="58">
      <c r="A46" s="12" t="inlineStr">
        <is>
          <t>Одноклассники</t>
        </is>
      </c>
      <c r="B46" s="12" t="inlineStr">
        <is>
          <t>Губкинский</t>
        </is>
      </c>
      <c r="C46" s="13" t="n">
        <v>67</v>
      </c>
      <c r="D46" s="13" t="n">
        <v>27413</v>
      </c>
      <c r="E46" s="13">
        <f>IF($D46="","",IFERROR(IF(ISBLANK(INDIRECT("'"&amp;$Q$2&amp;"'!D"&amp;ROW())),"",INDIRECT("'"&amp;$Q$2&amp;"'!D"&amp;ROW())),""))</f>
        <v/>
      </c>
      <c r="F46" s="15">
        <f>IF(OR(D46="",E46=""),"",D46-E46)</f>
        <v/>
      </c>
      <c r="G46" s="16">
        <f>IFERROR(F46/E46,"")</f>
        <v/>
      </c>
      <c r="H46" s="13" t="n">
        <v>660</v>
      </c>
      <c r="I46" s="13">
        <f>IF($H46="","",IFERROR(IF(ISBLANK(INDIRECT("'"&amp;$Q$2&amp;"'!H"&amp;ROW())),"",INDIRECT("'"&amp;$Q$2&amp;"'!H"&amp;ROW())),""))</f>
        <v/>
      </c>
      <c r="J46" s="15">
        <f>IF(OR(H46="",I46=""),"",H46-I46)</f>
        <v/>
      </c>
      <c r="K46" s="16">
        <f>IFERROR(J46/I46,"")</f>
        <v/>
      </c>
      <c r="L46" s="13">
        <f>IFERROR(D46/C46,"")</f>
        <v/>
      </c>
      <c r="M46" s="13">
        <f>IFERROR(H46/D46*1000,"")</f>
        <v/>
      </c>
      <c r="N46" s="13" t="n">
        <v>4502</v>
      </c>
      <c r="O46" s="15">
        <f>IFERROR(IF(OR(N46="",ISBLANK(INDIRECT("'"&amp;$Q$2&amp;"'!N"&amp;ROW()))),"",N46-INDIRECT("'"&amp;$Q$2&amp;"'!N"&amp;ROW())),"")</f>
        <v/>
      </c>
      <c r="P46" s="2" t="n"/>
      <c r="Q46" s="2" t="n"/>
      <c r="R46" s="2" t="n"/>
      <c r="S46" s="18">
        <f>IFERROR(IF(ISBLANK(INDIRECT("'"&amp;$Q$2&amp;"'!G"&amp;ROW())),"",INDIRECT("'"&amp;$Q$2&amp;"'!G"&amp;ROW())),"")</f>
        <v/>
      </c>
      <c r="T46" s="20">
        <f>IF(OR($G46="",$S46=""),"",$G46-$S46)</f>
        <v/>
      </c>
      <c r="U46" s="18">
        <f>IFERROR(IF(ISBLANK(INDIRECT("'"&amp;$Q$2&amp;"'!K"&amp;ROW())),"",INDIRECT("'"&amp;$Q$2&amp;"'!K"&amp;ROW())),"")</f>
        <v/>
      </c>
      <c r="V46" s="20">
        <f>IF(OR($K46="",$U46=""),"",$K46-$U46)</f>
        <v/>
      </c>
      <c r="W46" s="21">
        <f>IFERROR(IF(ISBLANK(INDIRECT("'"&amp;$Q$2&amp;"'!O"&amp;ROW())),"",INDIRECT("'"&amp;$Q$2&amp;"'!O"&amp;ROW())),"")</f>
        <v/>
      </c>
      <c r="X46" s="21">
        <f>IF(OR($O46="",$W46=""),"",$O46-$W46)</f>
        <v/>
      </c>
      <c r="Y46" s="2" t="n"/>
      <c r="Z46" s="2" t="n"/>
    </row>
    <row r="47" ht="14.25" customHeight="1" s="58">
      <c r="A47" s="12" t="inlineStr">
        <is>
          <t>Одноклассники</t>
        </is>
      </c>
      <c r="B47" s="12" t="inlineStr">
        <is>
          <t>Нярьяна Нгэрм</t>
        </is>
      </c>
      <c r="C47" s="13" t="n">
        <v>3</v>
      </c>
      <c r="D47" s="13" t="n">
        <v>569</v>
      </c>
      <c r="E47" s="13">
        <f>IF($D47="","",IFERROR(IF(ISBLANK(INDIRECT("'"&amp;$Q$2&amp;"'!D"&amp;ROW())),"",INDIRECT("'"&amp;$Q$2&amp;"'!D"&amp;ROW())),""))</f>
        <v/>
      </c>
      <c r="F47" s="15">
        <f>IF(OR(D47="",E47=""),"",D47-E47)</f>
        <v/>
      </c>
      <c r="G47" s="16">
        <f>IFERROR(F47/E47,"")</f>
        <v/>
      </c>
      <c r="H47" s="13" t="n">
        <v>99</v>
      </c>
      <c r="I47" s="13">
        <f>IF($H47="","",IFERROR(IF(ISBLANK(INDIRECT("'"&amp;$Q$2&amp;"'!H"&amp;ROW())),"",INDIRECT("'"&amp;$Q$2&amp;"'!H"&amp;ROW())),""))</f>
        <v/>
      </c>
      <c r="J47" s="15">
        <f>IF(OR(H47="",I47=""),"",H47-I47)</f>
        <v/>
      </c>
      <c r="K47" s="16">
        <f>IFERROR(J47/I47,"")</f>
        <v/>
      </c>
      <c r="L47" s="13">
        <f>IFERROR(D47/C47,"")</f>
        <v/>
      </c>
      <c r="M47" s="13">
        <f>IFERROR(H47/D47*1000,"")</f>
        <v/>
      </c>
      <c r="N47" s="13" t="n">
        <v>854</v>
      </c>
      <c r="O47" s="15">
        <f>IFERROR(IF(OR(N47="",ISBLANK(INDIRECT("'"&amp;$Q$2&amp;"'!N"&amp;ROW()))),"",N47-INDIRECT("'"&amp;$Q$2&amp;"'!N"&amp;ROW())),"")</f>
        <v/>
      </c>
      <c r="P47" s="2" t="n"/>
      <c r="Q47" s="2" t="n"/>
      <c r="R47" s="2" t="n"/>
      <c r="S47" s="18">
        <f>IFERROR(IF(ISBLANK(INDIRECT("'"&amp;$Q$2&amp;"'!G"&amp;ROW())),"",INDIRECT("'"&amp;$Q$2&amp;"'!G"&amp;ROW())),"")</f>
        <v/>
      </c>
      <c r="T47" s="20">
        <f>IF(OR($G47="",$S47=""),"",$G47-$S47)</f>
        <v/>
      </c>
      <c r="U47" s="18">
        <f>IFERROR(IF(ISBLANK(INDIRECT("'"&amp;$Q$2&amp;"'!K"&amp;ROW())),"",INDIRECT("'"&amp;$Q$2&amp;"'!K"&amp;ROW())),"")</f>
        <v/>
      </c>
      <c r="V47" s="20">
        <f>IF(OR($K47="",$U47=""),"",$K47-$U47)</f>
        <v/>
      </c>
      <c r="W47" s="21">
        <f>IFERROR(IF(ISBLANK(INDIRECT("'"&amp;$Q$2&amp;"'!O"&amp;ROW())),"",INDIRECT("'"&amp;$Q$2&amp;"'!O"&amp;ROW())),"")</f>
        <v/>
      </c>
      <c r="X47" s="21">
        <f>IF(OR($O47="",$W47=""),"",$O47-$W47)</f>
        <v/>
      </c>
      <c r="Y47" s="2" t="n"/>
      <c r="Z47" s="2" t="n"/>
    </row>
    <row r="48" ht="14.25" customHeight="1" s="58">
      <c r="A48" s="12" t="inlineStr">
        <is>
          <t>Одноклассники</t>
        </is>
      </c>
      <c r="B48" s="12" t="inlineStr">
        <is>
          <t>Лух Авт</t>
        </is>
      </c>
      <c r="C48" s="13" t="n">
        <v>6</v>
      </c>
      <c r="D48" s="13" t="n">
        <v>998</v>
      </c>
      <c r="E48" s="13">
        <f>IF($D48="","",IFERROR(IF(ISBLANK(INDIRECT("'"&amp;$Q$2&amp;"'!D"&amp;ROW())),"",INDIRECT("'"&amp;$Q$2&amp;"'!D"&amp;ROW())),""))</f>
        <v/>
      </c>
      <c r="F48" s="15">
        <f>IF(OR(D48="",E48=""),"",D48-E48)</f>
        <v/>
      </c>
      <c r="G48" s="16">
        <f>IFERROR(F48/E48,"")</f>
        <v/>
      </c>
      <c r="H48" s="13" t="n">
        <v>138</v>
      </c>
      <c r="I48" s="13">
        <f>IF($H48="","",IFERROR(IF(ISBLANK(INDIRECT("'"&amp;$Q$2&amp;"'!H"&amp;ROW())),"",INDIRECT("'"&amp;$Q$2&amp;"'!H"&amp;ROW())),""))</f>
        <v/>
      </c>
      <c r="J48" s="15">
        <f>IF(OR(H48="",I48=""),"",H48-I48)</f>
        <v/>
      </c>
      <c r="K48" s="16">
        <f>IFERROR(J48/I48,"")</f>
        <v/>
      </c>
      <c r="L48" s="13">
        <f>IFERROR(D48/C48,"")</f>
        <v/>
      </c>
      <c r="M48" s="13">
        <f>IFERROR(H48/D48*1000,"")</f>
        <v/>
      </c>
      <c r="N48" s="13" t="n">
        <v>858</v>
      </c>
      <c r="O48" s="15">
        <f>IFERROR(IF(OR(N48="",ISBLANK(INDIRECT("'"&amp;$Q$2&amp;"'!N"&amp;ROW()))),"",N48-INDIRECT("'"&amp;$Q$2&amp;"'!N"&amp;ROW())),"")</f>
        <v/>
      </c>
      <c r="P48" s="2" t="n"/>
      <c r="Q48" s="2" t="n"/>
      <c r="R48" s="2" t="n"/>
      <c r="S48" s="18">
        <f>IFERROR(IF(ISBLANK(INDIRECT("'"&amp;$Q$2&amp;"'!G"&amp;ROW())),"",INDIRECT("'"&amp;$Q$2&amp;"'!G"&amp;ROW())),"")</f>
        <v/>
      </c>
      <c r="T48" s="20">
        <f>IF(OR($G48="",$S48=""),"",$G48-$S48)</f>
        <v/>
      </c>
      <c r="U48" s="18">
        <f>IFERROR(IF(ISBLANK(INDIRECT("'"&amp;$Q$2&amp;"'!K"&amp;ROW())),"",INDIRECT("'"&amp;$Q$2&amp;"'!K"&amp;ROW())),"")</f>
        <v/>
      </c>
      <c r="V48" s="20">
        <f>IF(OR($K48="",$U48=""),"",$K48-$U48)</f>
        <v/>
      </c>
      <c r="W48" s="21">
        <f>IFERROR(IF(ISBLANK(INDIRECT("'"&amp;$Q$2&amp;"'!O"&amp;ROW())),"",INDIRECT("'"&amp;$Q$2&amp;"'!O"&amp;ROW())),"")</f>
        <v/>
      </c>
      <c r="X48" s="21">
        <f>IF(OR($O48="",$W48=""),"",$O48-$W48)</f>
        <v/>
      </c>
      <c r="Y48" s="2" t="n"/>
      <c r="Z48" s="2" t="n"/>
    </row>
    <row r="49" ht="14.25" customHeight="1" s="58">
      <c r="A49" s="12" t="inlineStr">
        <is>
          <t>Одноклассники</t>
        </is>
      </c>
      <c r="B49" s="12" t="inlineStr">
        <is>
          <t>МК-Ямал</t>
        </is>
      </c>
      <c r="C49" s="13" t="n">
        <v>234</v>
      </c>
      <c r="D49" s="13" t="n">
        <v>6982</v>
      </c>
      <c r="E49" s="13">
        <f>IF($D49="","",IFERROR(IF(ISBLANK(INDIRECT("'"&amp;$Q$2&amp;"'!D"&amp;ROW())),"",INDIRECT("'"&amp;$Q$2&amp;"'!D"&amp;ROW())),""))</f>
        <v/>
      </c>
      <c r="F49" s="15">
        <f>IF(OR(D49="",E49=""),"",D49-E49)</f>
        <v/>
      </c>
      <c r="G49" s="16">
        <f>IFERROR(F49/E49,"")</f>
        <v/>
      </c>
      <c r="H49" s="13" t="n">
        <v>1</v>
      </c>
      <c r="I49" s="13">
        <f>IF($H49="","",IFERROR(IF(ISBLANK(INDIRECT("'"&amp;$Q$2&amp;"'!H"&amp;ROW())),"",INDIRECT("'"&amp;$Q$2&amp;"'!H"&amp;ROW())),""))</f>
        <v/>
      </c>
      <c r="J49" s="15">
        <f>IF(OR(H49="",I49=""),"",H49-I49)</f>
        <v/>
      </c>
      <c r="K49" s="16">
        <f>IFERROR(J49/I49,"")</f>
        <v/>
      </c>
      <c r="L49" s="13">
        <f>IFERROR(D49/C49,"")</f>
        <v/>
      </c>
      <c r="M49" s="13">
        <f>IFERROR(H49/D49*1000,"")</f>
        <v/>
      </c>
      <c r="N49" s="13" t="n">
        <v>4815</v>
      </c>
      <c r="O49" s="15">
        <f>IFERROR(IF(OR(N49="",ISBLANK(INDIRECT("'"&amp;$Q$2&amp;"'!N"&amp;ROW()))),"",N49-INDIRECT("'"&amp;$Q$2&amp;"'!N"&amp;ROW())),"")</f>
        <v/>
      </c>
      <c r="P49" s="2" t="n"/>
      <c r="Q49" s="2" t="n"/>
      <c r="R49" s="2" t="n"/>
      <c r="S49" s="18">
        <f>IFERROR(IF(ISBLANK(INDIRECT("'"&amp;$Q$2&amp;"'!G"&amp;ROW())),"",INDIRECT("'"&amp;$Q$2&amp;"'!G"&amp;ROW())),"")</f>
        <v/>
      </c>
      <c r="T49" s="20">
        <f>IF(OR($G49="",$S49=""),"",$G49-$S49)</f>
        <v/>
      </c>
      <c r="U49" s="18">
        <f>IFERROR(IF(ISBLANK(INDIRECT("'"&amp;$Q$2&amp;"'!K"&amp;ROW())),"",INDIRECT("'"&amp;$Q$2&amp;"'!K"&amp;ROW())),"")</f>
        <v/>
      </c>
      <c r="V49" s="20">
        <f>IF(OR($K49="",$U49=""),"",$K49-$U49)</f>
        <v/>
      </c>
      <c r="W49" s="21">
        <f>IFERROR(IF(ISBLANK(INDIRECT("'"&amp;$Q$2&amp;"'!O"&amp;ROW())),"",INDIRECT("'"&amp;$Q$2&amp;"'!O"&amp;ROW())),"")</f>
        <v/>
      </c>
      <c r="X49" s="21">
        <f>IF(OR($O49="",$W49=""),"",$O49-$W49)</f>
        <v/>
      </c>
      <c r="Y49" s="2" t="n"/>
      <c r="Z49" s="2" t="n"/>
    </row>
    <row r="50" ht="14.25" customHeight="1" s="58">
      <c r="A50" s="12" t="inlineStr">
        <is>
          <t>Одноклассники</t>
        </is>
      </c>
      <c r="B50" s="12" t="inlineStr">
        <is>
          <t>Морошка</t>
        </is>
      </c>
      <c r="C50" s="13" t="n">
        <v>9</v>
      </c>
      <c r="D50" s="13" t="n">
        <v>269</v>
      </c>
      <c r="E50" s="13">
        <f>IF($D50="","",IFERROR(IF(ISBLANK(INDIRECT("'"&amp;$Q$2&amp;"'!D"&amp;ROW())),"",INDIRECT("'"&amp;$Q$2&amp;"'!D"&amp;ROW())),""))</f>
        <v/>
      </c>
      <c r="F50" s="15">
        <f>IF(OR(D50="",E50=""),"",D50-E50)</f>
        <v/>
      </c>
      <c r="G50" s="16">
        <f>IFERROR(F50/E50,"")</f>
        <v/>
      </c>
      <c r="H50" s="13" t="n">
        <v>9</v>
      </c>
      <c r="I50" s="13">
        <f>IF($H50="","",IFERROR(IF(ISBLANK(INDIRECT("'"&amp;$Q$2&amp;"'!H"&amp;ROW())),"",INDIRECT("'"&amp;$Q$2&amp;"'!H"&amp;ROW())),""))</f>
        <v/>
      </c>
      <c r="J50" s="15">
        <f>IF(OR(H50="",I50=""),"",H50-I50)</f>
        <v/>
      </c>
      <c r="K50" s="16">
        <f>IFERROR(J50/I50,"")</f>
        <v/>
      </c>
      <c r="L50" s="13">
        <f>IFERROR(D50/C50,"")</f>
        <v/>
      </c>
      <c r="M50" s="13">
        <f>IFERROR(H50/D50*1000,"")</f>
        <v/>
      </c>
      <c r="N50" s="13" t="n">
        <v>42</v>
      </c>
      <c r="O50" s="15">
        <f>IFERROR(IF(OR(N50="",ISBLANK(INDIRECT("'"&amp;$Q$2&amp;"'!N"&amp;ROW()))),"",N50-INDIRECT("'"&amp;$Q$2&amp;"'!N"&amp;ROW())),"")</f>
        <v/>
      </c>
      <c r="P50" s="2" t="n"/>
      <c r="Q50" s="2" t="n"/>
      <c r="R50" s="2" t="n"/>
      <c r="S50" s="18">
        <f>IFERROR(IF(ISBLANK(INDIRECT("'"&amp;$Q$2&amp;"'!G"&amp;ROW())),"",INDIRECT("'"&amp;$Q$2&amp;"'!G"&amp;ROW())),"")</f>
        <v/>
      </c>
      <c r="T50" s="20">
        <f>IF(OR($G50="",$S50=""),"",$G50-$S50)</f>
        <v/>
      </c>
      <c r="U50" s="18">
        <f>IFERROR(IF(ISBLANK(INDIRECT("'"&amp;$Q$2&amp;"'!K"&amp;ROW())),"",INDIRECT("'"&amp;$Q$2&amp;"'!K"&amp;ROW())),"")</f>
        <v/>
      </c>
      <c r="V50" s="20">
        <f>IF(OR($K50="",$U50=""),"",$K50-$U50)</f>
        <v/>
      </c>
      <c r="W50" s="21">
        <f>IFERROR(IF(ISBLANK(INDIRECT("'"&amp;$Q$2&amp;"'!O"&amp;ROW())),"",INDIRECT("'"&amp;$Q$2&amp;"'!O"&amp;ROW())),"")</f>
        <v/>
      </c>
      <c r="X50" s="21">
        <f>IF(OR($O50="",$W50=""),"",$O50-$W50)</f>
        <v/>
      </c>
      <c r="Y50" s="2" t="n"/>
      <c r="Z50" s="2" t="n"/>
    </row>
    <row r="51" ht="14.25" customHeight="1" s="58">
      <c r="A51" s="25" t="n"/>
      <c r="B51" s="25" t="inlineStr">
        <is>
          <t>Итого Одноклассники</t>
        </is>
      </c>
      <c r="C51" s="26">
        <f>SUM(C31:C50)</f>
        <v/>
      </c>
      <c r="D51" s="26">
        <f>SUM(D31:D50)</f>
        <v/>
      </c>
      <c r="E51" s="26">
        <f>SUM(E31:E50)</f>
        <v/>
      </c>
      <c r="F51" s="27">
        <f>SUM(F31:F50)</f>
        <v/>
      </c>
      <c r="G51" s="28">
        <f>IF(C51=0,"",IFERROR(F51/E51,""))</f>
        <v/>
      </c>
      <c r="H51" s="26">
        <f>SUM(H31:H50)</f>
        <v/>
      </c>
      <c r="I51" s="26">
        <f>SUM(I31:I50)</f>
        <v/>
      </c>
      <c r="J51" s="27">
        <f>SUM(J31:J50)</f>
        <v/>
      </c>
      <c r="K51" s="28">
        <f>IF(C51=0,"",IFERROR(J51/I51,""))</f>
        <v/>
      </c>
      <c r="L51" s="26">
        <f>IFERROR(D51/C51,"")</f>
        <v/>
      </c>
      <c r="M51" s="26">
        <f>IFERROR(H51/D51*1000,"")</f>
        <v/>
      </c>
      <c r="N51" s="26">
        <f>SUM(N31:N50)</f>
        <v/>
      </c>
      <c r="O51" s="27">
        <f>SUM(O31:O50)</f>
        <v/>
      </c>
      <c r="P51" s="2" t="n"/>
      <c r="Q51" s="2" t="n"/>
      <c r="R51" s="2" t="n"/>
      <c r="S51" s="29">
        <f>IFERROR(IF(ISBLANK(INDIRECT("'"&amp;$Q$2&amp;"'!G"&amp;ROW())),"",INDIRECT("'"&amp;$Q$2&amp;"'!G"&amp;ROW())),"")</f>
        <v/>
      </c>
      <c r="T51" s="30">
        <f>IF(OR($G51="",$S51=""),"",$G51-$S51)</f>
        <v/>
      </c>
      <c r="U51" s="29">
        <f>IFERROR(IF(ISBLANK(INDIRECT("'"&amp;$Q$2&amp;"'!K"&amp;ROW())),"",INDIRECT("'"&amp;$Q$2&amp;"'!K"&amp;ROW())),"")</f>
        <v/>
      </c>
      <c r="V51" s="30">
        <f>IF(OR($K51="",$U51=""),"",$K51-$U51)</f>
        <v/>
      </c>
      <c r="W51" s="31">
        <f>IFERROR(IF(ISBLANK(INDIRECT("'"&amp;$Q$2&amp;"'!O"&amp;ROW())),"",INDIRECT("'"&amp;$Q$2&amp;"'!O"&amp;ROW())),"")</f>
        <v/>
      </c>
      <c r="X51" s="31">
        <f>IF(OR(C51=0,$O51="",$W51=""),"",$O51-$W51)</f>
        <v/>
      </c>
      <c r="Y51" s="2" t="n"/>
      <c r="Z51" s="2" t="n"/>
    </row>
    <row r="52" ht="14.25" customHeight="1" s="58">
      <c r="A52" s="12" t="inlineStr">
        <is>
          <t>Telegram</t>
        </is>
      </c>
      <c r="B52" s="12" t="inlineStr">
        <is>
          <t>Ямал-Медиа</t>
        </is>
      </c>
      <c r="C52" s="13" t="n">
        <v>141</v>
      </c>
      <c r="D52" s="13" t="n">
        <v>34890</v>
      </c>
      <c r="E52" s="13">
        <f>IF($D52="","",IFERROR(IF(ISBLANK(INDIRECT("'"&amp;$Q$2&amp;"'!D"&amp;ROW())),"",INDIRECT("'"&amp;$Q$2&amp;"'!D"&amp;ROW())),""))</f>
        <v/>
      </c>
      <c r="F52" s="15">
        <f>IF(OR(D52="",E52=""),"",D52-E52)</f>
        <v/>
      </c>
      <c r="G52" s="16">
        <f>IFERROR(F52/E52,"")</f>
        <v/>
      </c>
      <c r="H52" s="13" t="n">
        <v>229</v>
      </c>
      <c r="I52" s="13">
        <f>IF($H52="","",IFERROR(IF(ISBLANK(INDIRECT("'"&amp;$Q$2&amp;"'!H"&amp;ROW())),"",INDIRECT("'"&amp;$Q$2&amp;"'!H"&amp;ROW())),""))</f>
        <v/>
      </c>
      <c r="J52" s="15">
        <f>IF(OR(H52="",I52=""),"",H52-I52)</f>
        <v/>
      </c>
      <c r="K52" s="16">
        <f>IFERROR(J52/I52,"")</f>
        <v/>
      </c>
      <c r="L52" s="13">
        <f>IFERROR(D52/C52,"")</f>
        <v/>
      </c>
      <c r="M52" s="13">
        <f>IFERROR(H52/D52*1000,"")</f>
        <v/>
      </c>
      <c r="N52" s="13" t="n">
        <v>11821</v>
      </c>
      <c r="O52" s="15">
        <f>IFERROR(IF(OR(N52="",ISBLANK(INDIRECT("'"&amp;$Q$2&amp;"'!N"&amp;ROW()))),"",N52-INDIRECT("'"&amp;$Q$2&amp;"'!N"&amp;ROW())),"")</f>
        <v/>
      </c>
      <c r="P52" s="2" t="n"/>
      <c r="Q52" s="2" t="n"/>
      <c r="R52" s="2" t="n"/>
      <c r="S52" s="18">
        <f>IFERROR(IF(ISBLANK(INDIRECT("'"&amp;$Q$2&amp;"'!G"&amp;ROW())),"",INDIRECT("'"&amp;$Q$2&amp;"'!G"&amp;ROW())),"")</f>
        <v/>
      </c>
      <c r="T52" s="20">
        <f>IF(OR($G52="",$S52=""),"",$G52-$S52)</f>
        <v/>
      </c>
      <c r="U52" s="18">
        <f>IFERROR(IF(ISBLANK(INDIRECT("'"&amp;$Q$2&amp;"'!K"&amp;ROW())),"",INDIRECT("'"&amp;$Q$2&amp;"'!K"&amp;ROW())),"")</f>
        <v/>
      </c>
      <c r="V52" s="20">
        <f>IF(OR($K52="",$U52=""),"",$K52-$U52)</f>
        <v/>
      </c>
      <c r="W52" s="21">
        <f>IFERROR(IF(ISBLANK(INDIRECT("'"&amp;$Q$2&amp;"'!O"&amp;ROW())),"",INDIRECT("'"&amp;$Q$2&amp;"'!O"&amp;ROW())),"")</f>
        <v/>
      </c>
      <c r="X52" s="21">
        <f>IF(OR($O52="",$W52=""),"",$O52-$W52)</f>
        <v/>
      </c>
      <c r="Y52" s="2" t="n"/>
      <c r="Z52" s="2" t="n"/>
    </row>
    <row r="53" ht="14.25" customHeight="1" s="58">
      <c r="A53" s="12" t="inlineStr">
        <is>
          <t>Telegram</t>
        </is>
      </c>
      <c r="B53" s="12" t="inlineStr">
        <is>
          <t>Север-Пресс</t>
        </is>
      </c>
      <c r="C53" s="13" t="n">
        <v>138</v>
      </c>
      <c r="D53" s="13" t="n">
        <v>32854</v>
      </c>
      <c r="E53" s="13">
        <f>IF($D53="","",IFERROR(IF(ISBLANK(INDIRECT("'"&amp;$Q$2&amp;"'!D"&amp;ROW())),"",INDIRECT("'"&amp;$Q$2&amp;"'!D"&amp;ROW())),""))</f>
        <v/>
      </c>
      <c r="F53" s="15">
        <f>IF(OR(D53="",E53=""),"",D53-E53)</f>
        <v/>
      </c>
      <c r="G53" s="16">
        <f>IFERROR(F53/E53,"")</f>
        <v/>
      </c>
      <c r="H53" s="13" t="n">
        <v>36</v>
      </c>
      <c r="I53" s="13">
        <f>IF($H53="","",IFERROR(IF(ISBLANK(INDIRECT("'"&amp;$Q$2&amp;"'!H"&amp;ROW())),"",INDIRECT("'"&amp;$Q$2&amp;"'!H"&amp;ROW())),""))</f>
        <v/>
      </c>
      <c r="J53" s="15">
        <f>IF(OR(H53="",I53=""),"",H53-I53)</f>
        <v/>
      </c>
      <c r="K53" s="16">
        <f>IFERROR(J53/I53,"")</f>
        <v/>
      </c>
      <c r="L53" s="13">
        <f>IFERROR(D53/C53,"")</f>
        <v/>
      </c>
      <c r="M53" s="13">
        <f>IFERROR(H53/D53*1000,"")</f>
        <v/>
      </c>
      <c r="N53" s="13" t="n">
        <v>4825</v>
      </c>
      <c r="O53" s="15">
        <f>IFERROR(IF(OR(N53="",ISBLANK(INDIRECT("'"&amp;$Q$2&amp;"'!N"&amp;ROW()))),"",N53-INDIRECT("'"&amp;$Q$2&amp;"'!N"&amp;ROW())),"")</f>
        <v/>
      </c>
      <c r="P53" s="2" t="n"/>
      <c r="Q53" s="2" t="n"/>
      <c r="R53" s="2" t="n"/>
      <c r="S53" s="18">
        <f>IFERROR(IF(ISBLANK(INDIRECT("'"&amp;$Q$2&amp;"'!G"&amp;ROW())),"",INDIRECT("'"&amp;$Q$2&amp;"'!G"&amp;ROW())),"")</f>
        <v/>
      </c>
      <c r="T53" s="20">
        <f>IF(OR($G53="",$S53=""),"",$G53-$S53)</f>
        <v/>
      </c>
      <c r="U53" s="18">
        <f>IFERROR(IF(ISBLANK(INDIRECT("'"&amp;$Q$2&amp;"'!K"&amp;ROW())),"",INDIRECT("'"&amp;$Q$2&amp;"'!K"&amp;ROW())),"")</f>
        <v/>
      </c>
      <c r="V53" s="20">
        <f>IF(OR($K53="",$U53=""),"",$K53-$U53)</f>
        <v/>
      </c>
      <c r="W53" s="21">
        <f>IFERROR(IF(ISBLANK(INDIRECT("'"&amp;$Q$2&amp;"'!O"&amp;ROW())),"",INDIRECT("'"&amp;$Q$2&amp;"'!O"&amp;ROW())),"")</f>
        <v/>
      </c>
      <c r="X53" s="21">
        <f>IF(OR($O53="",$W53=""),"",$O53-$W53)</f>
        <v/>
      </c>
      <c r="Y53" s="2" t="n"/>
      <c r="Z53" s="2" t="n"/>
    </row>
    <row r="54" ht="14.25" customHeight="1" s="58">
      <c r="A54" s="12" t="inlineStr">
        <is>
          <t>Telegram</t>
        </is>
      </c>
      <c r="B54" s="12" t="inlineStr">
        <is>
          <t>Красный Север</t>
        </is>
      </c>
      <c r="C54" s="13" t="n">
        <v>82</v>
      </c>
      <c r="D54" s="13" t="n">
        <v>1527</v>
      </c>
      <c r="E54" s="13">
        <f>IF($D54="","",IFERROR(IF(ISBLANK(INDIRECT("'"&amp;$Q$2&amp;"'!D"&amp;ROW())),"",INDIRECT("'"&amp;$Q$2&amp;"'!D"&amp;ROW())),""))</f>
        <v/>
      </c>
      <c r="F54" s="15">
        <f>IF(OR(D54="",E54=""),"",D54-E54)</f>
        <v/>
      </c>
      <c r="G54" s="16">
        <f>IFERROR(F54/E54,"")</f>
        <v/>
      </c>
      <c r="H54" s="13" t="n">
        <v>4</v>
      </c>
      <c r="I54" s="13">
        <f>IF($H54="","",IFERROR(IF(ISBLANK(INDIRECT("'"&amp;$Q$2&amp;"'!H"&amp;ROW())),"",INDIRECT("'"&amp;$Q$2&amp;"'!H"&amp;ROW())),""))</f>
        <v/>
      </c>
      <c r="J54" s="15">
        <f>IF(OR(H54="",I54=""),"",H54-I54)</f>
        <v/>
      </c>
      <c r="K54" s="16">
        <f>IFERROR(J54/I54,"")</f>
        <v/>
      </c>
      <c r="L54" s="13">
        <f>IFERROR(D54/C54,"")</f>
        <v/>
      </c>
      <c r="M54" s="13">
        <f>IFERROR(H54/D54*1000,"")</f>
        <v/>
      </c>
      <c r="N54" s="13" t="n">
        <v>873</v>
      </c>
      <c r="O54" s="15">
        <f>IFERROR(IF(OR(N54="",ISBLANK(INDIRECT("'"&amp;$Q$2&amp;"'!N"&amp;ROW()))),"",N54-INDIRECT("'"&amp;$Q$2&amp;"'!N"&amp;ROW())),"")</f>
        <v/>
      </c>
      <c r="P54" s="2" t="n"/>
      <c r="Q54" s="2" t="n"/>
      <c r="R54" s="2" t="n"/>
      <c r="S54" s="18">
        <f>IFERROR(IF(ISBLANK(INDIRECT("'"&amp;$Q$2&amp;"'!G"&amp;ROW())),"",INDIRECT("'"&amp;$Q$2&amp;"'!G"&amp;ROW())),"")</f>
        <v/>
      </c>
      <c r="T54" s="20">
        <f>IF(OR($G54="",$S54=""),"",$G54-$S54)</f>
        <v/>
      </c>
      <c r="U54" s="18">
        <f>IFERROR(IF(ISBLANK(INDIRECT("'"&amp;$Q$2&amp;"'!K"&amp;ROW())),"",INDIRECT("'"&amp;$Q$2&amp;"'!K"&amp;ROW())),"")</f>
        <v/>
      </c>
      <c r="V54" s="20">
        <f>IF(OR($K54="",$U54=""),"",$K54-$U54)</f>
        <v/>
      </c>
      <c r="W54" s="21">
        <f>IFERROR(IF(ISBLANK(INDIRECT("'"&amp;$Q$2&amp;"'!O"&amp;ROW())),"",INDIRECT("'"&amp;$Q$2&amp;"'!O"&amp;ROW())),"")</f>
        <v/>
      </c>
      <c r="X54" s="21">
        <f>IF(OR($O54="",$W54=""),"",$O54-$W54)</f>
        <v/>
      </c>
      <c r="Y54" s="2" t="n"/>
      <c r="Z54" s="2" t="n"/>
    </row>
    <row r="55" ht="14.25" customHeight="1" s="58">
      <c r="A55" s="12" t="inlineStr">
        <is>
          <t>Telegram</t>
        </is>
      </c>
      <c r="B55" s="12" t="inlineStr">
        <is>
          <t>СМП</t>
        </is>
      </c>
      <c r="C55" s="13" t="n">
        <v>7</v>
      </c>
      <c r="D55" s="13" t="n">
        <v>3759</v>
      </c>
      <c r="E55" s="13">
        <f>IF($D55="","",IFERROR(IF(ISBLANK(INDIRECT("'"&amp;$Q$2&amp;"'!D"&amp;ROW())),"",INDIRECT("'"&amp;$Q$2&amp;"'!D"&amp;ROW())),""))</f>
        <v/>
      </c>
      <c r="F55" s="15">
        <f>IF(OR(D55="",E55=""),"",D55-E55)</f>
        <v/>
      </c>
      <c r="G55" s="16">
        <f>IFERROR(F55/E55,"")</f>
        <v/>
      </c>
      <c r="H55" s="13" t="n">
        <v>18</v>
      </c>
      <c r="I55" s="13">
        <f>IF($H55="","",IFERROR(IF(ISBLANK(INDIRECT("'"&amp;$Q$2&amp;"'!H"&amp;ROW())),"",INDIRECT("'"&amp;$Q$2&amp;"'!H"&amp;ROW())),""))</f>
        <v/>
      </c>
      <c r="J55" s="15">
        <f>IF(OR(H55="",I55=""),"",H55-I55)</f>
        <v/>
      </c>
      <c r="K55" s="16">
        <f>IFERROR(J55/I55,"")</f>
        <v/>
      </c>
      <c r="L55" s="13">
        <f>IFERROR(D55/C55,"")</f>
        <v/>
      </c>
      <c r="M55" s="13">
        <f>IFERROR(H55/D55*1000,"")</f>
        <v/>
      </c>
      <c r="N55" s="13" t="n">
        <v>13857</v>
      </c>
      <c r="O55" s="15">
        <f>IFERROR(IF(OR(N55="",ISBLANK(INDIRECT("'"&amp;$Q$2&amp;"'!N"&amp;ROW()))),"",N55-INDIRECT("'"&amp;$Q$2&amp;"'!N"&amp;ROW())),"")</f>
        <v/>
      </c>
      <c r="P55" s="2" t="n"/>
      <c r="Q55" s="2" t="n"/>
      <c r="R55" s="2" t="n"/>
      <c r="S55" s="18">
        <f>IFERROR(IF(ISBLANK(INDIRECT("'"&amp;$Q$2&amp;"'!G"&amp;ROW())),"",INDIRECT("'"&amp;$Q$2&amp;"'!G"&amp;ROW())),"")</f>
        <v/>
      </c>
      <c r="T55" s="20">
        <f>IF(OR($G55="",$S55=""),"",$G55-$S55)</f>
        <v/>
      </c>
      <c r="U55" s="18">
        <f>IFERROR(IF(ISBLANK(INDIRECT("'"&amp;$Q$2&amp;"'!K"&amp;ROW())),"",INDIRECT("'"&amp;$Q$2&amp;"'!K"&amp;ROW())),"")</f>
        <v/>
      </c>
      <c r="V55" s="20">
        <f>IF(OR($K55="",$U55=""),"",$K55-$U55)</f>
        <v/>
      </c>
      <c r="W55" s="21">
        <f>IFERROR(IF(ISBLANK(INDIRECT("'"&amp;$Q$2&amp;"'!O"&amp;ROW())),"",INDIRECT("'"&amp;$Q$2&amp;"'!O"&amp;ROW())),"")</f>
        <v/>
      </c>
      <c r="X55" s="21">
        <f>IF(OR($O55="",$W55=""),"",$O55-$W55)</f>
        <v/>
      </c>
      <c r="Y55" s="2" t="n"/>
      <c r="Z55" s="2" t="n"/>
    </row>
    <row r="56" ht="14.25" customHeight="1" s="58">
      <c r="A56" s="12" t="inlineStr">
        <is>
          <t>Telegram</t>
        </is>
      </c>
      <c r="B56" s="12" t="inlineStr">
        <is>
          <t>СШХ</t>
        </is>
      </c>
      <c r="C56" s="13" t="n">
        <v>7</v>
      </c>
      <c r="D56" s="13" t="n">
        <v>2886</v>
      </c>
      <c r="E56" s="13">
        <f>IF($D56="","",IFERROR(IF(ISBLANK(INDIRECT("'"&amp;$Q$2&amp;"'!D"&amp;ROW())),"",INDIRECT("'"&amp;$Q$2&amp;"'!D"&amp;ROW())),""))</f>
        <v/>
      </c>
      <c r="F56" s="15">
        <f>IF(OR(D56="",E56=""),"",D56-E56)</f>
        <v/>
      </c>
      <c r="G56" s="16">
        <f>IFERROR(F56/E56,"")</f>
        <v/>
      </c>
      <c r="H56" s="13" t="n">
        <v>9</v>
      </c>
      <c r="I56" s="13">
        <f>IF($H56="","",IFERROR(IF(ISBLANK(INDIRECT("'"&amp;$Q$2&amp;"'!H"&amp;ROW())),"",INDIRECT("'"&amp;$Q$2&amp;"'!H"&amp;ROW())),""))</f>
        <v/>
      </c>
      <c r="J56" s="15">
        <f>IF(OR(H56="",I56=""),"",H56-I56)</f>
        <v/>
      </c>
      <c r="K56" s="16">
        <f>IFERROR(J56/I56,"")</f>
        <v/>
      </c>
      <c r="L56" s="13">
        <f>IFERROR(D56/C56,"")</f>
        <v/>
      </c>
      <c r="M56" s="13">
        <f>IFERROR(H56/D56*1000,"")</f>
        <v/>
      </c>
      <c r="N56" s="13" t="n">
        <v>8678</v>
      </c>
      <c r="O56" s="15">
        <f>IFERROR(IF(OR(N56="",ISBLANK(INDIRECT("'"&amp;$Q$2&amp;"'!N"&amp;ROW()))),"",N56-INDIRECT("'"&amp;$Q$2&amp;"'!N"&amp;ROW())),"")</f>
        <v/>
      </c>
      <c r="P56" s="2" t="n"/>
      <c r="Q56" s="2" t="n"/>
      <c r="R56" s="2" t="n"/>
      <c r="S56" s="18">
        <f>IFERROR(IF(ISBLANK(INDIRECT("'"&amp;$Q$2&amp;"'!G"&amp;ROW())),"",INDIRECT("'"&amp;$Q$2&amp;"'!G"&amp;ROW())),"")</f>
        <v/>
      </c>
      <c r="T56" s="20">
        <f>IF(OR($G56="",$S56=""),"",$G56-$S56)</f>
        <v/>
      </c>
      <c r="U56" s="18">
        <f>IFERROR(IF(ISBLANK(INDIRECT("'"&amp;$Q$2&amp;"'!K"&amp;ROW())),"",INDIRECT("'"&amp;$Q$2&amp;"'!K"&amp;ROW())),"")</f>
        <v/>
      </c>
      <c r="V56" s="20">
        <f>IF(OR($K56="",$U56=""),"",$K56-$U56)</f>
        <v/>
      </c>
      <c r="W56" s="21">
        <f>IFERROR(IF(ISBLANK(INDIRECT("'"&amp;$Q$2&amp;"'!O"&amp;ROW())),"",INDIRECT("'"&amp;$Q$2&amp;"'!O"&amp;ROW())),"")</f>
        <v/>
      </c>
      <c r="X56" s="21">
        <f>IF(OR($O56="",$W56=""),"",$O56-$W56)</f>
        <v/>
      </c>
      <c r="Y56" s="2" t="n"/>
      <c r="Z56" s="2" t="n"/>
    </row>
    <row r="57" ht="14.25" customHeight="1" s="58">
      <c r="A57" s="12" t="inlineStr">
        <is>
          <t>Telegram</t>
        </is>
      </c>
      <c r="B57" s="12" t="inlineStr">
        <is>
          <t>Новый Уренгой</t>
        </is>
      </c>
      <c r="C57" s="13" t="n">
        <v>131</v>
      </c>
      <c r="D57" s="13" t="n">
        <v>87361</v>
      </c>
      <c r="E57" s="13">
        <f>IF($D57="","",IFERROR(IF(ISBLANK(INDIRECT("'"&amp;$Q$2&amp;"'!D"&amp;ROW())),"",INDIRECT("'"&amp;$Q$2&amp;"'!D"&amp;ROW())),""))</f>
        <v/>
      </c>
      <c r="F57" s="15">
        <f>IF(OR(D57="",E57=""),"",D57-E57)</f>
        <v/>
      </c>
      <c r="G57" s="16">
        <f>IFERROR(F57/E57,"")</f>
        <v/>
      </c>
      <c r="H57" s="13" t="n">
        <v>359</v>
      </c>
      <c r="I57" s="13">
        <f>IF($H57="","",IFERROR(IF(ISBLANK(INDIRECT("'"&amp;$Q$2&amp;"'!H"&amp;ROW())),"",INDIRECT("'"&amp;$Q$2&amp;"'!H"&amp;ROW())),""))</f>
        <v/>
      </c>
      <c r="J57" s="15">
        <f>IF(OR(H57="",I57=""),"",H57-I57)</f>
        <v/>
      </c>
      <c r="K57" s="16">
        <f>IFERROR(J57/I57,"")</f>
        <v/>
      </c>
      <c r="L57" s="13">
        <f>IFERROR(D57/C57,"")</f>
        <v/>
      </c>
      <c r="M57" s="13">
        <f>IFERROR(H57/D57*1000,"")</f>
        <v/>
      </c>
      <c r="N57" s="13" t="n">
        <v>10875</v>
      </c>
      <c r="O57" s="15">
        <f>IFERROR(IF(OR(N57="",ISBLANK(INDIRECT("'"&amp;$Q$2&amp;"'!N"&amp;ROW()))),"",N57-INDIRECT("'"&amp;$Q$2&amp;"'!N"&amp;ROW())),"")</f>
        <v/>
      </c>
      <c r="P57" s="2" t="n"/>
      <c r="Q57" s="2" t="n"/>
      <c r="R57" s="2" t="n"/>
      <c r="S57" s="18">
        <f>IFERROR(IF(ISBLANK(INDIRECT("'"&amp;$Q$2&amp;"'!G"&amp;ROW())),"",INDIRECT("'"&amp;$Q$2&amp;"'!G"&amp;ROW())),"")</f>
        <v/>
      </c>
      <c r="T57" s="20">
        <f>IF(OR($G57="",$S57=""),"",$G57-$S57)</f>
        <v/>
      </c>
      <c r="U57" s="18">
        <f>IFERROR(IF(ISBLANK(INDIRECT("'"&amp;$Q$2&amp;"'!K"&amp;ROW())),"",INDIRECT("'"&amp;$Q$2&amp;"'!K"&amp;ROW())),"")</f>
        <v/>
      </c>
      <c r="V57" s="20">
        <f>IF(OR($K57="",$U57=""),"",$K57-$U57)</f>
        <v/>
      </c>
      <c r="W57" s="21">
        <f>IFERROR(IF(ISBLANK(INDIRECT("'"&amp;$Q$2&amp;"'!O"&amp;ROW())),"",INDIRECT("'"&amp;$Q$2&amp;"'!O"&amp;ROW())),"")</f>
        <v/>
      </c>
      <c r="X57" s="21">
        <f>IF(OR($O57="",$W57=""),"",$O57-$W57)</f>
        <v/>
      </c>
      <c r="Y57" s="2" t="n"/>
      <c r="Z57" s="2" t="n"/>
    </row>
    <row r="58" ht="14.25" customHeight="1" s="58">
      <c r="A58" s="12" t="inlineStr">
        <is>
          <t>Telegram</t>
        </is>
      </c>
      <c r="B58" s="12" t="inlineStr">
        <is>
          <t>Надым</t>
        </is>
      </c>
      <c r="C58" s="13" t="n">
        <v>111</v>
      </c>
      <c r="D58" s="13" t="n">
        <v>25697</v>
      </c>
      <c r="E58" s="13">
        <f>IF($D58="","",IFERROR(IF(ISBLANK(INDIRECT("'"&amp;$Q$2&amp;"'!D"&amp;ROW())),"",INDIRECT("'"&amp;$Q$2&amp;"'!D"&amp;ROW())),""))</f>
        <v/>
      </c>
      <c r="F58" s="15">
        <f>IF(OR(D58="",E58=""),"",D58-E58)</f>
        <v/>
      </c>
      <c r="G58" s="16">
        <f>IFERROR(F58/E58,"")</f>
        <v/>
      </c>
      <c r="H58" s="13" t="n">
        <v>274</v>
      </c>
      <c r="I58" s="13">
        <f>IF($H58="","",IFERROR(IF(ISBLANK(INDIRECT("'"&amp;$Q$2&amp;"'!H"&amp;ROW())),"",INDIRECT("'"&amp;$Q$2&amp;"'!H"&amp;ROW())),""))</f>
        <v/>
      </c>
      <c r="J58" s="15">
        <f>IF(OR(H58="",I58=""),"",H58-I58)</f>
        <v/>
      </c>
      <c r="K58" s="16">
        <f>IFERROR(J58/I58,"")</f>
        <v/>
      </c>
      <c r="L58" s="13">
        <f>IFERROR(D58/C58,"")</f>
        <v/>
      </c>
      <c r="M58" s="13">
        <f>IFERROR(H58/D58*1000,"")</f>
        <v/>
      </c>
      <c r="N58" s="13" t="n">
        <v>4132</v>
      </c>
      <c r="O58" s="15">
        <f>IFERROR(IF(OR(N58="",ISBLANK(INDIRECT("'"&amp;$Q$2&amp;"'!N"&amp;ROW()))),"",N58-INDIRECT("'"&amp;$Q$2&amp;"'!N"&amp;ROW())),"")</f>
        <v/>
      </c>
      <c r="P58" s="2" t="n"/>
      <c r="Q58" s="2" t="n"/>
      <c r="R58" s="2" t="n"/>
      <c r="S58" s="18">
        <f>IFERROR(IF(ISBLANK(INDIRECT("'"&amp;$Q$2&amp;"'!G"&amp;ROW())),"",INDIRECT("'"&amp;$Q$2&amp;"'!G"&amp;ROW())),"")</f>
        <v/>
      </c>
      <c r="T58" s="20">
        <f>IF(OR($G58="",$S58=""),"",$G58-$S58)</f>
        <v/>
      </c>
      <c r="U58" s="18">
        <f>IFERROR(IF(ISBLANK(INDIRECT("'"&amp;$Q$2&amp;"'!K"&amp;ROW())),"",INDIRECT("'"&amp;$Q$2&amp;"'!K"&amp;ROW())),"")</f>
        <v/>
      </c>
      <c r="V58" s="20">
        <f>IF(OR($K58="",$U58=""),"",$K58-$U58)</f>
        <v/>
      </c>
      <c r="W58" s="21">
        <f>IFERROR(IF(ISBLANK(INDIRECT("'"&amp;$Q$2&amp;"'!O"&amp;ROW())),"",INDIRECT("'"&amp;$Q$2&amp;"'!O"&amp;ROW())),"")</f>
        <v/>
      </c>
      <c r="X58" s="21">
        <f>IF(OR($O58="",$W58=""),"",$O58-$W58)</f>
        <v/>
      </c>
      <c r="Y58" s="2" t="n"/>
      <c r="Z58" s="2" t="n"/>
    </row>
    <row r="59" ht="14.25" customHeight="1" s="58">
      <c r="A59" s="12" t="inlineStr">
        <is>
          <t>Telegram</t>
        </is>
      </c>
      <c r="B59" s="12" t="inlineStr">
        <is>
          <t>Ноябрьск</t>
        </is>
      </c>
      <c r="C59" s="13" t="n">
        <v>111</v>
      </c>
      <c r="D59" s="13" t="n">
        <v>39791</v>
      </c>
      <c r="E59" s="13">
        <f>IF($D59="","",IFERROR(IF(ISBLANK(INDIRECT("'"&amp;$Q$2&amp;"'!D"&amp;ROW())),"",INDIRECT("'"&amp;$Q$2&amp;"'!D"&amp;ROW())),""))</f>
        <v/>
      </c>
      <c r="F59" s="15">
        <f>IF(OR(D59="",E59=""),"",D59-E59)</f>
        <v/>
      </c>
      <c r="G59" s="16">
        <f>IFERROR(F59/E59,"")</f>
        <v/>
      </c>
      <c r="H59" s="13" t="n">
        <v>421</v>
      </c>
      <c r="I59" s="13">
        <f>IF($H59="","",IFERROR(IF(ISBLANK(INDIRECT("'"&amp;$Q$2&amp;"'!H"&amp;ROW())),"",INDIRECT("'"&amp;$Q$2&amp;"'!H"&amp;ROW())),""))</f>
        <v/>
      </c>
      <c r="J59" s="15">
        <f>IF(OR(H59="",I59=""),"",H59-I59)</f>
        <v/>
      </c>
      <c r="K59" s="16">
        <f>IFERROR(J59/I59,"")</f>
        <v/>
      </c>
      <c r="L59" s="13">
        <f>IFERROR(D59/C59,"")</f>
        <v/>
      </c>
      <c r="M59" s="13">
        <f>IFERROR(H59/D59*1000,"")</f>
        <v/>
      </c>
      <c r="N59" s="13" t="n">
        <v>5549</v>
      </c>
      <c r="O59" s="15">
        <f>IFERROR(IF(OR(N59="",ISBLANK(INDIRECT("'"&amp;$Q$2&amp;"'!N"&amp;ROW()))),"",N59-INDIRECT("'"&amp;$Q$2&amp;"'!N"&amp;ROW())),"")</f>
        <v/>
      </c>
      <c r="P59" s="2" t="n"/>
      <c r="Q59" s="2" t="n"/>
      <c r="R59" s="2" t="n"/>
      <c r="S59" s="18">
        <f>IFERROR(IF(ISBLANK(INDIRECT("'"&amp;$Q$2&amp;"'!G"&amp;ROW())),"",INDIRECT("'"&amp;$Q$2&amp;"'!G"&amp;ROW())),"")</f>
        <v/>
      </c>
      <c r="T59" s="20">
        <f>IF(OR($G59="",$S59=""),"",$G59-$S59)</f>
        <v/>
      </c>
      <c r="U59" s="18">
        <f>IFERROR(IF(ISBLANK(INDIRECT("'"&amp;$Q$2&amp;"'!K"&amp;ROW())),"",INDIRECT("'"&amp;$Q$2&amp;"'!K"&amp;ROW())),"")</f>
        <v/>
      </c>
      <c r="V59" s="20">
        <f>IF(OR($K59="",$U59=""),"",$K59-$U59)</f>
        <v/>
      </c>
      <c r="W59" s="21">
        <f>IFERROR(IF(ISBLANK(INDIRECT("'"&amp;$Q$2&amp;"'!O"&amp;ROW())),"",INDIRECT("'"&amp;$Q$2&amp;"'!O"&amp;ROW())),"")</f>
        <v/>
      </c>
      <c r="X59" s="21">
        <f>IF(OR($O59="",$W59=""),"",$O59-$W59)</f>
        <v/>
      </c>
      <c r="Y59" s="2" t="n"/>
      <c r="Z59" s="2" t="n"/>
    </row>
    <row r="60" ht="14.25" customHeight="1" s="58">
      <c r="A60" s="12" t="inlineStr">
        <is>
          <t>Telegram</t>
        </is>
      </c>
      <c r="B60" s="12" t="inlineStr">
        <is>
          <t>Салехард</t>
        </is>
      </c>
      <c r="C60" s="13" t="n">
        <v>102</v>
      </c>
      <c r="D60" s="13" t="n">
        <v>51592</v>
      </c>
      <c r="E60" s="13">
        <f>IF($D60="","",IFERROR(IF(ISBLANK(INDIRECT("'"&amp;$Q$2&amp;"'!D"&amp;ROW())),"",INDIRECT("'"&amp;$Q$2&amp;"'!D"&amp;ROW())),""))</f>
        <v/>
      </c>
      <c r="F60" s="15">
        <f>IF(OR(D60="",E60=""),"",D60-E60)</f>
        <v/>
      </c>
      <c r="G60" s="16">
        <f>IFERROR(F60/E60,"")</f>
        <v/>
      </c>
      <c r="H60" s="13" t="n">
        <v>226</v>
      </c>
      <c r="I60" s="13">
        <f>IF($H60="","",IFERROR(IF(ISBLANK(INDIRECT("'"&amp;$Q$2&amp;"'!H"&amp;ROW())),"",INDIRECT("'"&amp;$Q$2&amp;"'!H"&amp;ROW())),""))</f>
        <v/>
      </c>
      <c r="J60" s="15">
        <f>IF(OR(H60="",I60=""),"",H60-I60)</f>
        <v/>
      </c>
      <c r="K60" s="16">
        <f>IFERROR(J60/I60,"")</f>
        <v/>
      </c>
      <c r="L60" s="13">
        <f>IFERROR(D60/C60,"")</f>
        <v/>
      </c>
      <c r="M60" s="13">
        <f>IFERROR(H60/D60*1000,"")</f>
        <v/>
      </c>
      <c r="N60" s="13" t="n">
        <v>10459</v>
      </c>
      <c r="O60" s="15">
        <f>IFERROR(IF(OR(N60="",ISBLANK(INDIRECT("'"&amp;$Q$2&amp;"'!N"&amp;ROW()))),"",N60-INDIRECT("'"&amp;$Q$2&amp;"'!N"&amp;ROW())),"")</f>
        <v/>
      </c>
      <c r="P60" s="2" t="n"/>
      <c r="Q60" s="2" t="n"/>
      <c r="R60" s="2" t="n"/>
      <c r="S60" s="18">
        <f>IFERROR(IF(ISBLANK(INDIRECT("'"&amp;$Q$2&amp;"'!G"&amp;ROW())),"",INDIRECT("'"&amp;$Q$2&amp;"'!G"&amp;ROW())),"")</f>
        <v/>
      </c>
      <c r="T60" s="20">
        <f>IF(OR($G60="",$S60=""),"",$G60-$S60)</f>
        <v/>
      </c>
      <c r="U60" s="18">
        <f>IFERROR(IF(ISBLANK(INDIRECT("'"&amp;$Q$2&amp;"'!K"&amp;ROW())),"",INDIRECT("'"&amp;$Q$2&amp;"'!K"&amp;ROW())),"")</f>
        <v/>
      </c>
      <c r="V60" s="20">
        <f>IF(OR($K60="",$U60=""),"",$K60-$U60)</f>
        <v/>
      </c>
      <c r="W60" s="21">
        <f>IFERROR(IF(ISBLANK(INDIRECT("'"&amp;$Q$2&amp;"'!O"&amp;ROW())),"",INDIRECT("'"&amp;$Q$2&amp;"'!O"&amp;ROW())),"")</f>
        <v/>
      </c>
      <c r="X60" s="21">
        <f>IF(OR($O60="",$W60=""),"",$O60-$W60)</f>
        <v/>
      </c>
      <c r="Y60" s="2" t="n"/>
      <c r="Z60" s="2" t="n"/>
    </row>
    <row r="61" ht="14.25" customHeight="1" s="58">
      <c r="A61" s="12" t="inlineStr">
        <is>
          <t>Telegram</t>
        </is>
      </c>
      <c r="B61" s="12" t="inlineStr">
        <is>
          <t>Приуралье</t>
        </is>
      </c>
      <c r="C61" s="13" t="n">
        <v>69</v>
      </c>
      <c r="D61" s="13" t="n">
        <v>8127</v>
      </c>
      <c r="E61" s="13">
        <f>IF($D61="","",IFERROR(IF(ISBLANK(INDIRECT("'"&amp;$Q$2&amp;"'!D"&amp;ROW())),"",INDIRECT("'"&amp;$Q$2&amp;"'!D"&amp;ROW())),""))</f>
        <v/>
      </c>
      <c r="F61" s="15">
        <f>IF(OR(D61="",E61=""),"",D61-E61)</f>
        <v/>
      </c>
      <c r="G61" s="16">
        <f>IFERROR(F61/E61,"")</f>
        <v/>
      </c>
      <c r="H61" s="13" t="n">
        <v>13</v>
      </c>
      <c r="I61" s="13">
        <f>IF($H61="","",IFERROR(IF(ISBLANK(INDIRECT("'"&amp;$Q$2&amp;"'!H"&amp;ROW())),"",INDIRECT("'"&amp;$Q$2&amp;"'!H"&amp;ROW())),""))</f>
        <v/>
      </c>
      <c r="J61" s="15">
        <f>IF(OR(H61="",I61=""),"",H61-I61)</f>
        <v/>
      </c>
      <c r="K61" s="16">
        <f>IFERROR(J61/I61,"")</f>
        <v/>
      </c>
      <c r="L61" s="13">
        <f>IFERROR(D61/C61,"")</f>
        <v/>
      </c>
      <c r="M61" s="13">
        <f>IFERROR(H61/D61*1000,"")</f>
        <v/>
      </c>
      <c r="N61" s="13" t="n">
        <v>2318</v>
      </c>
      <c r="O61" s="15">
        <f>IFERROR(IF(OR(N61="",ISBLANK(INDIRECT("'"&amp;$Q$2&amp;"'!N"&amp;ROW()))),"",N61-INDIRECT("'"&amp;$Q$2&amp;"'!N"&amp;ROW())),"")</f>
        <v/>
      </c>
      <c r="P61" s="2" t="n"/>
      <c r="Q61" s="2" t="n"/>
      <c r="R61" s="2" t="n"/>
      <c r="S61" s="18">
        <f>IFERROR(IF(ISBLANK(INDIRECT("'"&amp;$Q$2&amp;"'!G"&amp;ROW())),"",INDIRECT("'"&amp;$Q$2&amp;"'!G"&amp;ROW())),"")</f>
        <v/>
      </c>
      <c r="T61" s="20">
        <f>IF(OR($G61="",$S61=""),"",$G61-$S61)</f>
        <v/>
      </c>
      <c r="U61" s="18">
        <f>IFERROR(IF(ISBLANK(INDIRECT("'"&amp;$Q$2&amp;"'!K"&amp;ROW())),"",INDIRECT("'"&amp;$Q$2&amp;"'!K"&amp;ROW())),"")</f>
        <v/>
      </c>
      <c r="V61" s="20">
        <f>IF(OR($K61="",$U61=""),"",$K61-$U61)</f>
        <v/>
      </c>
      <c r="W61" s="21">
        <f>IFERROR(IF(ISBLANK(INDIRECT("'"&amp;$Q$2&amp;"'!O"&amp;ROW())),"",INDIRECT("'"&amp;$Q$2&amp;"'!O"&amp;ROW())),"")</f>
        <v/>
      </c>
      <c r="X61" s="21">
        <f>IF(OR($O61="",$W61=""),"",$O61-$W61)</f>
        <v/>
      </c>
      <c r="Y61" s="2" t="n"/>
      <c r="Z61" s="2" t="n"/>
    </row>
    <row r="62" ht="14.25" customHeight="1" s="58">
      <c r="A62" s="12" t="inlineStr">
        <is>
          <t>Telegram</t>
        </is>
      </c>
      <c r="B62" s="12" t="inlineStr">
        <is>
          <t>Лабытнанги</t>
        </is>
      </c>
      <c r="C62" s="13" t="n">
        <v>46</v>
      </c>
      <c r="D62" s="13" t="n">
        <v>3697</v>
      </c>
      <c r="E62" s="13">
        <f>IF($D62="","",IFERROR(IF(ISBLANK(INDIRECT("'"&amp;$Q$2&amp;"'!D"&amp;ROW())),"",INDIRECT("'"&amp;$Q$2&amp;"'!D"&amp;ROW())),""))</f>
        <v/>
      </c>
      <c r="F62" s="15">
        <f>IF(OR(D62="",E62=""),"",D62-E62)</f>
        <v/>
      </c>
      <c r="G62" s="16">
        <f>IFERROR(F62/E62,"")</f>
        <v/>
      </c>
      <c r="H62" s="13" t="n">
        <v>31</v>
      </c>
      <c r="I62" s="13">
        <f>IF($H62="","",IFERROR(IF(ISBLANK(INDIRECT("'"&amp;$Q$2&amp;"'!H"&amp;ROW())),"",INDIRECT("'"&amp;$Q$2&amp;"'!H"&amp;ROW())),""))</f>
        <v/>
      </c>
      <c r="J62" s="15">
        <f>IF(OR(H62="",I62=""),"",H62-I62)</f>
        <v/>
      </c>
      <c r="K62" s="16">
        <f>IFERROR(J62/I62,"")</f>
        <v/>
      </c>
      <c r="L62" s="13">
        <f>IFERROR(D62/C62,"")</f>
        <v/>
      </c>
      <c r="M62" s="13">
        <f>IFERROR(H62/D62*1000,"")</f>
        <v/>
      </c>
      <c r="N62" s="13" t="n">
        <v>1378</v>
      </c>
      <c r="O62" s="15">
        <f>IFERROR(IF(OR(N62="",ISBLANK(INDIRECT("'"&amp;$Q$2&amp;"'!N"&amp;ROW()))),"",N62-INDIRECT("'"&amp;$Q$2&amp;"'!N"&amp;ROW())),"")</f>
        <v/>
      </c>
      <c r="P62" s="2" t="n"/>
      <c r="Q62" s="2" t="n"/>
      <c r="R62" s="2" t="n"/>
      <c r="S62" s="18">
        <f>IFERROR(IF(ISBLANK(INDIRECT("'"&amp;$Q$2&amp;"'!G"&amp;ROW())),"",INDIRECT("'"&amp;$Q$2&amp;"'!G"&amp;ROW())),"")</f>
        <v/>
      </c>
      <c r="T62" s="20">
        <f>IF(OR($G62="",$S62=""),"",$G62-$S62)</f>
        <v/>
      </c>
      <c r="U62" s="18">
        <f>IFERROR(IF(ISBLANK(INDIRECT("'"&amp;$Q$2&amp;"'!K"&amp;ROW())),"",INDIRECT("'"&amp;$Q$2&amp;"'!K"&amp;ROW())),"")</f>
        <v/>
      </c>
      <c r="V62" s="20">
        <f>IF(OR($K62="",$U62=""),"",$K62-$U62)</f>
        <v/>
      </c>
      <c r="W62" s="21">
        <f>IFERROR(IF(ISBLANK(INDIRECT("'"&amp;$Q$2&amp;"'!O"&amp;ROW())),"",INDIRECT("'"&amp;$Q$2&amp;"'!O"&amp;ROW())),"")</f>
        <v/>
      </c>
      <c r="X62" s="21">
        <f>IF(OR($O62="",$W62=""),"",$O62-$W62)</f>
        <v/>
      </c>
      <c r="Y62" s="2" t="n"/>
      <c r="Z62" s="2" t="n"/>
    </row>
    <row r="63" ht="14.25" customHeight="1" s="58">
      <c r="A63" s="12" t="inlineStr">
        <is>
          <t>Telegram</t>
        </is>
      </c>
      <c r="B63" s="12" t="inlineStr">
        <is>
          <t>Пуровский</t>
        </is>
      </c>
      <c r="C63" s="13" t="n">
        <v>87</v>
      </c>
      <c r="D63" s="13" t="n">
        <v>31198</v>
      </c>
      <c r="E63" s="13">
        <f>IF($D63="","",IFERROR(IF(ISBLANK(INDIRECT("'"&amp;$Q$2&amp;"'!D"&amp;ROW())),"",INDIRECT("'"&amp;$Q$2&amp;"'!D"&amp;ROW())),""))</f>
        <v/>
      </c>
      <c r="F63" s="15">
        <f>IF(OR(D63="",E63=""),"",D63-E63)</f>
        <v/>
      </c>
      <c r="G63" s="16">
        <f>IFERROR(F63/E63,"")</f>
        <v/>
      </c>
      <c r="H63" s="13" t="n">
        <v>146</v>
      </c>
      <c r="I63" s="13">
        <f>IF($H63="","",IFERROR(IF(ISBLANK(INDIRECT("'"&amp;$Q$2&amp;"'!H"&amp;ROW())),"",INDIRECT("'"&amp;$Q$2&amp;"'!H"&amp;ROW())),""))</f>
        <v/>
      </c>
      <c r="J63" s="15">
        <f>IF(OR(H63="",I63=""),"",H63-I63)</f>
        <v/>
      </c>
      <c r="K63" s="16">
        <f>IFERROR(J63/I63,"")</f>
        <v/>
      </c>
      <c r="L63" s="13">
        <f>IFERROR(D63/C63,"")</f>
        <v/>
      </c>
      <c r="M63" s="13">
        <f>IFERROR(H63/D63*1000,"")</f>
        <v/>
      </c>
      <c r="N63" s="13" t="n">
        <v>5687</v>
      </c>
      <c r="O63" s="15">
        <f>IFERROR(IF(OR(N63="",ISBLANK(INDIRECT("'"&amp;$Q$2&amp;"'!N"&amp;ROW()))),"",N63-INDIRECT("'"&amp;$Q$2&amp;"'!N"&amp;ROW())),"")</f>
        <v/>
      </c>
      <c r="P63" s="2" t="n"/>
      <c r="Q63" s="2" t="n"/>
      <c r="R63" s="2" t="n"/>
      <c r="S63" s="18">
        <f>IFERROR(IF(ISBLANK(INDIRECT("'"&amp;$Q$2&amp;"'!G"&amp;ROW())),"",INDIRECT("'"&amp;$Q$2&amp;"'!G"&amp;ROW())),"")</f>
        <v/>
      </c>
      <c r="T63" s="20">
        <f>IF(OR($G63="",$S63=""),"",$G63-$S63)</f>
        <v/>
      </c>
      <c r="U63" s="18">
        <f>IFERROR(IF(ISBLANK(INDIRECT("'"&amp;$Q$2&amp;"'!K"&amp;ROW())),"",INDIRECT("'"&amp;$Q$2&amp;"'!K"&amp;ROW())),"")</f>
        <v/>
      </c>
      <c r="V63" s="20">
        <f>IF(OR($K63="",$U63=""),"",$K63-$U63)</f>
        <v/>
      </c>
      <c r="W63" s="21">
        <f>IFERROR(IF(ISBLANK(INDIRECT("'"&amp;$Q$2&amp;"'!O"&amp;ROW())),"",INDIRECT("'"&amp;$Q$2&amp;"'!O"&amp;ROW())),"")</f>
        <v/>
      </c>
      <c r="X63" s="21">
        <f>IF(OR($O63="",$W63=""),"",$O63-$W63)</f>
        <v/>
      </c>
      <c r="Y63" s="2" t="n"/>
      <c r="Z63" s="2" t="n"/>
    </row>
    <row r="64" ht="14.25" customHeight="1" s="58">
      <c r="A64" s="12" t="inlineStr">
        <is>
          <t>Telegram</t>
        </is>
      </c>
      <c r="B64" s="12" t="inlineStr">
        <is>
          <t>Тазовский</t>
        </is>
      </c>
      <c r="C64" s="13" t="n">
        <v>29</v>
      </c>
      <c r="D64" s="13" t="n">
        <v>3175</v>
      </c>
      <c r="E64" s="13">
        <f>IF($D64="","",IFERROR(IF(ISBLANK(INDIRECT("'"&amp;$Q$2&amp;"'!D"&amp;ROW())),"",INDIRECT("'"&amp;$Q$2&amp;"'!D"&amp;ROW())),""))</f>
        <v/>
      </c>
      <c r="F64" s="15">
        <f>IF(OR(D64="",E64=""),"",D64-E64)</f>
        <v/>
      </c>
      <c r="G64" s="16">
        <f>IFERROR(F64/E64,"")</f>
        <v/>
      </c>
      <c r="H64" s="13" t="n">
        <v>2</v>
      </c>
      <c r="I64" s="13">
        <f>IF($H64="","",IFERROR(IF(ISBLANK(INDIRECT("'"&amp;$Q$2&amp;"'!H"&amp;ROW())),"",INDIRECT("'"&amp;$Q$2&amp;"'!H"&amp;ROW())),""))</f>
        <v/>
      </c>
      <c r="J64" s="15">
        <f>IF(OR(H64="",I64=""),"",H64-I64)</f>
        <v/>
      </c>
      <c r="K64" s="16">
        <f>IFERROR(J64/I64,"")</f>
        <v/>
      </c>
      <c r="L64" s="13">
        <f>IFERROR(D64/C64,"")</f>
        <v/>
      </c>
      <c r="M64" s="13">
        <f>IFERROR(H64/D64*1000,"")</f>
        <v/>
      </c>
      <c r="N64" s="13" t="n">
        <v>1825</v>
      </c>
      <c r="O64" s="15">
        <f>IFERROR(IF(OR(N64="",ISBLANK(INDIRECT("'"&amp;$Q$2&amp;"'!N"&amp;ROW()))),"",N64-INDIRECT("'"&amp;$Q$2&amp;"'!N"&amp;ROW())),"")</f>
        <v/>
      </c>
      <c r="P64" s="2" t="n"/>
      <c r="Q64" s="2" t="n"/>
      <c r="R64" s="2" t="n"/>
      <c r="S64" s="18">
        <f>IFERROR(IF(ISBLANK(INDIRECT("'"&amp;$Q$2&amp;"'!G"&amp;ROW())),"",INDIRECT("'"&amp;$Q$2&amp;"'!G"&amp;ROW())),"")</f>
        <v/>
      </c>
      <c r="T64" s="20">
        <f>IF(OR($G64="",$S64=""),"",$G64-$S64)</f>
        <v/>
      </c>
      <c r="U64" s="18">
        <f>IFERROR(IF(ISBLANK(INDIRECT("'"&amp;$Q$2&amp;"'!K"&amp;ROW())),"",INDIRECT("'"&amp;$Q$2&amp;"'!K"&amp;ROW())),"")</f>
        <v/>
      </c>
      <c r="V64" s="20">
        <f>IF(OR($K64="",$U64=""),"",$K64-$U64)</f>
        <v/>
      </c>
      <c r="W64" s="21">
        <f>IFERROR(IF(ISBLANK(INDIRECT("'"&amp;$Q$2&amp;"'!O"&amp;ROW())),"",INDIRECT("'"&amp;$Q$2&amp;"'!O"&amp;ROW())),"")</f>
        <v/>
      </c>
      <c r="X64" s="21">
        <f>IF(OR($O64="",$W64=""),"",$O64-$W64)</f>
        <v/>
      </c>
      <c r="Y64" s="2" t="n"/>
      <c r="Z64" s="2" t="n"/>
    </row>
    <row r="65" ht="14.25" customHeight="1" s="58">
      <c r="A65" s="12" t="inlineStr">
        <is>
          <t>Telegram</t>
        </is>
      </c>
      <c r="B65" s="12" t="inlineStr">
        <is>
          <t>Красноселькуп</t>
        </is>
      </c>
      <c r="C65" s="13" t="n">
        <v>35</v>
      </c>
      <c r="D65" s="13" t="n">
        <v>2954</v>
      </c>
      <c r="E65" s="13">
        <f>IF($D65="","",IFERROR(IF(ISBLANK(INDIRECT("'"&amp;$Q$2&amp;"'!D"&amp;ROW())),"",INDIRECT("'"&amp;$Q$2&amp;"'!D"&amp;ROW())),""))</f>
        <v/>
      </c>
      <c r="F65" s="15">
        <f>IF(OR(D65="",E65=""),"",D65-E65)</f>
        <v/>
      </c>
      <c r="G65" s="16">
        <f>IFERROR(F65/E65,"")</f>
        <v/>
      </c>
      <c r="H65" s="13" t="n">
        <v>2</v>
      </c>
      <c r="I65" s="13">
        <f>IF($H65="","",IFERROR(IF(ISBLANK(INDIRECT("'"&amp;$Q$2&amp;"'!H"&amp;ROW())),"",INDIRECT("'"&amp;$Q$2&amp;"'!H"&amp;ROW())),""))</f>
        <v/>
      </c>
      <c r="J65" s="15">
        <f>IF(OR(H65="",I65=""),"",H65-I65)</f>
        <v/>
      </c>
      <c r="K65" s="16">
        <f>IFERROR(J65/I65,"")</f>
        <v/>
      </c>
      <c r="L65" s="13">
        <f>IFERROR(D65/C65,"")</f>
        <v/>
      </c>
      <c r="M65" s="13">
        <f>IFERROR(H65/D65*1000,"")</f>
        <v/>
      </c>
      <c r="N65" s="13" t="n">
        <v>875</v>
      </c>
      <c r="O65" s="15">
        <f>IFERROR(IF(OR(N65="",ISBLANK(INDIRECT("'"&amp;$Q$2&amp;"'!N"&amp;ROW()))),"",N65-INDIRECT("'"&amp;$Q$2&amp;"'!N"&amp;ROW())),"")</f>
        <v/>
      </c>
      <c r="P65" s="2" t="n"/>
      <c r="Q65" s="2" t="n"/>
      <c r="R65" s="2" t="n"/>
      <c r="S65" s="18">
        <f>IFERROR(IF(ISBLANK(INDIRECT("'"&amp;$Q$2&amp;"'!G"&amp;ROW())),"",INDIRECT("'"&amp;$Q$2&amp;"'!G"&amp;ROW())),"")</f>
        <v/>
      </c>
      <c r="T65" s="20">
        <f>IF(OR($G65="",$S65=""),"",$G65-$S65)</f>
        <v/>
      </c>
      <c r="U65" s="18">
        <f>IFERROR(IF(ISBLANK(INDIRECT("'"&amp;$Q$2&amp;"'!K"&amp;ROW())),"",INDIRECT("'"&amp;$Q$2&amp;"'!K"&amp;ROW())),"")</f>
        <v/>
      </c>
      <c r="V65" s="20">
        <f>IF(OR($K65="",$U65=""),"",$K65-$U65)</f>
        <v/>
      </c>
      <c r="W65" s="21">
        <f>IFERROR(IF(ISBLANK(INDIRECT("'"&amp;$Q$2&amp;"'!O"&amp;ROW())),"",INDIRECT("'"&amp;$Q$2&amp;"'!O"&amp;ROW())),"")</f>
        <v/>
      </c>
      <c r="X65" s="21">
        <f>IF(OR($O65="",$W65=""),"",$O65-$W65)</f>
        <v/>
      </c>
      <c r="Y65" s="2" t="n"/>
      <c r="Z65" s="2" t="n"/>
    </row>
    <row r="66" ht="14.25" customHeight="1" s="58">
      <c r="A66" s="12" t="inlineStr">
        <is>
          <t>Telegram</t>
        </is>
      </c>
      <c r="B66" s="12" t="inlineStr">
        <is>
          <t>Ямальский</t>
        </is>
      </c>
      <c r="C66" s="13" t="n">
        <v>31</v>
      </c>
      <c r="D66" s="13" t="n">
        <v>2452</v>
      </c>
      <c r="E66" s="13">
        <f>IF($D66="","",IFERROR(IF(ISBLANK(INDIRECT("'"&amp;$Q$2&amp;"'!D"&amp;ROW())),"",INDIRECT("'"&amp;$Q$2&amp;"'!D"&amp;ROW())),""))</f>
        <v/>
      </c>
      <c r="F66" s="15">
        <f>IF(OR(D66="",E66=""),"",D66-E66)</f>
        <v/>
      </c>
      <c r="G66" s="16">
        <f>IFERROR(F66/E66,"")</f>
        <v/>
      </c>
      <c r="H66" s="13" t="n">
        <v>1</v>
      </c>
      <c r="I66" s="13">
        <f>IF($H66="","",IFERROR(IF(ISBLANK(INDIRECT("'"&amp;$Q$2&amp;"'!H"&amp;ROW())),"",INDIRECT("'"&amp;$Q$2&amp;"'!H"&amp;ROW())),""))</f>
        <v/>
      </c>
      <c r="J66" s="15">
        <f>IF(OR(H66="",I66=""),"",H66-I66)</f>
        <v/>
      </c>
      <c r="K66" s="16">
        <f>IFERROR(J66/I66,"")</f>
        <v/>
      </c>
      <c r="L66" s="13">
        <f>IFERROR(D66/C66,"")</f>
        <v/>
      </c>
      <c r="M66" s="13">
        <f>IFERROR(H66/D66*1000,"")</f>
        <v/>
      </c>
      <c r="N66" s="13" t="n">
        <v>855</v>
      </c>
      <c r="O66" s="15">
        <f>IFERROR(IF(OR(N66="",ISBLANK(INDIRECT("'"&amp;$Q$2&amp;"'!N"&amp;ROW()))),"",N66-INDIRECT("'"&amp;$Q$2&amp;"'!N"&amp;ROW())),"")</f>
        <v/>
      </c>
      <c r="P66" s="2" t="n"/>
      <c r="Q66" s="2" t="n"/>
      <c r="R66" s="2" t="n"/>
      <c r="S66" s="18">
        <f>IFERROR(IF(ISBLANK(INDIRECT("'"&amp;$Q$2&amp;"'!G"&amp;ROW())),"",INDIRECT("'"&amp;$Q$2&amp;"'!G"&amp;ROW())),"")</f>
        <v/>
      </c>
      <c r="T66" s="20">
        <f>IF(OR($G66="",$S66=""),"",$G66-$S66)</f>
        <v/>
      </c>
      <c r="U66" s="18">
        <f>IFERROR(IF(ISBLANK(INDIRECT("'"&amp;$Q$2&amp;"'!K"&amp;ROW())),"",INDIRECT("'"&amp;$Q$2&amp;"'!K"&amp;ROW())),"")</f>
        <v/>
      </c>
      <c r="V66" s="20">
        <f>IF(OR($K66="",$U66=""),"",$K66-$U66)</f>
        <v/>
      </c>
      <c r="W66" s="21">
        <f>IFERROR(IF(ISBLANK(INDIRECT("'"&amp;$Q$2&amp;"'!O"&amp;ROW())),"",INDIRECT("'"&amp;$Q$2&amp;"'!O"&amp;ROW())),"")</f>
        <v/>
      </c>
      <c r="X66" s="21">
        <f>IF(OR($O66="",$W66=""),"",$O66-$W66)</f>
        <v/>
      </c>
      <c r="Y66" s="2" t="n"/>
      <c r="Z66" s="2" t="n"/>
    </row>
    <row r="67" ht="14.25" customHeight="1" s="58">
      <c r="A67" s="12" t="inlineStr">
        <is>
          <t>Telegram</t>
        </is>
      </c>
      <c r="B67" s="12" t="inlineStr">
        <is>
          <t>Шурышкарский</t>
        </is>
      </c>
      <c r="C67" s="13" t="n">
        <v>37</v>
      </c>
      <c r="D67" s="13" t="n">
        <v>31476</v>
      </c>
      <c r="E67" s="13">
        <f>IF($D67="","",IFERROR(IF(ISBLANK(INDIRECT("'"&amp;$Q$2&amp;"'!D"&amp;ROW())),"",INDIRECT("'"&amp;$Q$2&amp;"'!D"&amp;ROW())),""))</f>
        <v/>
      </c>
      <c r="F67" s="15">
        <f>IF(OR(D67="",E67=""),"",D67-E67)</f>
        <v/>
      </c>
      <c r="G67" s="16">
        <f>IFERROR(F67/E67,"")</f>
        <v/>
      </c>
      <c r="H67" s="13" t="n">
        <v>26</v>
      </c>
      <c r="I67" s="13">
        <f>IF($H67="","",IFERROR(IF(ISBLANK(INDIRECT("'"&amp;$Q$2&amp;"'!H"&amp;ROW())),"",INDIRECT("'"&amp;$Q$2&amp;"'!H"&amp;ROW())),""))</f>
        <v/>
      </c>
      <c r="J67" s="15">
        <f>IF(OR(H67="",I67=""),"",H67-I67)</f>
        <v/>
      </c>
      <c r="K67" s="16">
        <f>IFERROR(J67/I67,"")</f>
        <v/>
      </c>
      <c r="L67" s="13">
        <f>IFERROR(D67/C67,"")</f>
        <v/>
      </c>
      <c r="M67" s="13">
        <f>IFERROR(H67/D67*1000,"")</f>
        <v/>
      </c>
      <c r="N67" s="13" t="n">
        <v>1177</v>
      </c>
      <c r="O67" s="15">
        <f>IFERROR(IF(OR(N67="",ISBLANK(INDIRECT("'"&amp;$Q$2&amp;"'!N"&amp;ROW()))),"",N67-INDIRECT("'"&amp;$Q$2&amp;"'!N"&amp;ROW())),"")</f>
        <v/>
      </c>
      <c r="P67" s="2" t="n"/>
      <c r="Q67" s="2" t="n"/>
      <c r="R67" s="2" t="n"/>
      <c r="S67" s="18">
        <f>IFERROR(IF(ISBLANK(INDIRECT("'"&amp;$Q$2&amp;"'!G"&amp;ROW())),"",INDIRECT("'"&amp;$Q$2&amp;"'!G"&amp;ROW())),"")</f>
        <v/>
      </c>
      <c r="T67" s="20">
        <f>IF(OR($G67="",$S67=""),"",$G67-$S67)</f>
        <v/>
      </c>
      <c r="U67" s="18">
        <f>IFERROR(IF(ISBLANK(INDIRECT("'"&amp;$Q$2&amp;"'!K"&amp;ROW())),"",INDIRECT("'"&amp;$Q$2&amp;"'!K"&amp;ROW())),"")</f>
        <v/>
      </c>
      <c r="V67" s="20">
        <f>IF(OR($K67="",$U67=""),"",$K67-$U67)</f>
        <v/>
      </c>
      <c r="W67" s="21">
        <f>IFERROR(IF(ISBLANK(INDIRECT("'"&amp;$Q$2&amp;"'!O"&amp;ROW())),"",INDIRECT("'"&amp;$Q$2&amp;"'!O"&amp;ROW())),"")</f>
        <v/>
      </c>
      <c r="X67" s="21">
        <f>IF(OR($O67="",$W67=""),"",$O67-$W67)</f>
        <v/>
      </c>
      <c r="Y67" s="2" t="n"/>
      <c r="Z67" s="2" t="n"/>
    </row>
    <row r="68" ht="14.25" customHeight="1" s="58">
      <c r="A68" s="12" t="inlineStr">
        <is>
          <t>Telegram</t>
        </is>
      </c>
      <c r="B68" s="12" t="inlineStr">
        <is>
          <t>Муравленко</t>
        </is>
      </c>
      <c r="C68" s="13" t="n">
        <v>73</v>
      </c>
      <c r="D68" s="13" t="n">
        <v>22747</v>
      </c>
      <c r="E68" s="13">
        <f>IF($D68="","",IFERROR(IF(ISBLANK(INDIRECT("'"&amp;$Q$2&amp;"'!D"&amp;ROW())),"",INDIRECT("'"&amp;$Q$2&amp;"'!D"&amp;ROW())),""))</f>
        <v/>
      </c>
      <c r="F68" s="15">
        <f>IF(OR(D68="",E68=""),"",D68-E68)</f>
        <v/>
      </c>
      <c r="G68" s="16">
        <f>IFERROR(F68/E68,"")</f>
        <v/>
      </c>
      <c r="H68" s="13" t="n">
        <v>112</v>
      </c>
      <c r="I68" s="13">
        <f>IF($H68="","",IFERROR(IF(ISBLANK(INDIRECT("'"&amp;$Q$2&amp;"'!H"&amp;ROW())),"",INDIRECT("'"&amp;$Q$2&amp;"'!H"&amp;ROW())),""))</f>
        <v/>
      </c>
      <c r="J68" s="15">
        <f>IF(OR(H68="",I68=""),"",H68-I68)</f>
        <v/>
      </c>
      <c r="K68" s="16">
        <f>IFERROR(J68/I68,"")</f>
        <v/>
      </c>
      <c r="L68" s="13">
        <f>IFERROR(D68/C68,"")</f>
        <v/>
      </c>
      <c r="M68" s="13">
        <f>IFERROR(H68/D68*1000,"")</f>
        <v/>
      </c>
      <c r="N68" s="13" t="n">
        <v>4421</v>
      </c>
      <c r="O68" s="15">
        <f>IFERROR(IF(OR(N68="",ISBLANK(INDIRECT("'"&amp;$Q$2&amp;"'!N"&amp;ROW()))),"",N68-INDIRECT("'"&amp;$Q$2&amp;"'!N"&amp;ROW())),"")</f>
        <v/>
      </c>
      <c r="P68" s="2" t="n"/>
      <c r="Q68" s="2" t="n"/>
      <c r="R68" s="2" t="n"/>
      <c r="S68" s="18">
        <f>IFERROR(IF(ISBLANK(INDIRECT("'"&amp;$Q$2&amp;"'!G"&amp;ROW())),"",INDIRECT("'"&amp;$Q$2&amp;"'!G"&amp;ROW())),"")</f>
        <v/>
      </c>
      <c r="T68" s="20">
        <f>IF(OR($G68="",$S68=""),"",$G68-$S68)</f>
        <v/>
      </c>
      <c r="U68" s="18">
        <f>IFERROR(IF(ISBLANK(INDIRECT("'"&amp;$Q$2&amp;"'!K"&amp;ROW())),"",INDIRECT("'"&amp;$Q$2&amp;"'!K"&amp;ROW())),"")</f>
        <v/>
      </c>
      <c r="V68" s="20">
        <f>IF(OR($K68="",$U68=""),"",$K68-$U68)</f>
        <v/>
      </c>
      <c r="W68" s="21">
        <f>IFERROR(IF(ISBLANK(INDIRECT("'"&amp;$Q$2&amp;"'!O"&amp;ROW())),"",INDIRECT("'"&amp;$Q$2&amp;"'!O"&amp;ROW())),"")</f>
        <v/>
      </c>
      <c r="X68" s="21">
        <f>IF(OR($O68="",$W68=""),"",$O68-$W68)</f>
        <v/>
      </c>
      <c r="Y68" s="2" t="n"/>
      <c r="Z68" s="2" t="n"/>
    </row>
    <row r="69" ht="14.25" customHeight="1" s="58">
      <c r="A69" s="12" t="inlineStr">
        <is>
          <t>Telegram</t>
        </is>
      </c>
      <c r="B69" s="12" t="inlineStr">
        <is>
          <t>Губкинский</t>
        </is>
      </c>
      <c r="C69" s="13" t="n">
        <v>66</v>
      </c>
      <c r="D69" s="13" t="n">
        <v>30498</v>
      </c>
      <c r="E69" s="13">
        <f>IF($D69="","",IFERROR(IF(ISBLANK(INDIRECT("'"&amp;$Q$2&amp;"'!D"&amp;ROW())),"",INDIRECT("'"&amp;$Q$2&amp;"'!D"&amp;ROW())),""))</f>
        <v/>
      </c>
      <c r="F69" s="15">
        <f>IF(OR(D69="",E69=""),"",D69-E69)</f>
        <v/>
      </c>
      <c r="G69" s="16">
        <f>IFERROR(F69/E69,"")</f>
        <v/>
      </c>
      <c r="H69" s="13" t="n">
        <v>282</v>
      </c>
      <c r="I69" s="13">
        <f>IF($H69="","",IFERROR(IF(ISBLANK(INDIRECT("'"&amp;$Q$2&amp;"'!H"&amp;ROW())),"",INDIRECT("'"&amp;$Q$2&amp;"'!H"&amp;ROW())),""))</f>
        <v/>
      </c>
      <c r="J69" s="15">
        <f>IF(OR(H69="",I69=""),"",H69-I69)</f>
        <v/>
      </c>
      <c r="K69" s="16">
        <f>IFERROR(J69/I69,"")</f>
        <v/>
      </c>
      <c r="L69" s="13">
        <f>IFERROR(D69/C69,"")</f>
        <v/>
      </c>
      <c r="M69" s="13">
        <f>IFERROR(H69/D69*1000,"")</f>
        <v/>
      </c>
      <c r="N69" s="13" t="n">
        <v>5550</v>
      </c>
      <c r="O69" s="15">
        <f>IFERROR(IF(OR(N69="",ISBLANK(INDIRECT("'"&amp;$Q$2&amp;"'!N"&amp;ROW()))),"",N69-INDIRECT("'"&amp;$Q$2&amp;"'!N"&amp;ROW())),"")</f>
        <v/>
      </c>
      <c r="P69" s="2" t="n"/>
      <c r="Q69" s="2" t="n"/>
      <c r="R69" s="2" t="n"/>
      <c r="S69" s="18">
        <f>IFERROR(IF(ISBLANK(INDIRECT("'"&amp;$Q$2&amp;"'!G"&amp;ROW())),"",INDIRECT("'"&amp;$Q$2&amp;"'!G"&amp;ROW())),"")</f>
        <v/>
      </c>
      <c r="T69" s="20">
        <f>IF(OR($G69="",$S69=""),"",$G69-$S69)</f>
        <v/>
      </c>
      <c r="U69" s="18">
        <f>IFERROR(IF(ISBLANK(INDIRECT("'"&amp;$Q$2&amp;"'!K"&amp;ROW())),"",INDIRECT("'"&amp;$Q$2&amp;"'!K"&amp;ROW())),"")</f>
        <v/>
      </c>
      <c r="V69" s="20">
        <f>IF(OR($K69="",$U69=""),"",$K69-$U69)</f>
        <v/>
      </c>
      <c r="W69" s="21">
        <f>IFERROR(IF(ISBLANK(INDIRECT("'"&amp;$Q$2&amp;"'!O"&amp;ROW())),"",INDIRECT("'"&amp;$Q$2&amp;"'!O"&amp;ROW())),"")</f>
        <v/>
      </c>
      <c r="X69" s="21">
        <f>IF(OR($O69="",$W69=""),"",$O69-$W69)</f>
        <v/>
      </c>
      <c r="Y69" s="2" t="n"/>
      <c r="Z69" s="2" t="n"/>
    </row>
    <row r="70" ht="14.25" customHeight="1" s="58">
      <c r="A70" s="12" t="inlineStr">
        <is>
          <t>Telegram</t>
        </is>
      </c>
      <c r="B70" s="12" t="inlineStr">
        <is>
          <t>МК-Ямал</t>
        </is>
      </c>
      <c r="C70" s="13" t="n">
        <v>224</v>
      </c>
      <c r="D70" s="13" t="n">
        <v>3812</v>
      </c>
      <c r="E70" s="13">
        <f>IF($D70="","",IFERROR(IF(ISBLANK(INDIRECT("'"&amp;$Q$2&amp;"'!D"&amp;ROW())),"",INDIRECT("'"&amp;$Q$2&amp;"'!D"&amp;ROW())),""))</f>
        <v/>
      </c>
      <c r="F70" s="15">
        <f>IF(OR(D70="",E70=""),"",D70-E70)</f>
        <v/>
      </c>
      <c r="G70" s="16">
        <f>IFERROR(F70/E70,"")</f>
        <v/>
      </c>
      <c r="H70" s="13" t="n">
        <v>0</v>
      </c>
      <c r="I70" s="13">
        <f>IF($H70="","",IFERROR(IF(ISBLANK(INDIRECT("'"&amp;$Q$2&amp;"'!H"&amp;ROW())),"",INDIRECT("'"&amp;$Q$2&amp;"'!H"&amp;ROW())),""))</f>
        <v/>
      </c>
      <c r="J70" s="15">
        <f>IF(OR(H70="",I70=""),"",H70-I70)</f>
        <v/>
      </c>
      <c r="K70" s="16">
        <f>IFERROR(J70/I70,"")</f>
        <v/>
      </c>
      <c r="L70" s="13">
        <f>IFERROR(D70/C70,"")</f>
        <v/>
      </c>
      <c r="M70" s="13">
        <f>IFERROR(H70/D70*1000,"")</f>
        <v/>
      </c>
      <c r="N70" s="13" t="n">
        <v>693</v>
      </c>
      <c r="O70" s="15">
        <f>IFERROR(IF(OR(N70="",ISBLANK(INDIRECT("'"&amp;$Q$2&amp;"'!N"&amp;ROW()))),"",N70-INDIRECT("'"&amp;$Q$2&amp;"'!N"&amp;ROW())),"")</f>
        <v/>
      </c>
      <c r="P70" s="2" t="n"/>
      <c r="Q70" s="2" t="n"/>
      <c r="R70" s="2" t="n"/>
      <c r="S70" s="18">
        <f>IFERROR(IF(ISBLANK(INDIRECT("'"&amp;$Q$2&amp;"'!G"&amp;ROW())),"",INDIRECT("'"&amp;$Q$2&amp;"'!G"&amp;ROW())),"")</f>
        <v/>
      </c>
      <c r="T70" s="20">
        <f>IF(OR($G70="",$S70=""),"",$G70-$S70)</f>
        <v/>
      </c>
      <c r="U70" s="18">
        <f>IFERROR(IF(ISBLANK(INDIRECT("'"&amp;$Q$2&amp;"'!K"&amp;ROW())),"",INDIRECT("'"&amp;$Q$2&amp;"'!K"&amp;ROW())),"")</f>
        <v/>
      </c>
      <c r="V70" s="20">
        <f>IF(OR($K70="",$U70=""),"",$K70-$U70)</f>
        <v/>
      </c>
      <c r="W70" s="21">
        <f>IFERROR(IF(ISBLANK(INDIRECT("'"&amp;$Q$2&amp;"'!O"&amp;ROW())),"",INDIRECT("'"&amp;$Q$2&amp;"'!O"&amp;ROW())),"")</f>
        <v/>
      </c>
      <c r="X70" s="21">
        <f>IF(OR($O70="",$W70=""),"",$O70-$W70)</f>
        <v/>
      </c>
      <c r="Y70" s="2" t="n"/>
      <c r="Z70" s="2" t="n"/>
    </row>
    <row r="71" ht="14.25" customHeight="1" s="58">
      <c r="A71" s="12" t="inlineStr">
        <is>
          <t>Telegram</t>
        </is>
      </c>
      <c r="B71" s="12" t="inlineStr">
        <is>
          <t>Не олени</t>
        </is>
      </c>
      <c r="C71" s="13" t="n">
        <v>30</v>
      </c>
      <c r="D71" s="13" t="n">
        <v>7786</v>
      </c>
      <c r="E71" s="13">
        <f>IF($D71="","",IFERROR(IF(ISBLANK(INDIRECT("'"&amp;$Q$2&amp;"'!D"&amp;ROW())),"",INDIRECT("'"&amp;$Q$2&amp;"'!D"&amp;ROW())),""))</f>
        <v/>
      </c>
      <c r="F71" s="15">
        <f>IF(OR(D71="",E71=""),"",D71-E71)</f>
        <v/>
      </c>
      <c r="G71" s="16">
        <f>IFERROR(F71/E71,"")</f>
        <v/>
      </c>
      <c r="H71" s="13" t="n">
        <v>704</v>
      </c>
      <c r="I71" s="13">
        <f>IF($H71="","",IFERROR(IF(ISBLANK(INDIRECT("'"&amp;$Q$2&amp;"'!H"&amp;ROW())),"",INDIRECT("'"&amp;$Q$2&amp;"'!H"&amp;ROW())),""))</f>
        <v/>
      </c>
      <c r="J71" s="15">
        <f>IF(OR(H71="",I71=""),"",H71-I71)</f>
        <v/>
      </c>
      <c r="K71" s="16">
        <f>IFERROR(J71/I71,"")</f>
        <v/>
      </c>
      <c r="L71" s="13">
        <f>IFERROR(D71/C71,"")</f>
        <v/>
      </c>
      <c r="M71" s="13">
        <f>IFERROR(H71/D71*1000,"")</f>
        <v/>
      </c>
      <c r="N71" s="13" t="n">
        <v>2505</v>
      </c>
      <c r="O71" s="15">
        <f>IFERROR(IF(OR(N71="",ISBLANK(INDIRECT("'"&amp;$Q$2&amp;"'!N"&amp;ROW()))),"",N71-INDIRECT("'"&amp;$Q$2&amp;"'!N"&amp;ROW())),"")</f>
        <v/>
      </c>
      <c r="P71" s="2" t="n"/>
      <c r="Q71" s="2" t="n"/>
      <c r="R71" s="2" t="n"/>
      <c r="S71" s="18">
        <f>IFERROR(IF(ISBLANK(INDIRECT("'"&amp;$Q$2&amp;"'!G"&amp;ROW())),"",INDIRECT("'"&amp;$Q$2&amp;"'!G"&amp;ROW())),"")</f>
        <v/>
      </c>
      <c r="T71" s="20">
        <f>IF(OR($G71="",$S71=""),"",$G71-$S71)</f>
        <v/>
      </c>
      <c r="U71" s="18">
        <f>IFERROR(IF(ISBLANK(INDIRECT("'"&amp;$Q$2&amp;"'!K"&amp;ROW())),"",INDIRECT("'"&amp;$Q$2&amp;"'!K"&amp;ROW())),"")</f>
        <v/>
      </c>
      <c r="V71" s="20">
        <f>IF(OR($K71="",$U71=""),"",$K71-$U71)</f>
        <v/>
      </c>
      <c r="W71" s="21">
        <f>IFERROR(IF(ISBLANK(INDIRECT("'"&amp;$Q$2&amp;"'!O"&amp;ROW())),"",INDIRECT("'"&amp;$Q$2&amp;"'!O"&amp;ROW())),"")</f>
        <v/>
      </c>
      <c r="X71" s="21">
        <f>IF(OR($O71="",$W71=""),"",$O71-$W71)</f>
        <v/>
      </c>
      <c r="Y71" s="2" t="n"/>
      <c r="Z71" s="2" t="n"/>
    </row>
    <row r="72" ht="14.25" customHeight="1" s="58">
      <c r="A72" s="12" t="inlineStr">
        <is>
          <t>Telegram</t>
        </is>
      </c>
      <c r="B72" s="12" t="inlineStr">
        <is>
          <t>Ямальский меридиан</t>
        </is>
      </c>
      <c r="C72" s="13" t="n">
        <v>9</v>
      </c>
      <c r="D72" s="13" t="n">
        <v>175</v>
      </c>
      <c r="E72" s="13">
        <f>IF($D72="","",IFERROR(IF(ISBLANK(INDIRECT("'"&amp;$Q$2&amp;"'!D"&amp;ROW())),"",INDIRECT("'"&amp;$Q$2&amp;"'!D"&amp;ROW())),""))</f>
        <v/>
      </c>
      <c r="F72" s="15">
        <f>IF(OR(D72="",E72=""),"",D72-E72)</f>
        <v/>
      </c>
      <c r="G72" s="16">
        <f>IFERROR(F72/E72,"")</f>
        <v/>
      </c>
      <c r="H72" s="13" t="n">
        <v>20</v>
      </c>
      <c r="I72" s="13">
        <f>IF($H72="","",IFERROR(IF(ISBLANK(INDIRECT("'"&amp;$Q$2&amp;"'!H"&amp;ROW())),"",INDIRECT("'"&amp;$Q$2&amp;"'!H"&amp;ROW())),""))</f>
        <v/>
      </c>
      <c r="J72" s="15">
        <f>IF(OR(H72="",I72=""),"",H72-I72)</f>
        <v/>
      </c>
      <c r="K72" s="16">
        <f>IFERROR(J72/I72,"")</f>
        <v/>
      </c>
      <c r="L72" s="13">
        <f>IFERROR(D72/C72,"")</f>
        <v/>
      </c>
      <c r="M72" s="13">
        <f>IFERROR(H72/D72*1000,"")</f>
        <v/>
      </c>
      <c r="N72" s="13" t="n">
        <v>173</v>
      </c>
      <c r="O72" s="15">
        <f>IFERROR(IF(OR(N72="",ISBLANK(INDIRECT("'"&amp;$Q$2&amp;"'!N"&amp;ROW()))),"",N72-INDIRECT("'"&amp;$Q$2&amp;"'!N"&amp;ROW())),"")</f>
        <v/>
      </c>
      <c r="P72" s="2" t="n"/>
      <c r="Q72" s="2" t="n"/>
      <c r="R72" s="2" t="n"/>
      <c r="S72" s="18">
        <f>IFERROR(IF(ISBLANK(INDIRECT("'"&amp;$Q$2&amp;"'!G"&amp;ROW())),"",INDIRECT("'"&amp;$Q$2&amp;"'!G"&amp;ROW())),"")</f>
        <v/>
      </c>
      <c r="T72" s="20">
        <f>IF(OR($G72="",$S72=""),"",$G72-$S72)</f>
        <v/>
      </c>
      <c r="U72" s="18">
        <f>IFERROR(IF(ISBLANK(INDIRECT("'"&amp;$Q$2&amp;"'!K"&amp;ROW())),"",INDIRECT("'"&amp;$Q$2&amp;"'!K"&amp;ROW())),"")</f>
        <v/>
      </c>
      <c r="V72" s="20">
        <f>IF(OR($K72="",$U72=""),"",$K72-$U72)</f>
        <v/>
      </c>
      <c r="W72" s="21">
        <f>IFERROR(IF(ISBLANK(INDIRECT("'"&amp;$Q$2&amp;"'!O"&amp;ROW())),"",INDIRECT("'"&amp;$Q$2&amp;"'!O"&amp;ROW())),"")</f>
        <v/>
      </c>
      <c r="X72" s="21">
        <f>IF(OR($O72="",$W72=""),"",$O72-$W72)</f>
        <v/>
      </c>
      <c r="Y72" s="2" t="n"/>
      <c r="Z72" s="2" t="n"/>
    </row>
    <row r="73" ht="14.25" customHeight="1" s="58">
      <c r="A73" s="12" t="inlineStr">
        <is>
          <t>Telegram</t>
        </is>
      </c>
      <c r="B73" s="12" t="inlineStr">
        <is>
          <t>Морошка</t>
        </is>
      </c>
      <c r="C73" s="13" t="n">
        <v>8</v>
      </c>
      <c r="D73" s="13" t="n">
        <v>2841</v>
      </c>
      <c r="E73" s="13">
        <f>IF($D73="","",IFERROR(IF(ISBLANK(INDIRECT("'"&amp;$Q$2&amp;"'!D"&amp;ROW())),"",INDIRECT("'"&amp;$Q$2&amp;"'!D"&amp;ROW())),""))</f>
        <v/>
      </c>
      <c r="F73" s="15">
        <f>IF(OR(D73="",E73=""),"",D73-E73)</f>
        <v/>
      </c>
      <c r="G73" s="16">
        <f>IFERROR(F73/E73,"")</f>
        <v/>
      </c>
      <c r="H73" s="13" t="n">
        <v>44</v>
      </c>
      <c r="I73" s="13">
        <f>IF($H73="","",IFERROR(IF(ISBLANK(INDIRECT("'"&amp;$Q$2&amp;"'!H"&amp;ROW())),"",INDIRECT("'"&amp;$Q$2&amp;"'!H"&amp;ROW())),""))</f>
        <v/>
      </c>
      <c r="J73" s="15">
        <f>IF(OR(H73="",I73=""),"",H73-I73)</f>
        <v/>
      </c>
      <c r="K73" s="16">
        <f>IFERROR(J73/I73,"")</f>
        <v/>
      </c>
      <c r="L73" s="13">
        <f>IFERROR(D73/C73,"")</f>
        <v/>
      </c>
      <c r="M73" s="13">
        <f>IFERROR(H73/D73*1000,"")</f>
        <v/>
      </c>
      <c r="N73" s="13" t="n">
        <v>53</v>
      </c>
      <c r="O73" s="15">
        <f>IFERROR(IF(OR(N73="",ISBLANK(INDIRECT("'"&amp;$Q$2&amp;"'!N"&amp;ROW()))),"",N73-INDIRECT("'"&amp;$Q$2&amp;"'!N"&amp;ROW())),"")</f>
        <v/>
      </c>
      <c r="P73" s="2" t="n"/>
      <c r="Q73" s="2" t="n"/>
      <c r="R73" s="2" t="n"/>
      <c r="S73" s="18">
        <f>IFERROR(IF(ISBLANK(INDIRECT("'"&amp;$Q$2&amp;"'!G"&amp;ROW())),"",INDIRECT("'"&amp;$Q$2&amp;"'!G"&amp;ROW())),"")</f>
        <v/>
      </c>
      <c r="T73" s="20">
        <f>IF(OR($G73="",$S73=""),"",$G73-$S73)</f>
        <v/>
      </c>
      <c r="U73" s="18">
        <f>IFERROR(IF(ISBLANK(INDIRECT("'"&amp;$Q$2&amp;"'!K"&amp;ROW())),"",INDIRECT("'"&amp;$Q$2&amp;"'!K"&amp;ROW())),"")</f>
        <v/>
      </c>
      <c r="V73" s="20">
        <f>IF(OR($K73="",$U73=""),"",$K73-$U73)</f>
        <v/>
      </c>
      <c r="W73" s="21">
        <f>IFERROR(IF(ISBLANK(INDIRECT("'"&amp;$Q$2&amp;"'!O"&amp;ROW())),"",INDIRECT("'"&amp;$Q$2&amp;"'!O"&amp;ROW())),"")</f>
        <v/>
      </c>
      <c r="X73" s="21">
        <f>IF(OR($O73="",$W73=""),"",$O73-$W73)</f>
        <v/>
      </c>
      <c r="Y73" s="2" t="n"/>
      <c r="Z73" s="2" t="n"/>
    </row>
    <row r="74" ht="14.25" customHeight="1" s="58">
      <c r="A74" s="25" t="n"/>
      <c r="B74" s="25" t="inlineStr">
        <is>
          <t>Итого Telegram</t>
        </is>
      </c>
      <c r="C74" s="26">
        <f>SUM(C52:C73)</f>
        <v/>
      </c>
      <c r="D74" s="26">
        <f>SUM(D52:D73)</f>
        <v/>
      </c>
      <c r="E74" s="26">
        <f>SUM(E52:E73)</f>
        <v/>
      </c>
      <c r="F74" s="27">
        <f>SUM(F52:F73)</f>
        <v/>
      </c>
      <c r="G74" s="28">
        <f>IF(C74=0,"",IFERROR(F74/E74,""))</f>
        <v/>
      </c>
      <c r="H74" s="26">
        <f>SUM(H52:H73)</f>
        <v/>
      </c>
      <c r="I74" s="26">
        <f>SUM(I52:I73)</f>
        <v/>
      </c>
      <c r="J74" s="27">
        <f>SUM(J52:J73)</f>
        <v/>
      </c>
      <c r="K74" s="28">
        <f>IF(C74=0,"",IFERROR(J74/I74,""))</f>
        <v/>
      </c>
      <c r="L74" s="26">
        <f>IFERROR(D74/C74,"")</f>
        <v/>
      </c>
      <c r="M74" s="26">
        <f>IFERROR(H74/D74*1000,"")</f>
        <v/>
      </c>
      <c r="N74" s="26">
        <f>SUM(N52:N73)</f>
        <v/>
      </c>
      <c r="O74" s="27">
        <f>SUM(O52:O73)</f>
        <v/>
      </c>
      <c r="P74" s="2" t="n"/>
      <c r="Q74" s="2" t="n"/>
      <c r="R74" s="2" t="n"/>
      <c r="S74" s="29">
        <f>IFERROR(IF(ISBLANK(INDIRECT("'"&amp;$Q$2&amp;"'!G"&amp;ROW())),"",INDIRECT("'"&amp;$Q$2&amp;"'!G"&amp;ROW())),"")</f>
        <v/>
      </c>
      <c r="T74" s="30">
        <f>IF(OR($G74="",$S74=""),"",$G74-$S74)</f>
        <v/>
      </c>
      <c r="U74" s="29">
        <f>IFERROR(IF(ISBLANK(INDIRECT("'"&amp;$Q$2&amp;"'!K"&amp;ROW())),"",INDIRECT("'"&amp;$Q$2&amp;"'!K"&amp;ROW())),"")</f>
        <v/>
      </c>
      <c r="V74" s="30">
        <f>IF(OR($K74="",$U74=""),"",$K74-$U74)</f>
        <v/>
      </c>
      <c r="W74" s="31">
        <f>IFERROR(IF(ISBLANK(INDIRECT("'"&amp;$Q$2&amp;"'!O"&amp;ROW())),"",INDIRECT("'"&amp;$Q$2&amp;"'!O"&amp;ROW())),"")</f>
        <v/>
      </c>
      <c r="X74" s="31">
        <f>IF(OR(C74=0,$O74="",$W74=""),"",$O74-$W74)</f>
        <v/>
      </c>
      <c r="Y74" s="2" t="n"/>
      <c r="Z74" s="2" t="n"/>
    </row>
    <row r="75" ht="14.25" customHeight="1" s="58">
      <c r="A75" s="12" t="inlineStr">
        <is>
          <t>МАКС</t>
        </is>
      </c>
      <c r="B75" s="12" t="inlineStr">
        <is>
          <t>Ямал-Медиа</t>
        </is>
      </c>
      <c r="C75" s="13" t="n">
        <v>143</v>
      </c>
      <c r="D75" s="13" t="n">
        <v>135695</v>
      </c>
      <c r="E75" s="13">
        <f>IF($D75="","",IFERROR(IF(ISBLANK(INDIRECT("'"&amp;$Q$2&amp;"'!D"&amp;ROW())),"",INDIRECT("'"&amp;$Q$2&amp;"'!D"&amp;ROW())),""))</f>
        <v/>
      </c>
      <c r="F75" s="15">
        <f>IF(OR(D75="",E75=""),"",D75-E75)</f>
        <v/>
      </c>
      <c r="G75" s="16">
        <f>IFERROR(F75/E75,"")</f>
        <v/>
      </c>
      <c r="H75" s="13" t="n">
        <v>1301</v>
      </c>
      <c r="I75" s="13">
        <f>IF($H75="","",IFERROR(IF(ISBLANK(INDIRECT("'"&amp;$Q$2&amp;"'!H"&amp;ROW())),"",INDIRECT("'"&amp;$Q$2&amp;"'!H"&amp;ROW())),""))</f>
        <v/>
      </c>
      <c r="J75" s="15">
        <f>IF(OR(H75="",I75=""),"",H75-I75)</f>
        <v/>
      </c>
      <c r="K75" s="16">
        <f>IFERROR(J75/I75,"")</f>
        <v/>
      </c>
      <c r="L75" s="13">
        <f>IFERROR(D75/C75,"")</f>
        <v/>
      </c>
      <c r="M75" s="13">
        <f>IFERROR(H75/D75*1000,"")</f>
        <v/>
      </c>
      <c r="N75" s="13" t="n">
        <v>4188</v>
      </c>
      <c r="O75" s="15">
        <f>IFERROR(IF(OR(N75="",ISBLANK(INDIRECT("'"&amp;$Q$2&amp;"'!N"&amp;ROW()))),"",N75-INDIRECT("'"&amp;$Q$2&amp;"'!N"&amp;ROW())),"")</f>
        <v/>
      </c>
      <c r="P75" s="2" t="n"/>
      <c r="Q75" s="2" t="n"/>
      <c r="R75" s="2" t="n"/>
      <c r="S75" s="18">
        <f>IFERROR(IF(ISBLANK(INDIRECT("'"&amp;$Q$2&amp;"'!G"&amp;ROW())),"",INDIRECT("'"&amp;$Q$2&amp;"'!G"&amp;ROW())),"")</f>
        <v/>
      </c>
      <c r="T75" s="20">
        <f>IF(OR($G75="",$S75=""),"",$G75-$S75)</f>
        <v/>
      </c>
      <c r="U75" s="18">
        <f>IFERROR(IF(ISBLANK(INDIRECT("'"&amp;$Q$2&amp;"'!K"&amp;ROW())),"",INDIRECT("'"&amp;$Q$2&amp;"'!K"&amp;ROW())),"")</f>
        <v/>
      </c>
      <c r="V75" s="20">
        <f>IF(OR($K75="",$U75=""),"",$K75-$U75)</f>
        <v/>
      </c>
      <c r="W75" s="21">
        <f>IFERROR(IF(ISBLANK(INDIRECT("'"&amp;$Q$2&amp;"'!O"&amp;ROW())),"",INDIRECT("'"&amp;$Q$2&amp;"'!O"&amp;ROW())),"")</f>
        <v/>
      </c>
      <c r="X75" s="21">
        <f>IF(OR($O75="",$W75=""),"",$O75-$W75)</f>
        <v/>
      </c>
      <c r="Y75" s="2" t="n"/>
      <c r="Z75" s="2" t="n"/>
    </row>
    <row r="76" ht="14.25" customHeight="1" s="58">
      <c r="A76" s="12" t="inlineStr">
        <is>
          <t>МАКС</t>
        </is>
      </c>
      <c r="B76" s="12" t="inlineStr">
        <is>
          <t>Север-Пресс</t>
        </is>
      </c>
      <c r="C76" s="13" t="n">
        <v>141</v>
      </c>
      <c r="D76" s="13" t="n">
        <v>60348</v>
      </c>
      <c r="E76" s="13">
        <f>IF($D76="","",IFERROR(IF(ISBLANK(INDIRECT("'"&amp;$Q$2&amp;"'!D"&amp;ROW())),"",INDIRECT("'"&amp;$Q$2&amp;"'!D"&amp;ROW())),""))</f>
        <v/>
      </c>
      <c r="F76" s="15">
        <f>IF(OR(D76="",E76=""),"",D76-E76)</f>
        <v/>
      </c>
      <c r="G76" s="16">
        <f>IFERROR(F76/E76,"")</f>
        <v/>
      </c>
      <c r="H76" s="13" t="n">
        <v>235</v>
      </c>
      <c r="I76" s="13">
        <f>IF($H76="","",IFERROR(IF(ISBLANK(INDIRECT("'"&amp;$Q$2&amp;"'!H"&amp;ROW())),"",INDIRECT("'"&amp;$Q$2&amp;"'!H"&amp;ROW())),""))</f>
        <v/>
      </c>
      <c r="J76" s="15">
        <f>IF(OR(H76="",I76=""),"",H76-I76)</f>
        <v/>
      </c>
      <c r="K76" s="16">
        <f>IFERROR(J76/I76,"")</f>
        <v/>
      </c>
      <c r="L76" s="13">
        <f>IFERROR(D76/C76,"")</f>
        <v/>
      </c>
      <c r="M76" s="13">
        <f>IFERROR(H76/D76*1000,"")</f>
        <v/>
      </c>
      <c r="N76" s="13" t="n">
        <v>2207</v>
      </c>
      <c r="O76" s="15">
        <f>IFERROR(IF(OR(N76="",ISBLANK(INDIRECT("'"&amp;$Q$2&amp;"'!N"&amp;ROW()))),"",N76-INDIRECT("'"&amp;$Q$2&amp;"'!N"&amp;ROW())),"")</f>
        <v/>
      </c>
      <c r="P76" s="2" t="n"/>
      <c r="Q76" s="2" t="n"/>
      <c r="R76" s="2" t="n"/>
      <c r="S76" s="18">
        <f>IFERROR(IF(ISBLANK(INDIRECT("'"&amp;$Q$2&amp;"'!G"&amp;ROW())),"",INDIRECT("'"&amp;$Q$2&amp;"'!G"&amp;ROW())),"")</f>
        <v/>
      </c>
      <c r="T76" s="20">
        <f>IF(OR($G76="",$S76=""),"",$G76-$S76)</f>
        <v/>
      </c>
      <c r="U76" s="18">
        <f>IFERROR(IF(ISBLANK(INDIRECT("'"&amp;$Q$2&amp;"'!K"&amp;ROW())),"",INDIRECT("'"&amp;$Q$2&amp;"'!K"&amp;ROW())),"")</f>
        <v/>
      </c>
      <c r="V76" s="20">
        <f>IF(OR($K76="",$U76=""),"",$K76-$U76)</f>
        <v/>
      </c>
      <c r="W76" s="21">
        <f>IFERROR(IF(ISBLANK(INDIRECT("'"&amp;$Q$2&amp;"'!O"&amp;ROW())),"",INDIRECT("'"&amp;$Q$2&amp;"'!O"&amp;ROW())),"")</f>
        <v/>
      </c>
      <c r="X76" s="21">
        <f>IF(OR($O76="",$W76=""),"",$O76-$W76)</f>
        <v/>
      </c>
      <c r="Y76" s="2" t="n"/>
      <c r="Z76" s="2" t="n"/>
    </row>
    <row r="77" ht="14.25" customHeight="1" s="58">
      <c r="A77" s="12" t="inlineStr">
        <is>
          <t>МАКС</t>
        </is>
      </c>
      <c r="B77" s="12" t="inlineStr">
        <is>
          <t>Красный Север</t>
        </is>
      </c>
      <c r="C77" s="13" t="n">
        <v>81</v>
      </c>
      <c r="D77" s="13" t="n">
        <v>4997</v>
      </c>
      <c r="E77" s="13">
        <f>IF($D77="","",IFERROR(IF(ISBLANK(INDIRECT("'"&amp;$Q$2&amp;"'!D"&amp;ROW())),"",INDIRECT("'"&amp;$Q$2&amp;"'!D"&amp;ROW())),""))</f>
        <v/>
      </c>
      <c r="F77" s="15">
        <f>IF(OR(D77="",E77=""),"",D77-E77)</f>
        <v/>
      </c>
      <c r="G77" s="16">
        <f>IFERROR(F77/E77,"")</f>
        <v/>
      </c>
      <c r="H77" s="13" t="n">
        <v>9</v>
      </c>
      <c r="I77" s="13">
        <f>IF($H77="","",IFERROR(IF(ISBLANK(INDIRECT("'"&amp;$Q$2&amp;"'!H"&amp;ROW())),"",INDIRECT("'"&amp;$Q$2&amp;"'!H"&amp;ROW())),""))</f>
        <v/>
      </c>
      <c r="J77" s="15">
        <f>IF(OR(H77="",I77=""),"",H77-I77)</f>
        <v/>
      </c>
      <c r="K77" s="16">
        <f>IFERROR(J77/I77,"")</f>
        <v/>
      </c>
      <c r="L77" s="13">
        <f>IFERROR(D77/C77,"")</f>
        <v/>
      </c>
      <c r="M77" s="13">
        <f>IFERROR(H77/D77*1000,"")</f>
        <v/>
      </c>
      <c r="N77" s="13" t="n">
        <v>267</v>
      </c>
      <c r="O77" s="15">
        <f>IFERROR(IF(OR(N77="",ISBLANK(INDIRECT("'"&amp;$Q$2&amp;"'!N"&amp;ROW()))),"",N77-INDIRECT("'"&amp;$Q$2&amp;"'!N"&amp;ROW())),"")</f>
        <v/>
      </c>
      <c r="P77" s="2" t="n"/>
      <c r="Q77" s="2" t="n"/>
      <c r="R77" s="2" t="n"/>
      <c r="S77" s="18">
        <f>IFERROR(IF(ISBLANK(INDIRECT("'"&amp;$Q$2&amp;"'!G"&amp;ROW())),"",INDIRECT("'"&amp;$Q$2&amp;"'!G"&amp;ROW())),"")</f>
        <v/>
      </c>
      <c r="T77" s="20">
        <f>IF(OR($G77="",$S77=""),"",$G77-$S77)</f>
        <v/>
      </c>
      <c r="U77" s="18">
        <f>IFERROR(IF(ISBLANK(INDIRECT("'"&amp;$Q$2&amp;"'!K"&amp;ROW())),"",INDIRECT("'"&amp;$Q$2&amp;"'!K"&amp;ROW())),"")</f>
        <v/>
      </c>
      <c r="V77" s="20">
        <f>IF(OR($K77="",$U77=""),"",$K77-$U77)</f>
        <v/>
      </c>
      <c r="W77" s="21">
        <f>IFERROR(IF(ISBLANK(INDIRECT("'"&amp;$Q$2&amp;"'!O"&amp;ROW())),"",INDIRECT("'"&amp;$Q$2&amp;"'!O"&amp;ROW())),"")</f>
        <v/>
      </c>
      <c r="X77" s="21">
        <f>IF(OR($O77="",$W77=""),"",$O77-$W77)</f>
        <v/>
      </c>
      <c r="Y77" s="2" t="n"/>
      <c r="Z77" s="2" t="n"/>
    </row>
    <row r="78" ht="14.25" customHeight="1" s="58">
      <c r="A78" s="12" t="inlineStr">
        <is>
          <t>МАКС</t>
        </is>
      </c>
      <c r="B78" s="12" t="inlineStr">
        <is>
          <t>СМП</t>
        </is>
      </c>
      <c r="C78" s="13" t="n">
        <v>7</v>
      </c>
      <c r="D78" s="13" t="n">
        <v>984</v>
      </c>
      <c r="E78" s="13">
        <f>IF($D78="","",IFERROR(IF(ISBLANK(INDIRECT("'"&amp;$Q$2&amp;"'!D"&amp;ROW())),"",INDIRECT("'"&amp;$Q$2&amp;"'!D"&amp;ROW())),""))</f>
        <v/>
      </c>
      <c r="F78" s="15">
        <f>IF(OR(D78="",E78=""),"",D78-E78)</f>
        <v/>
      </c>
      <c r="G78" s="16">
        <f>IFERROR(F78/E78,"")</f>
        <v/>
      </c>
      <c r="H78" s="13" t="n">
        <v>17</v>
      </c>
      <c r="I78" s="13">
        <f>IF($H78="","",IFERROR(IF(ISBLANK(INDIRECT("'"&amp;$Q$2&amp;"'!H"&amp;ROW())),"",INDIRECT("'"&amp;$Q$2&amp;"'!H"&amp;ROW())),""))</f>
        <v/>
      </c>
      <c r="J78" s="15">
        <f>IF(OR(H78="",I78=""),"",H78-I78)</f>
        <v/>
      </c>
      <c r="K78" s="16">
        <f>IFERROR(J78/I78,"")</f>
        <v/>
      </c>
      <c r="L78" s="13">
        <f>IFERROR(D78/C78,"")</f>
        <v/>
      </c>
      <c r="M78" s="13">
        <f>IFERROR(H78/D78*1000,"")</f>
        <v/>
      </c>
      <c r="N78" s="13" t="n">
        <v>194</v>
      </c>
      <c r="O78" s="15">
        <f>IFERROR(IF(OR(N78="",ISBLANK(INDIRECT("'"&amp;$Q$2&amp;"'!N"&amp;ROW()))),"",N78-INDIRECT("'"&amp;$Q$2&amp;"'!N"&amp;ROW())),"")</f>
        <v/>
      </c>
      <c r="P78" s="2" t="n"/>
      <c r="Q78" s="2" t="n"/>
      <c r="R78" s="2" t="n"/>
      <c r="S78" s="18">
        <f>IFERROR(IF(ISBLANK(INDIRECT("'"&amp;$Q$2&amp;"'!G"&amp;ROW())),"",INDIRECT("'"&amp;$Q$2&amp;"'!G"&amp;ROW())),"")</f>
        <v/>
      </c>
      <c r="T78" s="20">
        <f>IF(OR($G78="",$S78=""),"",$G78-$S78)</f>
        <v/>
      </c>
      <c r="U78" s="18">
        <f>IFERROR(IF(ISBLANK(INDIRECT("'"&amp;$Q$2&amp;"'!K"&amp;ROW())),"",INDIRECT("'"&amp;$Q$2&amp;"'!K"&amp;ROW())),"")</f>
        <v/>
      </c>
      <c r="V78" s="20">
        <f>IF(OR($K78="",$U78=""),"",$K78-$U78)</f>
        <v/>
      </c>
      <c r="W78" s="21">
        <f>IFERROR(IF(ISBLANK(INDIRECT("'"&amp;$Q$2&amp;"'!O"&amp;ROW())),"",INDIRECT("'"&amp;$Q$2&amp;"'!O"&amp;ROW())),"")</f>
        <v/>
      </c>
      <c r="X78" s="21">
        <f>IF(OR($O78="",$W78=""),"",$O78-$W78)</f>
        <v/>
      </c>
      <c r="Y78" s="2" t="n"/>
      <c r="Z78" s="2" t="n"/>
    </row>
    <row r="79" ht="14.25" customHeight="1" s="58">
      <c r="A79" s="12" t="inlineStr">
        <is>
          <t>МАКС</t>
        </is>
      </c>
      <c r="B79" s="12" t="inlineStr">
        <is>
          <t>СШХ</t>
        </is>
      </c>
      <c r="C79" s="13" t="n">
        <v>7</v>
      </c>
      <c r="D79" s="13" t="n">
        <v>102</v>
      </c>
      <c r="E79" s="13">
        <f>IF($D79="","",IFERROR(IF(ISBLANK(INDIRECT("'"&amp;$Q$2&amp;"'!D"&amp;ROW())),"",INDIRECT("'"&amp;$Q$2&amp;"'!D"&amp;ROW())),""))</f>
        <v/>
      </c>
      <c r="F79" s="15">
        <f>IF(OR(D79="",E79=""),"",D79-E79)</f>
        <v/>
      </c>
      <c r="G79" s="16">
        <f>IFERROR(F79/E79,"")</f>
        <v/>
      </c>
      <c r="H79" s="13" t="n">
        <v>0</v>
      </c>
      <c r="I79" s="13">
        <f>IF($H79="","",IFERROR(IF(ISBLANK(INDIRECT("'"&amp;$Q$2&amp;"'!H"&amp;ROW())),"",INDIRECT("'"&amp;$Q$2&amp;"'!H"&amp;ROW())),""))</f>
        <v/>
      </c>
      <c r="J79" s="15">
        <f>IF(OR(H79="",I79=""),"",H79-I79)</f>
        <v/>
      </c>
      <c r="K79" s="16">
        <f>IFERROR(J79/I79,"")</f>
        <v/>
      </c>
      <c r="L79" s="13">
        <f>IFERROR(D79/C79,"")</f>
        <v/>
      </c>
      <c r="M79" s="13">
        <f>IFERROR(H79/D79*1000,"")</f>
        <v/>
      </c>
      <c r="N79" s="13" t="n">
        <v>36</v>
      </c>
      <c r="O79" s="15">
        <f>IFERROR(IF(OR(N79="",ISBLANK(INDIRECT("'"&amp;$Q$2&amp;"'!N"&amp;ROW()))),"",N79-INDIRECT("'"&amp;$Q$2&amp;"'!N"&amp;ROW())),"")</f>
        <v/>
      </c>
      <c r="P79" s="2" t="n"/>
      <c r="Q79" s="2" t="n"/>
      <c r="R79" s="2" t="n"/>
      <c r="S79" s="18">
        <f>IFERROR(IF(ISBLANK(INDIRECT("'"&amp;$Q$2&amp;"'!G"&amp;ROW())),"",INDIRECT("'"&amp;$Q$2&amp;"'!G"&amp;ROW())),"")</f>
        <v/>
      </c>
      <c r="T79" s="20">
        <f>IF(OR($G79="",$S79=""),"",$G79-$S79)</f>
        <v/>
      </c>
      <c r="U79" s="18">
        <f>IFERROR(IF(ISBLANK(INDIRECT("'"&amp;$Q$2&amp;"'!K"&amp;ROW())),"",INDIRECT("'"&amp;$Q$2&amp;"'!K"&amp;ROW())),"")</f>
        <v/>
      </c>
      <c r="V79" s="20">
        <f>IF(OR($K79="",$U79=""),"",$K79-$U79)</f>
        <v/>
      </c>
      <c r="W79" s="21">
        <f>IFERROR(IF(ISBLANK(INDIRECT("'"&amp;$Q$2&amp;"'!O"&amp;ROW())),"",INDIRECT("'"&amp;$Q$2&amp;"'!O"&amp;ROW())),"")</f>
        <v/>
      </c>
      <c r="X79" s="21">
        <f>IF(OR($O79="",$W79=""),"",$O79-$W79)</f>
        <v/>
      </c>
      <c r="Y79" s="2" t="n"/>
      <c r="Z79" s="2" t="n"/>
    </row>
    <row r="80" ht="14.25" customHeight="1" s="58">
      <c r="A80" s="12" t="inlineStr">
        <is>
          <t>МАКС</t>
        </is>
      </c>
      <c r="B80" s="12" t="inlineStr">
        <is>
          <t>Новый Уренгой</t>
        </is>
      </c>
      <c r="C80" s="13" t="n">
        <v>136</v>
      </c>
      <c r="D80" s="13" t="n">
        <v>207073</v>
      </c>
      <c r="E80" s="13">
        <f>IF($D80="","",IFERROR(IF(ISBLANK(INDIRECT("'"&amp;$Q$2&amp;"'!D"&amp;ROW())),"",INDIRECT("'"&amp;$Q$2&amp;"'!D"&amp;ROW())),""))</f>
        <v/>
      </c>
      <c r="F80" s="15">
        <f>IF(OR(D80="",E80=""),"",D80-E80)</f>
        <v/>
      </c>
      <c r="G80" s="16">
        <f>IFERROR(F80/E80,"")</f>
        <v/>
      </c>
      <c r="H80" s="13" t="n">
        <v>2041</v>
      </c>
      <c r="I80" s="13">
        <f>IF($H80="","",IFERROR(IF(ISBLANK(INDIRECT("'"&amp;$Q$2&amp;"'!H"&amp;ROW())),"",INDIRECT("'"&amp;$Q$2&amp;"'!H"&amp;ROW())),""))</f>
        <v/>
      </c>
      <c r="J80" s="15">
        <f>IF(OR(H80="",I80=""),"",H80-I80)</f>
        <v/>
      </c>
      <c r="K80" s="16">
        <f>IFERROR(J80/I80,"")</f>
        <v/>
      </c>
      <c r="L80" s="13">
        <f>IFERROR(D80/C80,"")</f>
        <v/>
      </c>
      <c r="M80" s="13">
        <f>IFERROR(H80/D80*1000,"")</f>
        <v/>
      </c>
      <c r="N80" s="13" t="n">
        <v>4089</v>
      </c>
      <c r="O80" s="15">
        <f>IFERROR(IF(OR(N80="",ISBLANK(INDIRECT("'"&amp;$Q$2&amp;"'!N"&amp;ROW()))),"",N80-INDIRECT("'"&amp;$Q$2&amp;"'!N"&amp;ROW())),"")</f>
        <v/>
      </c>
      <c r="P80" s="2" t="n"/>
      <c r="Q80" s="2" t="n"/>
      <c r="R80" s="2" t="n"/>
      <c r="S80" s="18">
        <f>IFERROR(IF(ISBLANK(INDIRECT("'"&amp;$Q$2&amp;"'!G"&amp;ROW())),"",INDIRECT("'"&amp;$Q$2&amp;"'!G"&amp;ROW())),"")</f>
        <v/>
      </c>
      <c r="T80" s="20">
        <f>IF(OR($G80="",$S80=""),"",$G80-$S80)</f>
        <v/>
      </c>
      <c r="U80" s="18">
        <f>IFERROR(IF(ISBLANK(INDIRECT("'"&amp;$Q$2&amp;"'!K"&amp;ROW())),"",INDIRECT("'"&amp;$Q$2&amp;"'!K"&amp;ROW())),"")</f>
        <v/>
      </c>
      <c r="V80" s="20">
        <f>IF(OR($K80="",$U80=""),"",$K80-$U80)</f>
        <v/>
      </c>
      <c r="W80" s="21">
        <f>IFERROR(IF(ISBLANK(INDIRECT("'"&amp;$Q$2&amp;"'!O"&amp;ROW())),"",INDIRECT("'"&amp;$Q$2&amp;"'!O"&amp;ROW())),"")</f>
        <v/>
      </c>
      <c r="X80" s="21">
        <f>IF(OR($O80="",$W80=""),"",$O80-$W80)</f>
        <v/>
      </c>
      <c r="Y80" s="2" t="n"/>
      <c r="Z80" s="2" t="n"/>
    </row>
    <row r="81" ht="14.25" customHeight="1" s="58">
      <c r="A81" s="12" t="inlineStr">
        <is>
          <t>МАКС</t>
        </is>
      </c>
      <c r="B81" s="12" t="inlineStr">
        <is>
          <t>Надым</t>
        </is>
      </c>
      <c r="C81" s="13" t="n">
        <v>104</v>
      </c>
      <c r="D81" s="13" t="n">
        <v>88661</v>
      </c>
      <c r="E81" s="13">
        <f>IF($D81="","",IFERROR(IF(ISBLANK(INDIRECT("'"&amp;$Q$2&amp;"'!D"&amp;ROW())),"",INDIRECT("'"&amp;$Q$2&amp;"'!D"&amp;ROW())),""))</f>
        <v/>
      </c>
      <c r="F81" s="15">
        <f>IF(OR(D81="",E81=""),"",D81-E81)</f>
        <v/>
      </c>
      <c r="G81" s="16">
        <f>IFERROR(F81/E81,"")</f>
        <v/>
      </c>
      <c r="H81" s="13" t="n">
        <v>2596</v>
      </c>
      <c r="I81" s="13">
        <f>IF($H81="","",IFERROR(IF(ISBLANK(INDIRECT("'"&amp;$Q$2&amp;"'!H"&amp;ROW())),"",INDIRECT("'"&amp;$Q$2&amp;"'!H"&amp;ROW())),""))</f>
        <v/>
      </c>
      <c r="J81" s="15">
        <f>IF(OR(H81="",I81=""),"",H81-I81)</f>
        <v/>
      </c>
      <c r="K81" s="16">
        <f>IFERROR(J81/I81,"")</f>
        <v/>
      </c>
      <c r="L81" s="13">
        <f>IFERROR(D81/C81,"")</f>
        <v/>
      </c>
      <c r="M81" s="13">
        <f>IFERROR(H81/D81*1000,"")</f>
        <v/>
      </c>
      <c r="N81" s="13" t="n">
        <v>2170</v>
      </c>
      <c r="O81" s="15">
        <f>IFERROR(IF(OR(N81="",ISBLANK(INDIRECT("'"&amp;$Q$2&amp;"'!N"&amp;ROW()))),"",N81-INDIRECT("'"&amp;$Q$2&amp;"'!N"&amp;ROW())),"")</f>
        <v/>
      </c>
      <c r="P81" s="2" t="n"/>
      <c r="Q81" s="2" t="n"/>
      <c r="R81" s="2" t="n"/>
      <c r="S81" s="18">
        <f>IFERROR(IF(ISBLANK(INDIRECT("'"&amp;$Q$2&amp;"'!G"&amp;ROW())),"",INDIRECT("'"&amp;$Q$2&amp;"'!G"&amp;ROW())),"")</f>
        <v/>
      </c>
      <c r="T81" s="20">
        <f>IF(OR($G81="",$S81=""),"",$G81-$S81)</f>
        <v/>
      </c>
      <c r="U81" s="18">
        <f>IFERROR(IF(ISBLANK(INDIRECT("'"&amp;$Q$2&amp;"'!K"&amp;ROW())),"",INDIRECT("'"&amp;$Q$2&amp;"'!K"&amp;ROW())),"")</f>
        <v/>
      </c>
      <c r="V81" s="20">
        <f>IF(OR($K81="",$U81=""),"",$K81-$U81)</f>
        <v/>
      </c>
      <c r="W81" s="21">
        <f>IFERROR(IF(ISBLANK(INDIRECT("'"&amp;$Q$2&amp;"'!O"&amp;ROW())),"",INDIRECT("'"&amp;$Q$2&amp;"'!O"&amp;ROW())),"")</f>
        <v/>
      </c>
      <c r="X81" s="21">
        <f>IF(OR($O81="",$W81=""),"",$O81-$W81)</f>
        <v/>
      </c>
      <c r="Y81" s="2" t="n"/>
      <c r="Z81" s="2" t="n"/>
    </row>
    <row r="82" ht="14.25" customHeight="1" s="58">
      <c r="A82" s="12" t="inlineStr">
        <is>
          <t>МАКС</t>
        </is>
      </c>
      <c r="B82" s="12" t="inlineStr">
        <is>
          <t>Ноябрьск</t>
        </is>
      </c>
      <c r="C82" s="13" t="n">
        <v>118</v>
      </c>
      <c r="D82" s="13" t="n">
        <v>188707</v>
      </c>
      <c r="E82" s="13">
        <f>IF($D82="","",IFERROR(IF(ISBLANK(INDIRECT("'"&amp;$Q$2&amp;"'!D"&amp;ROW())),"",INDIRECT("'"&amp;$Q$2&amp;"'!D"&amp;ROW())),""))</f>
        <v/>
      </c>
      <c r="F82" s="15">
        <f>IF(OR(D82="",E82=""),"",D82-E82)</f>
        <v/>
      </c>
      <c r="G82" s="16">
        <f>IFERROR(F82/E82,"")</f>
        <v/>
      </c>
      <c r="H82" s="13" t="n">
        <v>4640</v>
      </c>
      <c r="I82" s="13">
        <f>IF($H82="","",IFERROR(IF(ISBLANK(INDIRECT("'"&amp;$Q$2&amp;"'!H"&amp;ROW())),"",INDIRECT("'"&amp;$Q$2&amp;"'!H"&amp;ROW())),""))</f>
        <v/>
      </c>
      <c r="J82" s="15">
        <f>IF(OR(H82="",I82=""),"",H82-I82)</f>
        <v/>
      </c>
      <c r="K82" s="16">
        <f>IFERROR(J82/I82,"")</f>
        <v/>
      </c>
      <c r="L82" s="13">
        <f>IFERROR(D82/C82,"")</f>
        <v/>
      </c>
      <c r="M82" s="13">
        <f>IFERROR(H82/D82*1000,"")</f>
        <v/>
      </c>
      <c r="N82" s="13" t="n">
        <v>3617</v>
      </c>
      <c r="O82" s="15">
        <f>IFERROR(IF(OR(N82="",ISBLANK(INDIRECT("'"&amp;$Q$2&amp;"'!N"&amp;ROW()))),"",N82-INDIRECT("'"&amp;$Q$2&amp;"'!N"&amp;ROW())),"")</f>
        <v/>
      </c>
      <c r="P82" s="2" t="n"/>
      <c r="Q82" s="2" t="n"/>
      <c r="R82" s="2" t="n"/>
      <c r="S82" s="18">
        <f>IFERROR(IF(ISBLANK(INDIRECT("'"&amp;$Q$2&amp;"'!G"&amp;ROW())),"",INDIRECT("'"&amp;$Q$2&amp;"'!G"&amp;ROW())),"")</f>
        <v/>
      </c>
      <c r="T82" s="20">
        <f>IF(OR($G82="",$S82=""),"",$G82-$S82)</f>
        <v/>
      </c>
      <c r="U82" s="18">
        <f>IFERROR(IF(ISBLANK(INDIRECT("'"&amp;$Q$2&amp;"'!K"&amp;ROW())),"",INDIRECT("'"&amp;$Q$2&amp;"'!K"&amp;ROW())),"")</f>
        <v/>
      </c>
      <c r="V82" s="20">
        <f>IF(OR($K82="",$U82=""),"",$K82-$U82)</f>
        <v/>
      </c>
      <c r="W82" s="21">
        <f>IFERROR(IF(ISBLANK(INDIRECT("'"&amp;$Q$2&amp;"'!O"&amp;ROW())),"",INDIRECT("'"&amp;$Q$2&amp;"'!O"&amp;ROW())),"")</f>
        <v/>
      </c>
      <c r="X82" s="21">
        <f>IF(OR($O82="",$W82=""),"",$O82-$W82)</f>
        <v/>
      </c>
      <c r="Y82" s="2" t="n"/>
      <c r="Z82" s="2" t="n"/>
    </row>
    <row r="83" ht="14.25" customHeight="1" s="58">
      <c r="A83" s="12" t="inlineStr">
        <is>
          <t>МАКС</t>
        </is>
      </c>
      <c r="B83" s="12" t="inlineStr">
        <is>
          <t>Салехард</t>
        </is>
      </c>
      <c r="C83" s="13" t="n">
        <v>103</v>
      </c>
      <c r="D83" s="13" t="n">
        <v>63728</v>
      </c>
      <c r="E83" s="13">
        <f>IF($D83="","",IFERROR(IF(ISBLANK(INDIRECT("'"&amp;$Q$2&amp;"'!D"&amp;ROW())),"",INDIRECT("'"&amp;$Q$2&amp;"'!D"&amp;ROW())),""))</f>
        <v/>
      </c>
      <c r="F83" s="15">
        <f>IF(OR(D83="",E83=""),"",D83-E83)</f>
        <v/>
      </c>
      <c r="G83" s="16">
        <f>IFERROR(F83/E83,"")</f>
        <v/>
      </c>
      <c r="H83" s="13" t="n">
        <v>586</v>
      </c>
      <c r="I83" s="13">
        <f>IF($H83="","",IFERROR(IF(ISBLANK(INDIRECT("'"&amp;$Q$2&amp;"'!H"&amp;ROW())),"",INDIRECT("'"&amp;$Q$2&amp;"'!H"&amp;ROW())),""))</f>
        <v/>
      </c>
      <c r="J83" s="15">
        <f>IF(OR(H83="",I83=""),"",H83-I83)</f>
        <v/>
      </c>
      <c r="K83" s="16">
        <f>IFERROR(J83/I83,"")</f>
        <v/>
      </c>
      <c r="L83" s="13">
        <f>IFERROR(D83/C83,"")</f>
        <v/>
      </c>
      <c r="M83" s="13">
        <f>IFERROR(H83/D83*1000,"")</f>
        <v/>
      </c>
      <c r="N83" s="13" t="n">
        <v>1596</v>
      </c>
      <c r="O83" s="15">
        <f>IFERROR(IF(OR(N83="",ISBLANK(INDIRECT("'"&amp;$Q$2&amp;"'!N"&amp;ROW()))),"",N83-INDIRECT("'"&amp;$Q$2&amp;"'!N"&amp;ROW())),"")</f>
        <v/>
      </c>
      <c r="P83" s="2" t="n"/>
      <c r="Q83" s="2" t="n"/>
      <c r="R83" s="2" t="n"/>
      <c r="S83" s="18">
        <f>IFERROR(IF(ISBLANK(INDIRECT("'"&amp;$Q$2&amp;"'!G"&amp;ROW())),"",INDIRECT("'"&amp;$Q$2&amp;"'!G"&amp;ROW())),"")</f>
        <v/>
      </c>
      <c r="T83" s="20">
        <f>IF(OR($G83="",$S83=""),"",$G83-$S83)</f>
        <v/>
      </c>
      <c r="U83" s="18">
        <f>IFERROR(IF(ISBLANK(INDIRECT("'"&amp;$Q$2&amp;"'!K"&amp;ROW())),"",INDIRECT("'"&amp;$Q$2&amp;"'!K"&amp;ROW())),"")</f>
        <v/>
      </c>
      <c r="V83" s="20">
        <f>IF(OR($K83="",$U83=""),"",$K83-$U83)</f>
        <v/>
      </c>
      <c r="W83" s="21">
        <f>IFERROR(IF(ISBLANK(INDIRECT("'"&amp;$Q$2&amp;"'!O"&amp;ROW())),"",INDIRECT("'"&amp;$Q$2&amp;"'!O"&amp;ROW())),"")</f>
        <v/>
      </c>
      <c r="X83" s="21">
        <f>IF(OR($O83="",$W83=""),"",$O83-$W83)</f>
        <v/>
      </c>
      <c r="Y83" s="2" t="n"/>
      <c r="Z83" s="2" t="n"/>
    </row>
    <row r="84" ht="14.25" customHeight="1" s="58">
      <c r="A84" s="12" t="inlineStr">
        <is>
          <t>МАКС</t>
        </is>
      </c>
      <c r="B84" s="12" t="inlineStr">
        <is>
          <t>Приуралье</t>
        </is>
      </c>
      <c r="C84" s="13" t="n">
        <v>105</v>
      </c>
      <c r="D84" s="13" t="n">
        <v>25850</v>
      </c>
      <c r="E84" s="13">
        <f>IF($D84="","",IFERROR(IF(ISBLANK(INDIRECT("'"&amp;$Q$2&amp;"'!D"&amp;ROW())),"",INDIRECT("'"&amp;$Q$2&amp;"'!D"&amp;ROW())),""))</f>
        <v/>
      </c>
      <c r="F84" s="15">
        <f>IF(OR(D84="",E84=""),"",D84-E84)</f>
        <v/>
      </c>
      <c r="G84" s="16">
        <f>IFERROR(F84/E84,"")</f>
        <v/>
      </c>
      <c r="H84" s="13" t="n">
        <v>336</v>
      </c>
      <c r="I84" s="13">
        <f>IF($H84="","",IFERROR(IF(ISBLANK(INDIRECT("'"&amp;$Q$2&amp;"'!H"&amp;ROW())),"",INDIRECT("'"&amp;$Q$2&amp;"'!H"&amp;ROW())),""))</f>
        <v/>
      </c>
      <c r="J84" s="15">
        <f>IF(OR(H84="",I84=""),"",H84-I84)</f>
        <v/>
      </c>
      <c r="K84" s="16">
        <f>IFERROR(J84/I84,"")</f>
        <v/>
      </c>
      <c r="L84" s="13">
        <f>IFERROR(D84/C84,"")</f>
        <v/>
      </c>
      <c r="M84" s="13">
        <f>IFERROR(H84/D84*1000,"")</f>
        <v/>
      </c>
      <c r="N84" s="13" t="n">
        <v>729</v>
      </c>
      <c r="O84" s="15">
        <f>IFERROR(IF(OR(N84="",ISBLANK(INDIRECT("'"&amp;$Q$2&amp;"'!N"&amp;ROW()))),"",N84-INDIRECT("'"&amp;$Q$2&amp;"'!N"&amp;ROW())),"")</f>
        <v/>
      </c>
      <c r="P84" s="2" t="n"/>
      <c r="Q84" s="2" t="n"/>
      <c r="R84" s="2" t="n"/>
      <c r="S84" s="18">
        <f>IFERROR(IF(ISBLANK(INDIRECT("'"&amp;$Q$2&amp;"'!G"&amp;ROW())),"",INDIRECT("'"&amp;$Q$2&amp;"'!G"&amp;ROW())),"")</f>
        <v/>
      </c>
      <c r="T84" s="20">
        <f>IF(OR($G84="",$S84=""),"",$G84-$S84)</f>
        <v/>
      </c>
      <c r="U84" s="18">
        <f>IFERROR(IF(ISBLANK(INDIRECT("'"&amp;$Q$2&amp;"'!K"&amp;ROW())),"",INDIRECT("'"&amp;$Q$2&amp;"'!K"&amp;ROW())),"")</f>
        <v/>
      </c>
      <c r="V84" s="20">
        <f>IF(OR($K84="",$U84=""),"",$K84-$U84)</f>
        <v/>
      </c>
      <c r="W84" s="21">
        <f>IFERROR(IF(ISBLANK(INDIRECT("'"&amp;$Q$2&amp;"'!O"&amp;ROW())),"",INDIRECT("'"&amp;$Q$2&amp;"'!O"&amp;ROW())),"")</f>
        <v/>
      </c>
      <c r="X84" s="21">
        <f>IF(OR($O84="",$W84=""),"",$O84-$W84)</f>
        <v/>
      </c>
      <c r="Y84" s="2" t="n"/>
      <c r="Z84" s="2" t="n"/>
    </row>
    <row r="85" ht="14.25" customHeight="1" s="58">
      <c r="A85" s="12" t="inlineStr">
        <is>
          <t>МАКС</t>
        </is>
      </c>
      <c r="B85" s="12" t="inlineStr">
        <is>
          <t>Лабытнанги</t>
        </is>
      </c>
      <c r="C85" s="13" t="n">
        <v>69</v>
      </c>
      <c r="D85" s="13" t="n">
        <v>8238</v>
      </c>
      <c r="E85" s="13">
        <f>IF($D85="","",IFERROR(IF(ISBLANK(INDIRECT("'"&amp;$Q$2&amp;"'!D"&amp;ROW())),"",INDIRECT("'"&amp;$Q$2&amp;"'!D"&amp;ROW())),""))</f>
        <v/>
      </c>
      <c r="F85" s="15">
        <f>IF(OR(D85="",E85=""),"",D85-E85)</f>
        <v/>
      </c>
      <c r="G85" s="16">
        <f>IFERROR(F85/E85,"")</f>
        <v/>
      </c>
      <c r="H85" s="13" t="n">
        <v>705</v>
      </c>
      <c r="I85" s="13">
        <f>IF($H85="","",IFERROR(IF(ISBLANK(INDIRECT("'"&amp;$Q$2&amp;"'!H"&amp;ROW())),"",INDIRECT("'"&amp;$Q$2&amp;"'!H"&amp;ROW())),""))</f>
        <v/>
      </c>
      <c r="J85" s="15">
        <f>IF(OR(H85="",I85=""),"",H85-I85)</f>
        <v/>
      </c>
      <c r="K85" s="16">
        <f>IFERROR(J85/I85,"")</f>
        <v/>
      </c>
      <c r="L85" s="13">
        <f>IFERROR(D85/C85,"")</f>
        <v/>
      </c>
      <c r="M85" s="13">
        <f>IFERROR(H85/D85*1000,"")</f>
        <v/>
      </c>
      <c r="N85" s="13" t="n">
        <v>263</v>
      </c>
      <c r="O85" s="15">
        <f>IFERROR(IF(OR(N85="",ISBLANK(INDIRECT("'"&amp;$Q$2&amp;"'!N"&amp;ROW()))),"",N85-INDIRECT("'"&amp;$Q$2&amp;"'!N"&amp;ROW())),"")</f>
        <v/>
      </c>
      <c r="P85" s="2" t="n"/>
      <c r="Q85" s="2" t="n"/>
      <c r="R85" s="2" t="n"/>
      <c r="S85" s="18">
        <f>IFERROR(IF(ISBLANK(INDIRECT("'"&amp;$Q$2&amp;"'!G"&amp;ROW())),"",INDIRECT("'"&amp;$Q$2&amp;"'!G"&amp;ROW())),"")</f>
        <v/>
      </c>
      <c r="T85" s="20">
        <f>IF(OR($G85="",$S85=""),"",$G85-$S85)</f>
        <v/>
      </c>
      <c r="U85" s="18">
        <f>IFERROR(IF(ISBLANK(INDIRECT("'"&amp;$Q$2&amp;"'!K"&amp;ROW())),"",INDIRECT("'"&amp;$Q$2&amp;"'!K"&amp;ROW())),"")</f>
        <v/>
      </c>
      <c r="V85" s="20">
        <f>IF(OR($K85="",$U85=""),"",$K85-$U85)</f>
        <v/>
      </c>
      <c r="W85" s="21">
        <f>IFERROR(IF(ISBLANK(INDIRECT("'"&amp;$Q$2&amp;"'!O"&amp;ROW())),"",INDIRECT("'"&amp;$Q$2&amp;"'!O"&amp;ROW())),"")</f>
        <v/>
      </c>
      <c r="X85" s="21">
        <f>IF(OR($O85="",$W85=""),"",$O85-$W85)</f>
        <v/>
      </c>
      <c r="Y85" s="2" t="n"/>
      <c r="Z85" s="2" t="n"/>
    </row>
    <row r="86" ht="14.25" customHeight="1" s="58">
      <c r="A86" s="12" t="inlineStr">
        <is>
          <t>МАКС</t>
        </is>
      </c>
      <c r="B86" s="12" t="inlineStr">
        <is>
          <t>Пуровский</t>
        </is>
      </c>
      <c r="C86" s="13" t="n">
        <v>87</v>
      </c>
      <c r="D86" s="13" t="n">
        <v>76602</v>
      </c>
      <c r="E86" s="13">
        <f>IF($D86="","",IFERROR(IF(ISBLANK(INDIRECT("'"&amp;$Q$2&amp;"'!D"&amp;ROW())),"",INDIRECT("'"&amp;$Q$2&amp;"'!D"&amp;ROW())),""))</f>
        <v/>
      </c>
      <c r="F86" s="15">
        <f>IF(OR(D86="",E86=""),"",D86-E86)</f>
        <v/>
      </c>
      <c r="G86" s="16">
        <f>IFERROR(F86/E86,"")</f>
        <v/>
      </c>
      <c r="H86" s="13" t="n">
        <v>778</v>
      </c>
      <c r="I86" s="13">
        <f>IF($H86="","",IFERROR(IF(ISBLANK(INDIRECT("'"&amp;$Q$2&amp;"'!H"&amp;ROW())),"",INDIRECT("'"&amp;$Q$2&amp;"'!H"&amp;ROW())),""))</f>
        <v/>
      </c>
      <c r="J86" s="15">
        <f>IF(OR(H86="",I86=""),"",H86-I86)</f>
        <v/>
      </c>
      <c r="K86" s="16">
        <f>IFERROR(J86/I86,"")</f>
        <v/>
      </c>
      <c r="L86" s="13">
        <f>IFERROR(D86/C86,"")</f>
        <v/>
      </c>
      <c r="M86" s="13">
        <f>IFERROR(H86/D86*1000,"")</f>
        <v/>
      </c>
      <c r="N86" s="13" t="n">
        <v>1886</v>
      </c>
      <c r="O86" s="15">
        <f>IFERROR(IF(OR(N86="",ISBLANK(INDIRECT("'"&amp;$Q$2&amp;"'!N"&amp;ROW()))),"",N86-INDIRECT("'"&amp;$Q$2&amp;"'!N"&amp;ROW())),"")</f>
        <v/>
      </c>
      <c r="P86" s="2" t="n"/>
      <c r="Q86" s="2" t="n"/>
      <c r="R86" s="2" t="n"/>
      <c r="S86" s="18">
        <f>IFERROR(IF(ISBLANK(INDIRECT("'"&amp;$Q$2&amp;"'!G"&amp;ROW())),"",INDIRECT("'"&amp;$Q$2&amp;"'!G"&amp;ROW())),"")</f>
        <v/>
      </c>
      <c r="T86" s="20">
        <f>IF(OR($G86="",$S86=""),"",$G86-$S86)</f>
        <v/>
      </c>
      <c r="U86" s="18">
        <f>IFERROR(IF(ISBLANK(INDIRECT("'"&amp;$Q$2&amp;"'!K"&amp;ROW())),"",INDIRECT("'"&amp;$Q$2&amp;"'!K"&amp;ROW())),"")</f>
        <v/>
      </c>
      <c r="V86" s="20">
        <f>IF(OR($K86="",$U86=""),"",$K86-$U86)</f>
        <v/>
      </c>
      <c r="W86" s="21">
        <f>IFERROR(IF(ISBLANK(INDIRECT("'"&amp;$Q$2&amp;"'!O"&amp;ROW())),"",INDIRECT("'"&amp;$Q$2&amp;"'!O"&amp;ROW())),"")</f>
        <v/>
      </c>
      <c r="X86" s="21">
        <f>IF(OR($O86="",$W86=""),"",$O86-$W86)</f>
        <v/>
      </c>
      <c r="Y86" s="2" t="n"/>
      <c r="Z86" s="2" t="n"/>
    </row>
    <row r="87" ht="14.25" customHeight="1" s="58">
      <c r="A87" s="12" t="inlineStr">
        <is>
          <t>МАКС</t>
        </is>
      </c>
      <c r="B87" s="12" t="inlineStr">
        <is>
          <t>Тазовский</t>
        </is>
      </c>
      <c r="C87" s="13" t="n">
        <v>48</v>
      </c>
      <c r="D87" s="13" t="n">
        <v>9916</v>
      </c>
      <c r="E87" s="13">
        <f>IF($D87="","",IFERROR(IF(ISBLANK(INDIRECT("'"&amp;$Q$2&amp;"'!D"&amp;ROW())),"",INDIRECT("'"&amp;$Q$2&amp;"'!D"&amp;ROW())),""))</f>
        <v/>
      </c>
      <c r="F87" s="15">
        <f>IF(OR(D87="",E87=""),"",D87-E87)</f>
        <v/>
      </c>
      <c r="G87" s="16">
        <f>IFERROR(F87/E87,"")</f>
        <v/>
      </c>
      <c r="H87" s="13" t="n">
        <v>30</v>
      </c>
      <c r="I87" s="13">
        <f>IF($H87="","",IFERROR(IF(ISBLANK(INDIRECT("'"&amp;$Q$2&amp;"'!H"&amp;ROW())),"",INDIRECT("'"&amp;$Q$2&amp;"'!H"&amp;ROW())),""))</f>
        <v/>
      </c>
      <c r="J87" s="15">
        <f>IF(OR(H87="",I87=""),"",H87-I87)</f>
        <v/>
      </c>
      <c r="K87" s="16">
        <f>IFERROR(J87/I87,"")</f>
        <v/>
      </c>
      <c r="L87" s="13">
        <f>IFERROR(D87/C87,"")</f>
        <v/>
      </c>
      <c r="M87" s="13">
        <f>IFERROR(H87/D87*1000,"")</f>
        <v/>
      </c>
      <c r="N87" s="13" t="n">
        <v>484</v>
      </c>
      <c r="O87" s="15">
        <f>IFERROR(IF(OR(N87="",ISBLANK(INDIRECT("'"&amp;$Q$2&amp;"'!N"&amp;ROW()))),"",N87-INDIRECT("'"&amp;$Q$2&amp;"'!N"&amp;ROW())),"")</f>
        <v/>
      </c>
      <c r="P87" s="2" t="n"/>
      <c r="Q87" s="2" t="n"/>
      <c r="R87" s="2" t="n"/>
      <c r="S87" s="18">
        <f>IFERROR(IF(ISBLANK(INDIRECT("'"&amp;$Q$2&amp;"'!G"&amp;ROW())),"",INDIRECT("'"&amp;$Q$2&amp;"'!G"&amp;ROW())),"")</f>
        <v/>
      </c>
      <c r="T87" s="20">
        <f>IF(OR($G87="",$S87=""),"",$G87-$S87)</f>
        <v/>
      </c>
      <c r="U87" s="18">
        <f>IFERROR(IF(ISBLANK(INDIRECT("'"&amp;$Q$2&amp;"'!K"&amp;ROW())),"",INDIRECT("'"&amp;$Q$2&amp;"'!K"&amp;ROW())),"")</f>
        <v/>
      </c>
      <c r="V87" s="20">
        <f>IF(OR($K87="",$U87=""),"",$K87-$U87)</f>
        <v/>
      </c>
      <c r="W87" s="21">
        <f>IFERROR(IF(ISBLANK(INDIRECT("'"&amp;$Q$2&amp;"'!O"&amp;ROW())),"",INDIRECT("'"&amp;$Q$2&amp;"'!O"&amp;ROW())),"")</f>
        <v/>
      </c>
      <c r="X87" s="21">
        <f>IF(OR($O87="",$W87=""),"",$O87-$W87)</f>
        <v/>
      </c>
      <c r="Y87" s="2" t="n"/>
      <c r="Z87" s="2" t="n"/>
    </row>
    <row r="88" ht="14.25" customHeight="1" s="58">
      <c r="A88" s="12" t="inlineStr">
        <is>
          <t>МАКС</t>
        </is>
      </c>
      <c r="B88" s="12" t="inlineStr">
        <is>
          <t>Красноселькуп</t>
        </is>
      </c>
      <c r="C88" s="13" t="n">
        <v>35</v>
      </c>
      <c r="D88" s="13" t="n">
        <v>6957</v>
      </c>
      <c r="E88" s="13">
        <f>IF($D88="","",IFERROR(IF(ISBLANK(INDIRECT("'"&amp;$Q$2&amp;"'!D"&amp;ROW())),"",INDIRECT("'"&amp;$Q$2&amp;"'!D"&amp;ROW())),""))</f>
        <v/>
      </c>
      <c r="F88" s="15">
        <f>IF(OR(D88="",E88=""),"",D88-E88)</f>
        <v/>
      </c>
      <c r="G88" s="16">
        <f>IFERROR(F88/E88,"")</f>
        <v/>
      </c>
      <c r="H88" s="13" t="n">
        <v>66</v>
      </c>
      <c r="I88" s="13">
        <f>IF($H88="","",IFERROR(IF(ISBLANK(INDIRECT("'"&amp;$Q$2&amp;"'!H"&amp;ROW())),"",INDIRECT("'"&amp;$Q$2&amp;"'!H"&amp;ROW())),""))</f>
        <v/>
      </c>
      <c r="J88" s="15">
        <f>IF(OR(H88="",I88=""),"",H88-I88)</f>
        <v/>
      </c>
      <c r="K88" s="16">
        <f>IFERROR(J88/I88,"")</f>
        <v/>
      </c>
      <c r="L88" s="13">
        <f>IFERROR(D88/C88,"")</f>
        <v/>
      </c>
      <c r="M88" s="13">
        <f>IFERROR(H88/D88*1000,"")</f>
        <v/>
      </c>
      <c r="N88" s="13" t="n">
        <v>416</v>
      </c>
      <c r="O88" s="15">
        <f>IFERROR(IF(OR(N88="",ISBLANK(INDIRECT("'"&amp;$Q$2&amp;"'!N"&amp;ROW()))),"",N88-INDIRECT("'"&amp;$Q$2&amp;"'!N"&amp;ROW())),"")</f>
        <v/>
      </c>
      <c r="P88" s="2" t="n"/>
      <c r="Q88" s="2" t="n"/>
      <c r="R88" s="2" t="n"/>
      <c r="S88" s="18">
        <f>IFERROR(IF(ISBLANK(INDIRECT("'"&amp;$Q$2&amp;"'!G"&amp;ROW())),"",INDIRECT("'"&amp;$Q$2&amp;"'!G"&amp;ROW())),"")</f>
        <v/>
      </c>
      <c r="T88" s="20">
        <f>IF(OR($G88="",$S88=""),"",$G88-$S88)</f>
        <v/>
      </c>
      <c r="U88" s="18">
        <f>IFERROR(IF(ISBLANK(INDIRECT("'"&amp;$Q$2&amp;"'!K"&amp;ROW())),"",INDIRECT("'"&amp;$Q$2&amp;"'!K"&amp;ROW())),"")</f>
        <v/>
      </c>
      <c r="V88" s="20">
        <f>IF(OR($K88="",$U88=""),"",$K88-$U88)</f>
        <v/>
      </c>
      <c r="W88" s="21">
        <f>IFERROR(IF(ISBLANK(INDIRECT("'"&amp;$Q$2&amp;"'!O"&amp;ROW())),"",INDIRECT("'"&amp;$Q$2&amp;"'!O"&amp;ROW())),"")</f>
        <v/>
      </c>
      <c r="X88" s="21">
        <f>IF(OR($O88="",$W88=""),"",$O88-$W88)</f>
        <v/>
      </c>
      <c r="Y88" s="2" t="n"/>
      <c r="Z88" s="2" t="n"/>
    </row>
    <row r="89" ht="14.25" customHeight="1" s="58">
      <c r="A89" s="12" t="inlineStr">
        <is>
          <t>МАКС</t>
        </is>
      </c>
      <c r="B89" s="12" t="inlineStr">
        <is>
          <t>Ямальский</t>
        </is>
      </c>
      <c r="C89" s="13" t="n">
        <v>47</v>
      </c>
      <c r="D89" s="13" t="n">
        <v>8025</v>
      </c>
      <c r="E89" s="13">
        <f>IF($D89="","",IFERROR(IF(ISBLANK(INDIRECT("'"&amp;$Q$2&amp;"'!D"&amp;ROW())),"",INDIRECT("'"&amp;$Q$2&amp;"'!D"&amp;ROW())),""))</f>
        <v/>
      </c>
      <c r="F89" s="15">
        <f>IF(OR(D89="",E89=""),"",D89-E89)</f>
        <v/>
      </c>
      <c r="G89" s="16">
        <f>IFERROR(F89/E89,"")</f>
        <v/>
      </c>
      <c r="H89" s="13" t="n">
        <v>149</v>
      </c>
      <c r="I89" s="13">
        <f>IF($H89="","",IFERROR(IF(ISBLANK(INDIRECT("'"&amp;$Q$2&amp;"'!H"&amp;ROW())),"",INDIRECT("'"&amp;$Q$2&amp;"'!H"&amp;ROW())),""))</f>
        <v/>
      </c>
      <c r="J89" s="15">
        <f>IF(OR(H89="",I89=""),"",H89-I89)</f>
        <v/>
      </c>
      <c r="K89" s="16">
        <f>IFERROR(J89/I89,"")</f>
        <v/>
      </c>
      <c r="L89" s="13">
        <f>IFERROR(D89/C89,"")</f>
        <v/>
      </c>
      <c r="M89" s="13">
        <f>IFERROR(H89/D89*1000,"")</f>
        <v/>
      </c>
      <c r="N89" s="13" t="n">
        <v>442</v>
      </c>
      <c r="O89" s="15">
        <f>IFERROR(IF(OR(N89="",ISBLANK(INDIRECT("'"&amp;$Q$2&amp;"'!N"&amp;ROW()))),"",N89-INDIRECT("'"&amp;$Q$2&amp;"'!N"&amp;ROW())),"")</f>
        <v/>
      </c>
      <c r="P89" s="2" t="n"/>
      <c r="Q89" s="2" t="n"/>
      <c r="R89" s="2" t="n"/>
      <c r="S89" s="18">
        <f>IFERROR(IF(ISBLANK(INDIRECT("'"&amp;$Q$2&amp;"'!G"&amp;ROW())),"",INDIRECT("'"&amp;$Q$2&amp;"'!G"&amp;ROW())),"")</f>
        <v/>
      </c>
      <c r="T89" s="20">
        <f>IF(OR($G89="",$S89=""),"",$G89-$S89)</f>
        <v/>
      </c>
      <c r="U89" s="18">
        <f>IFERROR(IF(ISBLANK(INDIRECT("'"&amp;$Q$2&amp;"'!K"&amp;ROW())),"",INDIRECT("'"&amp;$Q$2&amp;"'!K"&amp;ROW())),"")</f>
        <v/>
      </c>
      <c r="V89" s="20">
        <f>IF(OR($K89="",$U89=""),"",$K89-$U89)</f>
        <v/>
      </c>
      <c r="W89" s="21">
        <f>IFERROR(IF(ISBLANK(INDIRECT("'"&amp;$Q$2&amp;"'!O"&amp;ROW())),"",INDIRECT("'"&amp;$Q$2&amp;"'!O"&amp;ROW())),"")</f>
        <v/>
      </c>
      <c r="X89" s="21">
        <f>IF(OR($O89="",$W89=""),"",$O89-$W89)</f>
        <v/>
      </c>
      <c r="Y89" s="2" t="n"/>
      <c r="Z89" s="2" t="n"/>
    </row>
    <row r="90" ht="14.25" customHeight="1" s="58">
      <c r="A90" s="12" t="inlineStr">
        <is>
          <t>МАКС</t>
        </is>
      </c>
      <c r="B90" s="12" t="inlineStr">
        <is>
          <t>Шурышкарский</t>
        </is>
      </c>
      <c r="C90" s="13" t="n">
        <v>53</v>
      </c>
      <c r="D90" s="13" t="n">
        <v>26834</v>
      </c>
      <c r="E90" s="13">
        <f>IF($D90="","",IFERROR(IF(ISBLANK(INDIRECT("'"&amp;$Q$2&amp;"'!D"&amp;ROW())),"",INDIRECT("'"&amp;$Q$2&amp;"'!D"&amp;ROW())),""))</f>
        <v/>
      </c>
      <c r="F90" s="15">
        <f>IF(OR(D90="",E90=""),"",D90-E90)</f>
        <v/>
      </c>
      <c r="G90" s="16">
        <f>IFERROR(F90/E90,"")</f>
        <v/>
      </c>
      <c r="H90" s="13" t="n">
        <v>578</v>
      </c>
      <c r="I90" s="13">
        <f>IF($H90="","",IFERROR(IF(ISBLANK(INDIRECT("'"&amp;$Q$2&amp;"'!H"&amp;ROW())),"",INDIRECT("'"&amp;$Q$2&amp;"'!H"&amp;ROW())),""))</f>
        <v/>
      </c>
      <c r="J90" s="15">
        <f>IF(OR(H90="",I90=""),"",H90-I90)</f>
        <v/>
      </c>
      <c r="K90" s="16">
        <f>IFERROR(J90/I90,"")</f>
        <v/>
      </c>
      <c r="L90" s="13">
        <f>IFERROR(D90/C90,"")</f>
        <v/>
      </c>
      <c r="M90" s="13">
        <f>IFERROR(H90/D90*1000,"")</f>
        <v/>
      </c>
      <c r="N90" s="13" t="n">
        <v>1446</v>
      </c>
      <c r="O90" s="15">
        <f>IFERROR(IF(OR(N90="",ISBLANK(INDIRECT("'"&amp;$Q$2&amp;"'!N"&amp;ROW()))),"",N90-INDIRECT("'"&amp;$Q$2&amp;"'!N"&amp;ROW())),"")</f>
        <v/>
      </c>
      <c r="P90" s="2" t="n"/>
      <c r="Q90" s="2" t="n"/>
      <c r="R90" s="2" t="n"/>
      <c r="S90" s="18">
        <f>IFERROR(IF(ISBLANK(INDIRECT("'"&amp;$Q$2&amp;"'!G"&amp;ROW())),"",INDIRECT("'"&amp;$Q$2&amp;"'!G"&amp;ROW())),"")</f>
        <v/>
      </c>
      <c r="T90" s="20">
        <f>IF(OR($G90="",$S90=""),"",$G90-$S90)</f>
        <v/>
      </c>
      <c r="U90" s="18">
        <f>IFERROR(IF(ISBLANK(INDIRECT("'"&amp;$Q$2&amp;"'!K"&amp;ROW())),"",INDIRECT("'"&amp;$Q$2&amp;"'!K"&amp;ROW())),"")</f>
        <v/>
      </c>
      <c r="V90" s="20">
        <f>IF(OR($K90="",$U90=""),"",$K90-$U90)</f>
        <v/>
      </c>
      <c r="W90" s="21">
        <f>IFERROR(IF(ISBLANK(INDIRECT("'"&amp;$Q$2&amp;"'!O"&amp;ROW())),"",INDIRECT("'"&amp;$Q$2&amp;"'!O"&amp;ROW())),"")</f>
        <v/>
      </c>
      <c r="X90" s="21">
        <f>IF(OR($O90="",$W90=""),"",$O90-$W90)</f>
        <v/>
      </c>
      <c r="Y90" s="2" t="n"/>
      <c r="Z90" s="2" t="n"/>
    </row>
    <row r="91" ht="14.25" customHeight="1" s="58">
      <c r="A91" s="12" t="inlineStr">
        <is>
          <t>МАКС</t>
        </is>
      </c>
      <c r="B91" s="12" t="inlineStr">
        <is>
          <t>Муравленко</t>
        </is>
      </c>
      <c r="C91" s="13" t="n">
        <v>82</v>
      </c>
      <c r="D91" s="13" t="n">
        <v>94449</v>
      </c>
      <c r="E91" s="13">
        <f>IF($D91="","",IFERROR(IF(ISBLANK(INDIRECT("'"&amp;$Q$2&amp;"'!D"&amp;ROW())),"",INDIRECT("'"&amp;$Q$2&amp;"'!D"&amp;ROW())),""))</f>
        <v/>
      </c>
      <c r="F91" s="15">
        <f>IF(OR(D91="",E91=""),"",D91-E91)</f>
        <v/>
      </c>
      <c r="G91" s="16">
        <f>IFERROR(F91/E91,"")</f>
        <v/>
      </c>
      <c r="H91" s="13" t="n">
        <v>1355</v>
      </c>
      <c r="I91" s="13">
        <f>IF($H91="","",IFERROR(IF(ISBLANK(INDIRECT("'"&amp;$Q$2&amp;"'!H"&amp;ROW())),"",INDIRECT("'"&amp;$Q$2&amp;"'!H"&amp;ROW())),""))</f>
        <v/>
      </c>
      <c r="J91" s="15">
        <f>IF(OR(H91="",I91=""),"",H91-I91)</f>
        <v/>
      </c>
      <c r="K91" s="16">
        <f>IFERROR(J91/I91,"")</f>
        <v/>
      </c>
      <c r="L91" s="13">
        <f>IFERROR(D91/C91,"")</f>
        <v/>
      </c>
      <c r="M91" s="13">
        <f>IFERROR(H91/D91*1000,"")</f>
        <v/>
      </c>
      <c r="N91" s="13" t="n">
        <v>2410</v>
      </c>
      <c r="O91" s="15">
        <f>IFERROR(IF(OR(N91="",ISBLANK(INDIRECT("'"&amp;$Q$2&amp;"'!N"&amp;ROW()))),"",N91-INDIRECT("'"&amp;$Q$2&amp;"'!N"&amp;ROW())),"")</f>
        <v/>
      </c>
      <c r="P91" s="2" t="n"/>
      <c r="Q91" s="2" t="n"/>
      <c r="R91" s="2" t="n"/>
      <c r="S91" s="18">
        <f>IFERROR(IF(ISBLANK(INDIRECT("'"&amp;$Q$2&amp;"'!G"&amp;ROW())),"",INDIRECT("'"&amp;$Q$2&amp;"'!G"&amp;ROW())),"")</f>
        <v/>
      </c>
      <c r="T91" s="20">
        <f>IF(OR($G91="",$S91=""),"",$G91-$S91)</f>
        <v/>
      </c>
      <c r="U91" s="18">
        <f>IFERROR(IF(ISBLANK(INDIRECT("'"&amp;$Q$2&amp;"'!K"&amp;ROW())),"",INDIRECT("'"&amp;$Q$2&amp;"'!K"&amp;ROW())),"")</f>
        <v/>
      </c>
      <c r="V91" s="20">
        <f>IF(OR($K91="",$U91=""),"",$K91-$U91)</f>
        <v/>
      </c>
      <c r="W91" s="21">
        <f>IFERROR(IF(ISBLANK(INDIRECT("'"&amp;$Q$2&amp;"'!O"&amp;ROW())),"",INDIRECT("'"&amp;$Q$2&amp;"'!O"&amp;ROW())),"")</f>
        <v/>
      </c>
      <c r="X91" s="21">
        <f>IF(OR($O91="",$W91=""),"",$O91-$W91)</f>
        <v/>
      </c>
      <c r="Y91" s="2" t="n"/>
      <c r="Z91" s="2" t="n"/>
    </row>
    <row r="92" ht="14.25" customHeight="1" s="58">
      <c r="A92" s="12" t="inlineStr">
        <is>
          <t>МАКС</t>
        </is>
      </c>
      <c r="B92" s="12" t="inlineStr">
        <is>
          <t>Губкинский</t>
        </is>
      </c>
      <c r="C92" s="13" t="n">
        <v>72</v>
      </c>
      <c r="D92" s="13" t="n">
        <v>36268</v>
      </c>
      <c r="E92" s="13">
        <f>IF($D92="","",IFERROR(IF(ISBLANK(INDIRECT("'"&amp;$Q$2&amp;"'!D"&amp;ROW())),"",INDIRECT("'"&amp;$Q$2&amp;"'!D"&amp;ROW())),""))</f>
        <v/>
      </c>
      <c r="F92" s="15">
        <f>IF(OR(D92="",E92=""),"",D92-E92)</f>
        <v/>
      </c>
      <c r="G92" s="16">
        <f>IFERROR(F92/E92,"")</f>
        <v/>
      </c>
      <c r="H92" s="13" t="n">
        <v>555</v>
      </c>
      <c r="I92" s="13">
        <f>IF($H92="","",IFERROR(IF(ISBLANK(INDIRECT("'"&amp;$Q$2&amp;"'!H"&amp;ROW())),"",INDIRECT("'"&amp;$Q$2&amp;"'!H"&amp;ROW())),""))</f>
        <v/>
      </c>
      <c r="J92" s="15">
        <f>IF(OR(H92="",I92=""),"",H92-I92)</f>
        <v/>
      </c>
      <c r="K92" s="16">
        <f>IFERROR(J92/I92,"")</f>
        <v/>
      </c>
      <c r="L92" s="13">
        <f>IFERROR(D92/C92,"")</f>
        <v/>
      </c>
      <c r="M92" s="13">
        <f>IFERROR(H92/D92*1000,"")</f>
        <v/>
      </c>
      <c r="N92" s="13" t="n">
        <v>1146</v>
      </c>
      <c r="O92" s="15">
        <f>IFERROR(IF(OR(N92="",ISBLANK(INDIRECT("'"&amp;$Q$2&amp;"'!N"&amp;ROW()))),"",N92-INDIRECT("'"&amp;$Q$2&amp;"'!N"&amp;ROW())),"")</f>
        <v/>
      </c>
      <c r="P92" s="2" t="n"/>
      <c r="Q92" s="2" t="n"/>
      <c r="R92" s="2" t="n"/>
      <c r="S92" s="18">
        <f>IFERROR(IF(ISBLANK(INDIRECT("'"&amp;$Q$2&amp;"'!G"&amp;ROW())),"",INDIRECT("'"&amp;$Q$2&amp;"'!G"&amp;ROW())),"")</f>
        <v/>
      </c>
      <c r="T92" s="20">
        <f>IF(OR($G92="",$S92=""),"",$G92-$S92)</f>
        <v/>
      </c>
      <c r="U92" s="18">
        <f>IFERROR(IF(ISBLANK(INDIRECT("'"&amp;$Q$2&amp;"'!K"&amp;ROW())),"",INDIRECT("'"&amp;$Q$2&amp;"'!K"&amp;ROW())),"")</f>
        <v/>
      </c>
      <c r="V92" s="20">
        <f>IF(OR($K92="",$U92=""),"",$K92-$U92)</f>
        <v/>
      </c>
      <c r="W92" s="21">
        <f>IFERROR(IF(ISBLANK(INDIRECT("'"&amp;$Q$2&amp;"'!O"&amp;ROW())),"",INDIRECT("'"&amp;$Q$2&amp;"'!O"&amp;ROW())),"")</f>
        <v/>
      </c>
      <c r="X92" s="21">
        <f>IF(OR($O92="",$W92=""),"",$O92-$W92)</f>
        <v/>
      </c>
      <c r="Y92" s="2" t="n"/>
      <c r="Z92" s="2" t="n"/>
    </row>
    <row r="93" ht="14.25" customHeight="1" s="58">
      <c r="A93" s="12" t="inlineStr">
        <is>
          <t>МАКС</t>
        </is>
      </c>
      <c r="B93" s="12" t="inlineStr">
        <is>
          <t>Не олени</t>
        </is>
      </c>
      <c r="C93" s="13" t="n">
        <v>30</v>
      </c>
      <c r="D93" s="13" t="n">
        <v>17033</v>
      </c>
      <c r="E93" s="13">
        <f>IF($D93="","",IFERROR(IF(ISBLANK(INDIRECT("'"&amp;$Q$2&amp;"'!D"&amp;ROW())),"",INDIRECT("'"&amp;$Q$2&amp;"'!D"&amp;ROW())),""))</f>
        <v/>
      </c>
      <c r="F93" s="15">
        <f>IF(OR(D93="",E93=""),"",D93-E93)</f>
        <v/>
      </c>
      <c r="G93" s="16">
        <f>IFERROR(F93/E93,"")</f>
        <v/>
      </c>
      <c r="H93" s="13" t="n">
        <v>1094</v>
      </c>
      <c r="I93" s="13">
        <f>IF($H93="","",IFERROR(IF(ISBLANK(INDIRECT("'"&amp;$Q$2&amp;"'!H"&amp;ROW())),"",INDIRECT("'"&amp;$Q$2&amp;"'!H"&amp;ROW())),""))</f>
        <v/>
      </c>
      <c r="J93" s="15">
        <f>IF(OR(H93="",I93=""),"",H93-I93)</f>
        <v/>
      </c>
      <c r="K93" s="16">
        <f>IFERROR(J93/I93,"")</f>
        <v/>
      </c>
      <c r="L93" s="13">
        <f>IFERROR(D93/C93,"")</f>
        <v/>
      </c>
      <c r="M93" s="13">
        <f>IFERROR(H93/D93*1000,"")</f>
        <v/>
      </c>
      <c r="N93" s="13" t="n">
        <v>1349</v>
      </c>
      <c r="O93" s="15">
        <f>IFERROR(IF(OR(N93="",ISBLANK(INDIRECT("'"&amp;$Q$2&amp;"'!N"&amp;ROW()))),"",N93-INDIRECT("'"&amp;$Q$2&amp;"'!N"&amp;ROW())),"")</f>
        <v/>
      </c>
      <c r="P93" s="2" t="n"/>
      <c r="Q93" s="2" t="n"/>
      <c r="R93" s="2" t="n"/>
      <c r="S93" s="18">
        <f>IFERROR(IF(ISBLANK(INDIRECT("'"&amp;$Q$2&amp;"'!G"&amp;ROW())),"",INDIRECT("'"&amp;$Q$2&amp;"'!G"&amp;ROW())),"")</f>
        <v/>
      </c>
      <c r="T93" s="20">
        <f>IF(OR($G93="",$S93=""),"",$G93-$S93)</f>
        <v/>
      </c>
      <c r="U93" s="18">
        <f>IFERROR(IF(ISBLANK(INDIRECT("'"&amp;$Q$2&amp;"'!K"&amp;ROW())),"",INDIRECT("'"&amp;$Q$2&amp;"'!K"&amp;ROW())),"")</f>
        <v/>
      </c>
      <c r="V93" s="20">
        <f>IF(OR($K93="",$U93=""),"",$K93-$U93)</f>
        <v/>
      </c>
      <c r="W93" s="21">
        <f>IFERROR(IF(ISBLANK(INDIRECT("'"&amp;$Q$2&amp;"'!O"&amp;ROW())),"",INDIRECT("'"&amp;$Q$2&amp;"'!O"&amp;ROW())),"")</f>
        <v/>
      </c>
      <c r="X93" s="21">
        <f>IF(OR($O93="",$W93=""),"",$O93-$W93)</f>
        <v/>
      </c>
      <c r="Y93" s="2" t="n"/>
      <c r="Z93" s="2" t="n"/>
    </row>
    <row r="94" ht="14.25" customHeight="1" s="58">
      <c r="A94" s="12" t="inlineStr">
        <is>
          <t>МАКС</t>
        </is>
      </c>
      <c r="B94" s="12" t="inlineStr">
        <is>
          <t>Ямальский меридиан</t>
        </is>
      </c>
      <c r="C94" s="13" t="n">
        <v>8</v>
      </c>
      <c r="D94" s="13" t="n">
        <v>856</v>
      </c>
      <c r="E94" s="13">
        <f>IF($D94="","",IFERROR(IF(ISBLANK(INDIRECT("'"&amp;$Q$2&amp;"'!D"&amp;ROW())),"",INDIRECT("'"&amp;$Q$2&amp;"'!D"&amp;ROW())),""))</f>
        <v/>
      </c>
      <c r="F94" s="15">
        <f>IF(OR(D94="",E94=""),"",D94-E94)</f>
        <v/>
      </c>
      <c r="G94" s="16">
        <f>IFERROR(F94/E94,"")</f>
        <v/>
      </c>
      <c r="H94" s="13" t="n">
        <v>46</v>
      </c>
      <c r="I94" s="13">
        <f>IF($H94="","",IFERROR(IF(ISBLANK(INDIRECT("'"&amp;$Q$2&amp;"'!H"&amp;ROW())),"",INDIRECT("'"&amp;$Q$2&amp;"'!H"&amp;ROW())),""))</f>
        <v/>
      </c>
      <c r="J94" s="15">
        <f>IF(OR(H94="",I94=""),"",H94-I94)</f>
        <v/>
      </c>
      <c r="K94" s="16">
        <f>IFERROR(J94/I94,"")</f>
        <v/>
      </c>
      <c r="L94" s="13">
        <f>IFERROR(D94/C94,"")</f>
        <v/>
      </c>
      <c r="M94" s="13">
        <f>IFERROR(H94/D94*1000,"")</f>
        <v/>
      </c>
      <c r="N94" s="13" t="n">
        <v>224</v>
      </c>
      <c r="O94" s="15">
        <f>IFERROR(IF(OR(N94="",ISBLANK(INDIRECT("'"&amp;$Q$2&amp;"'!N"&amp;ROW()))),"",N94-INDIRECT("'"&amp;$Q$2&amp;"'!N"&amp;ROW())),"")</f>
        <v/>
      </c>
      <c r="P94" s="2" t="n"/>
      <c r="Q94" s="2" t="n"/>
      <c r="R94" s="2" t="n"/>
      <c r="S94" s="18">
        <f>IFERROR(IF(ISBLANK(INDIRECT("'"&amp;$Q$2&amp;"'!G"&amp;ROW())),"",INDIRECT("'"&amp;$Q$2&amp;"'!G"&amp;ROW())),"")</f>
        <v/>
      </c>
      <c r="T94" s="20">
        <f>IF(OR($G94="",$S94=""),"",$G94-$S94)</f>
        <v/>
      </c>
      <c r="U94" s="18">
        <f>IFERROR(IF(ISBLANK(INDIRECT("'"&amp;$Q$2&amp;"'!K"&amp;ROW())),"",INDIRECT("'"&amp;$Q$2&amp;"'!K"&amp;ROW())),"")</f>
        <v/>
      </c>
      <c r="V94" s="20">
        <f>IF(OR($K94="",$U94=""),"",$K94-$U94)</f>
        <v/>
      </c>
      <c r="W94" s="21">
        <f>IFERROR(IF(ISBLANK(INDIRECT("'"&amp;$Q$2&amp;"'!O"&amp;ROW())),"",INDIRECT("'"&amp;$Q$2&amp;"'!O"&amp;ROW())),"")</f>
        <v/>
      </c>
      <c r="X94" s="21">
        <f>IF(OR($O94="",$W94=""),"",$O94-$W94)</f>
        <v/>
      </c>
      <c r="Y94" s="2" t="n"/>
      <c r="Z94" s="2" t="n"/>
    </row>
    <row r="95" ht="14.25" customHeight="1" s="58">
      <c r="A95" s="12" t="inlineStr">
        <is>
          <t>МАКС</t>
        </is>
      </c>
      <c r="B95" s="12" t="inlineStr">
        <is>
          <t>Морошка</t>
        </is>
      </c>
      <c r="C95" s="13" t="n">
        <v>8</v>
      </c>
      <c r="D95" s="13" t="n">
        <v>6537</v>
      </c>
      <c r="E95" s="13">
        <f>IF($D95="","",IFERROR(IF(ISBLANK(INDIRECT("'"&amp;$Q$2&amp;"'!D"&amp;ROW())),"",INDIRECT("'"&amp;$Q$2&amp;"'!D"&amp;ROW())),""))</f>
        <v/>
      </c>
      <c r="F95" s="15">
        <f>IF(OR(D95="",E95=""),"",D95-E95)</f>
        <v/>
      </c>
      <c r="G95" s="16">
        <f>IFERROR(F95/E95,"")</f>
        <v/>
      </c>
      <c r="H95" s="13" t="n">
        <v>135</v>
      </c>
      <c r="I95" s="13">
        <f>IF($H95="","",IFERROR(IF(ISBLANK(INDIRECT("'"&amp;$Q$2&amp;"'!H"&amp;ROW())),"",INDIRECT("'"&amp;$Q$2&amp;"'!H"&amp;ROW())),""))</f>
        <v/>
      </c>
      <c r="J95" s="15">
        <f>IF(OR(H95="",I95=""),"",H95-I95)</f>
        <v/>
      </c>
      <c r="K95" s="16">
        <f>IFERROR(J95/I95,"")</f>
        <v/>
      </c>
      <c r="L95" s="13">
        <f>IFERROR(D95/C95,"")</f>
        <v/>
      </c>
      <c r="M95" s="13">
        <f>IFERROR(H95/D95*1000,"")</f>
        <v/>
      </c>
      <c r="N95" s="13" t="n">
        <v>278</v>
      </c>
      <c r="O95" s="15">
        <f>IFERROR(IF(OR(N95="",ISBLANK(INDIRECT("'"&amp;$Q$2&amp;"'!N"&amp;ROW()))),"",N95-INDIRECT("'"&amp;$Q$2&amp;"'!N"&amp;ROW())),"")</f>
        <v/>
      </c>
      <c r="P95" s="2" t="n"/>
      <c r="Q95" s="2" t="n"/>
      <c r="R95" s="2" t="n"/>
      <c r="S95" s="18">
        <f>IFERROR(IF(ISBLANK(INDIRECT("'"&amp;$Q$2&amp;"'!G"&amp;ROW())),"",INDIRECT("'"&amp;$Q$2&amp;"'!G"&amp;ROW())),"")</f>
        <v/>
      </c>
      <c r="T95" s="20">
        <f>IF(OR($G95="",$S95=""),"",$G95-$S95)</f>
        <v/>
      </c>
      <c r="U95" s="18">
        <f>IFERROR(IF(ISBLANK(INDIRECT("'"&amp;$Q$2&amp;"'!K"&amp;ROW())),"",INDIRECT("'"&amp;$Q$2&amp;"'!K"&amp;ROW())),"")</f>
        <v/>
      </c>
      <c r="V95" s="20">
        <f>IF(OR($K95="",$U95=""),"",$K95-$U95)</f>
        <v/>
      </c>
      <c r="W95" s="21">
        <f>IFERROR(IF(ISBLANK(INDIRECT("'"&amp;$Q$2&amp;"'!O"&amp;ROW())),"",INDIRECT("'"&amp;$Q$2&amp;"'!O"&amp;ROW())),"")</f>
        <v/>
      </c>
      <c r="X95" s="21">
        <f>IF(OR($O95="",$W95=""),"",$O95-$W95)</f>
        <v/>
      </c>
      <c r="Y95" s="2" t="n"/>
      <c r="Z95" s="2" t="n"/>
    </row>
    <row r="96" ht="14.25" customHeight="1" s="58">
      <c r="A96" s="25" t="n"/>
      <c r="B96" s="25" t="inlineStr">
        <is>
          <t>Итого МАКС</t>
        </is>
      </c>
      <c r="C96" s="26">
        <f>SUM(C75:C95)</f>
        <v/>
      </c>
      <c r="D96" s="26">
        <f>SUM(D75:D95)</f>
        <v/>
      </c>
      <c r="E96" s="26">
        <f>SUM(E75:E95)</f>
        <v/>
      </c>
      <c r="F96" s="27">
        <f>SUM(F75:F95)</f>
        <v/>
      </c>
      <c r="G96" s="28">
        <f>IF(C96=0,"",IFERROR(F96/E96,""))</f>
        <v/>
      </c>
      <c r="H96" s="26">
        <f>SUM(H75:H95)</f>
        <v/>
      </c>
      <c r="I96" s="26">
        <f>SUM(I75:I95)</f>
        <v/>
      </c>
      <c r="J96" s="27">
        <f>SUM(J75:J95)</f>
        <v/>
      </c>
      <c r="K96" s="28">
        <f>IF(C96=0,"",IFERROR(J96/I96,""))</f>
        <v/>
      </c>
      <c r="L96" s="26">
        <f>IFERROR(D96/C96,"")</f>
        <v/>
      </c>
      <c r="M96" s="26">
        <f>IFERROR(H96/D96*1000,"")</f>
        <v/>
      </c>
      <c r="N96" s="26">
        <f>SUM(N75:N95)</f>
        <v/>
      </c>
      <c r="O96" s="27">
        <f>SUM(O75:O95)</f>
        <v/>
      </c>
      <c r="P96" s="2" t="n"/>
      <c r="Q96" s="2" t="n"/>
      <c r="R96" s="2" t="n"/>
      <c r="S96" s="29">
        <f>IFERROR(IF(ISBLANK(INDIRECT("'"&amp;$Q$2&amp;"'!G"&amp;ROW())),"",INDIRECT("'"&amp;$Q$2&amp;"'!G"&amp;ROW())),"")</f>
        <v/>
      </c>
      <c r="T96" s="30">
        <f>IF(OR($G96="",$S96=""),"",$G96-$S96)</f>
        <v/>
      </c>
      <c r="U96" s="29">
        <f>IFERROR(IF(ISBLANK(INDIRECT("'"&amp;$Q$2&amp;"'!K"&amp;ROW())),"",INDIRECT("'"&amp;$Q$2&amp;"'!K"&amp;ROW())),"")</f>
        <v/>
      </c>
      <c r="V96" s="30">
        <f>IF(OR($K96="",$U96=""),"",$K96-$U96)</f>
        <v/>
      </c>
      <c r="W96" s="31">
        <f>IFERROR(IF(ISBLANK(INDIRECT("'"&amp;$Q$2&amp;"'!O"&amp;ROW())),"",INDIRECT("'"&amp;$Q$2&amp;"'!O"&amp;ROW())),"")</f>
        <v/>
      </c>
      <c r="X96" s="31">
        <f>IF(OR(C96=0,$O96="",$W96=""),"",$O96-$W96)</f>
        <v/>
      </c>
      <c r="Y96" s="2" t="n"/>
      <c r="Z96" s="2" t="n"/>
    </row>
    <row r="97" ht="14.25" customHeight="1" s="58">
      <c r="A97" s="39" t="n"/>
      <c r="B97" s="39" t="inlineStr">
        <is>
          <t>ИТОГО по холдингу</t>
        </is>
      </c>
      <c r="C97" s="40">
        <f>C30+C51+C74+C96</f>
        <v/>
      </c>
      <c r="D97" s="40">
        <f>D30+D51+D74+D96</f>
        <v/>
      </c>
      <c r="E97" s="40">
        <f>E30+E51+E74+E96</f>
        <v/>
      </c>
      <c r="F97" s="41">
        <f>F30+F51+F74+F96</f>
        <v/>
      </c>
      <c r="G97" s="42">
        <f>IF(OR(C30=0,C51=0,C74=0,C96=0),"",IFERROR(F97/E97,""))</f>
        <v/>
      </c>
      <c r="H97" s="40">
        <f>H30+H51+H74+H96</f>
        <v/>
      </c>
      <c r="I97" s="40">
        <f>I30+I51+I74+I96</f>
        <v/>
      </c>
      <c r="J97" s="41">
        <f>J30+J51+J74+J96</f>
        <v/>
      </c>
      <c r="K97" s="42">
        <f>IF(OR(C30=0,C51=0,C74=0,C96=0),"",IFERROR(J97/I97,""))</f>
        <v/>
      </c>
      <c r="L97" s="40">
        <f>IFERROR(D97/C97,"")</f>
        <v/>
      </c>
      <c r="M97" s="40">
        <f>IFERROR(H97/D97*1000,"")</f>
        <v/>
      </c>
      <c r="N97" s="40">
        <f>N30+N51+N74+N96</f>
        <v/>
      </c>
      <c r="O97" s="41">
        <f>O30+O51+O74+O96</f>
        <v/>
      </c>
      <c r="P97" s="2" t="n"/>
      <c r="Q97" s="2" t="n"/>
      <c r="R97" s="2" t="n"/>
      <c r="S97" s="29">
        <f>IFERROR(IF(ISBLANK(INDIRECT("'"&amp;$Q$2&amp;"'!G"&amp;ROW())),"",INDIRECT("'"&amp;$Q$2&amp;"'!G"&amp;ROW())),"")</f>
        <v/>
      </c>
      <c r="T97" s="30">
        <f>IF(OR($G97="",$S97=""),"",$G97-$S97)</f>
        <v/>
      </c>
      <c r="U97" s="29">
        <f>IFERROR(IF(ISBLANK(INDIRECT("'"&amp;$Q$2&amp;"'!K"&amp;ROW())),"",INDIRECT("'"&amp;$Q$2&amp;"'!K"&amp;ROW())),"")</f>
        <v/>
      </c>
      <c r="V97" s="30">
        <f>IF(OR($K97="",$U97=""),"",$K97-$U97)</f>
        <v/>
      </c>
      <c r="W97" s="31">
        <f>IFERROR(IF(ISBLANK(INDIRECT("'"&amp;$Q$2&amp;"'!O"&amp;ROW())),"",INDIRECT("'"&amp;$Q$2&amp;"'!O"&amp;ROW())),"")</f>
        <v/>
      </c>
      <c r="X97" s="31">
        <f>IF(OR(C30=0,C51=0,C74=0,C96=0),"",$O97-$W97)</f>
        <v/>
      </c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autoFilter ref="A2:O96"/>
  <conditionalFormatting sqref="G3:G97">
    <cfRule type="expression" priority="1" dxfId="3" stopIfTrue="1">
      <formula>AND(ISNUMBER(G3),G3&gt;=0.2)</formula>
    </cfRule>
    <cfRule type="expression" priority="2" dxfId="2" stopIfTrue="1">
      <formula>AND(ISNUMBER(G3),G3&lt;=-0.2)</formula>
    </cfRule>
    <cfRule type="expression" priority="3" dxfId="1" stopIfTrue="1">
      <formula>AND(ISNUMBER(G3),G3&gt;0)</formula>
    </cfRule>
    <cfRule type="expression" priority="4" dxfId="0" stopIfTrue="1">
      <formula>AND(ISNUMBER(G3),G3&lt;0)</formula>
    </cfRule>
  </conditionalFormatting>
  <conditionalFormatting sqref="K3:K97">
    <cfRule type="expression" priority="5" dxfId="3" stopIfTrue="1">
      <formula>AND(ISNUMBER(K3),K3&gt;=0.2)</formula>
    </cfRule>
    <cfRule type="expression" priority="6" dxfId="2" stopIfTrue="1">
      <formula>AND(ISNUMBER(K3),K3&lt;=-0.2)</formula>
    </cfRule>
    <cfRule type="expression" priority="7" dxfId="1" stopIfTrue="1">
      <formula>AND(ISNUMBER(K3),K3&gt;0)</formula>
    </cfRule>
    <cfRule type="expression" priority="8" dxfId="0" stopIfTrue="1">
      <formula>AND(ISNUMBER(K3),K3&lt;0)</formula>
    </cfRule>
  </conditionalFormatting>
  <conditionalFormatting sqref="T3:T97">
    <cfRule type="expression" priority="9" dxfId="3" stopIfTrue="1">
      <formula>AND(ISNUMBER(T3),T3&gt;=0.2)</formula>
    </cfRule>
    <cfRule type="expression" priority="10" dxfId="2" stopIfTrue="1">
      <formula>AND(ISNUMBER(T3),T3&lt;=-0.2)</formula>
    </cfRule>
    <cfRule type="expression" priority="11" dxfId="1" stopIfTrue="1">
      <formula>AND(ISNUMBER(T3),T3&gt;0)</formula>
    </cfRule>
    <cfRule type="expression" priority="12" dxfId="0" stopIfTrue="1">
      <formula>AND(ISNUMBER(T3),T3&lt;0)</formula>
    </cfRule>
  </conditionalFormatting>
  <conditionalFormatting sqref="V3:V97">
    <cfRule type="expression" priority="13" dxfId="3" stopIfTrue="1">
      <formula>AND(ISNUMBER(V3),V3&gt;=0.2)</formula>
    </cfRule>
    <cfRule type="expression" priority="14" dxfId="2" stopIfTrue="1">
      <formula>AND(ISNUMBER(V3),V3&lt;=-0.2)</formula>
    </cfRule>
    <cfRule type="expression" priority="15" dxfId="1" stopIfTrue="1">
      <formula>AND(ISNUMBER(V3),V3&gt;0)</formula>
    </cfRule>
    <cfRule type="expression" priority="16" dxfId="0" stopIfTrue="1">
      <formula>AND(ISNUMBER(V3),V3&lt;0)</formula>
    </cfRule>
  </conditionalFormatting>
  <conditionalFormatting sqref="F3:F97">
    <cfRule type="expression" priority="17" dxfId="1" stopIfTrue="1">
      <formula>AND(ISNUMBER(F3),F3&gt;0)</formula>
    </cfRule>
    <cfRule type="expression" priority="18" dxfId="0" stopIfTrue="1">
      <formula>AND(ISNUMBER(F3),F3&lt;0)</formula>
    </cfRule>
  </conditionalFormatting>
  <conditionalFormatting sqref="J3:J97">
    <cfRule type="expression" priority="19" dxfId="1" stopIfTrue="1">
      <formula>AND(ISNUMBER(J3),J3&gt;0)</formula>
    </cfRule>
    <cfRule type="expression" priority="20" dxfId="0" stopIfTrue="1">
      <formula>AND(ISNUMBER(J3),J3&lt;0)</formula>
    </cfRule>
  </conditionalFormatting>
  <conditionalFormatting sqref="O3:O97">
    <cfRule type="expression" priority="21" dxfId="1" stopIfTrue="1">
      <formula>AND(ISNUMBER(O3),O3&gt;0)</formula>
    </cfRule>
    <cfRule type="expression" priority="22" dxfId="0" stopIfTrue="1">
      <formula>AND(ISNUMBER(O3),O3&lt;0)</formula>
    </cfRule>
  </conditionalFormatting>
  <conditionalFormatting sqref="X3:X97">
    <cfRule type="expression" priority="23" dxfId="1" stopIfTrue="1">
      <formula>AND(ISNUMBER(X3),X3&gt;0)</formula>
    </cfRule>
    <cfRule type="expression" priority="24" dxfId="0" stopIfTrue="1">
      <formula>AND(ISNUMBER(X3),X3&lt;0)</formula>
    </cfRule>
  </conditionalFormatting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3984375" defaultRowHeight="15" customHeight="1"/>
  <cols>
    <col width="15" customWidth="1" style="58" min="1" max="1"/>
    <col width="22" customWidth="1" style="58" min="2" max="2"/>
    <col width="11" customWidth="1" style="58" min="3" max="3"/>
    <col width="12" customWidth="1" style="58" min="4" max="4"/>
    <col width="13" customWidth="1" style="58" min="5" max="6"/>
    <col width="9" customWidth="1" style="58" min="7" max="7"/>
    <col width="10" customWidth="1" style="58" min="8" max="8"/>
    <col width="12" customWidth="1" style="58" min="9" max="9"/>
    <col width="11" customWidth="1" style="58" min="10" max="10"/>
    <col width="9" customWidth="1" style="58" min="11" max="11"/>
    <col width="14" customWidth="1" style="58" min="12" max="13"/>
    <col width="12" customWidth="1" style="58" min="14" max="15"/>
    <col width="8.73046875" customWidth="1" style="58" min="16" max="16"/>
    <col width="46" customWidth="1" style="58" min="17" max="17"/>
    <col width="8.73046875" customWidth="1" style="58" min="18" max="18"/>
    <col width="15" customWidth="1" style="58" min="19" max="24"/>
  </cols>
  <sheetData>
    <row r="1" ht="17.25" customHeight="1" s="58">
      <c r="A1" s="1" t="inlineStr">
        <is>
          <t>Недельный съём · 24–30.08.2026 (базовая неделя)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4" t="inlineStr">
        <is>
          <t>Лист прошлой недели (питает колонки E, I, O):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42" customHeight="1" s="58">
      <c r="A2" s="5" t="inlineStr">
        <is>
          <t>Площадка</t>
        </is>
      </c>
      <c r="B2" s="5" t="inlineStr">
        <is>
          <t>Ресурс</t>
        </is>
      </c>
      <c r="C2" s="5" t="inlineStr">
        <is>
          <t>Публикаций</t>
        </is>
      </c>
      <c r="D2" s="5" t="inlineStr">
        <is>
          <t>Просмотры</t>
        </is>
      </c>
      <c r="E2" s="5" t="inlineStr">
        <is>
          <t>Просмотры
пред. неделя</t>
        </is>
      </c>
      <c r="F2" s="5" t="inlineStr">
        <is>
          <t>Δ просмотров</t>
        </is>
      </c>
      <c r="G2" s="5" t="inlineStr">
        <is>
          <t>Δ %</t>
        </is>
      </c>
      <c r="H2" s="5" t="inlineStr">
        <is>
          <t>Лайки</t>
        </is>
      </c>
      <c r="I2" s="5" t="inlineStr">
        <is>
          <t>Лайки
пред. неделя</t>
        </is>
      </c>
      <c r="J2" s="5" t="inlineStr">
        <is>
          <t>Δ лайков</t>
        </is>
      </c>
      <c r="K2" s="5" t="inlineStr">
        <is>
          <t>Δ %</t>
        </is>
      </c>
      <c r="L2" s="5" t="inlineStr">
        <is>
          <t>Ср. просмотров
на пост</t>
        </is>
      </c>
      <c r="M2" s="5" t="inlineStr">
        <is>
          <t>Лайков на 1000
просмотров</t>
        </is>
      </c>
      <c r="N2" s="5" t="inlineStr">
        <is>
          <t>Подписчики</t>
        </is>
      </c>
      <c r="O2" s="5" t="inlineStr">
        <is>
          <t>Прирост
подписчиков</t>
        </is>
      </c>
      <c r="P2" s="2" t="n"/>
      <c r="Q2" s="9" t="n"/>
      <c r="R2" s="2" t="n"/>
      <c r="S2" s="10" t="inlineStr">
        <is>
          <t>Δ % просмотров
пред. неделя</t>
        </is>
      </c>
      <c r="T2" s="10" t="inlineStr">
        <is>
          <t>Ускорение
просмотров, п.п.</t>
        </is>
      </c>
      <c r="U2" s="10" t="inlineStr">
        <is>
          <t>Δ % лайков
пред. неделя</t>
        </is>
      </c>
      <c r="V2" s="10" t="inlineStr">
        <is>
          <t>Ускорение
лайков, п.п.</t>
        </is>
      </c>
      <c r="W2" s="10" t="inlineStr">
        <is>
          <t>Прирост подписч.
пред. неделя</t>
        </is>
      </c>
      <c r="X2" s="10" t="inlineStr">
        <is>
          <t>Ускорение
подписчиков, чел.</t>
        </is>
      </c>
      <c r="Y2" s="2" t="n"/>
      <c r="Z2" s="2" t="n"/>
    </row>
    <row r="3" ht="14.25" customHeight="1" s="58">
      <c r="A3" s="12" t="inlineStr">
        <is>
          <t>ВКонтакте</t>
        </is>
      </c>
      <c r="B3" s="12" t="inlineStr">
        <is>
          <t>Ямал-Медиа</t>
        </is>
      </c>
      <c r="C3" s="13" t="n">
        <v>119</v>
      </c>
      <c r="D3" s="13" t="n">
        <v>420384</v>
      </c>
      <c r="E3" s="13">
        <f>IF($D3="","",IFERROR(IF(ISBLANK(INDIRECT("'"&amp;$Q$2&amp;"'!D"&amp;ROW())),"",INDIRECT("'"&amp;$Q$2&amp;"'!D"&amp;ROW())),""))</f>
        <v/>
      </c>
      <c r="F3" s="15" t="n"/>
      <c r="G3" s="16" t="n"/>
      <c r="H3" s="13" t="n">
        <v>1760</v>
      </c>
      <c r="I3" s="13">
        <f>IF($H3="","",IFERROR(IF(ISBLANK(INDIRECT("'"&amp;$Q$2&amp;"'!H"&amp;ROW())),"",INDIRECT("'"&amp;$Q$2&amp;"'!H"&amp;ROW())),""))</f>
        <v/>
      </c>
      <c r="J3" s="15" t="n"/>
      <c r="K3" s="16" t="n"/>
      <c r="L3" s="13">
        <f>IFERROR(D3/C3,"")</f>
        <v/>
      </c>
      <c r="M3" s="13">
        <f>IFERROR(H3/D3*1000,"")</f>
        <v/>
      </c>
      <c r="N3" s="13" t="n">
        <v>87657</v>
      </c>
      <c r="O3" s="15" t="n">
        <v>1107</v>
      </c>
      <c r="P3" s="2" t="n"/>
      <c r="Q3" s="8" t="inlineStr">
        <is>
          <t>Колонки E и I берут прошлую неделю только по строкам, снятым в текущей — сравнение идёт по сопоставимому периметру.</t>
        </is>
      </c>
      <c r="R3" s="2" t="n"/>
      <c r="S3" s="18">
        <f>IFERROR(IF(ISBLANK(INDIRECT("'"&amp;$Q$2&amp;"'!G"&amp;ROW())),"",INDIRECT("'"&amp;$Q$2&amp;"'!G"&amp;ROW())),"")</f>
        <v/>
      </c>
      <c r="T3" s="20">
        <f>IF(OR($G3="",$S3=""),"",$G3-$S3)</f>
        <v/>
      </c>
      <c r="U3" s="18">
        <f>IFERROR(IF(ISBLANK(INDIRECT("'"&amp;$Q$2&amp;"'!K"&amp;ROW())),"",INDIRECT("'"&amp;$Q$2&amp;"'!K"&amp;ROW())),"")</f>
        <v/>
      </c>
      <c r="V3" s="20">
        <f>IF(OR($K3="",$U3=""),"",$K3-$U3)</f>
        <v/>
      </c>
      <c r="W3" s="21">
        <f>IFERROR(IF(ISBLANK(INDIRECT("'"&amp;$Q$2&amp;"'!O"&amp;ROW())),"",INDIRECT("'"&amp;$Q$2&amp;"'!O"&amp;ROW())),"")</f>
        <v/>
      </c>
      <c r="X3" s="21">
        <f>IF(OR($O3="",$W3=""),"",$O3-$W3)</f>
        <v/>
      </c>
      <c r="Y3" s="2" t="n"/>
      <c r="Z3" s="2" t="n"/>
    </row>
    <row r="4" ht="14.25" customHeight="1" s="58">
      <c r="A4" s="12" t="inlineStr">
        <is>
          <t>ВКонтакте</t>
        </is>
      </c>
      <c r="B4" s="12" t="inlineStr">
        <is>
          <t>Север-Пресс</t>
        </is>
      </c>
      <c r="C4" s="13" t="n">
        <v>127</v>
      </c>
      <c r="D4" s="13" t="n">
        <v>112305</v>
      </c>
      <c r="E4" s="13">
        <f>IF($D4="","",IFERROR(IF(ISBLANK(INDIRECT("'"&amp;$Q$2&amp;"'!D"&amp;ROW())),"",INDIRECT("'"&amp;$Q$2&amp;"'!D"&amp;ROW())),""))</f>
        <v/>
      </c>
      <c r="F4" s="15" t="n"/>
      <c r="G4" s="16" t="n"/>
      <c r="H4" s="13" t="n">
        <v>434</v>
      </c>
      <c r="I4" s="13">
        <f>IF($H4="","",IFERROR(IF(ISBLANK(INDIRECT("'"&amp;$Q$2&amp;"'!H"&amp;ROW())),"",INDIRECT("'"&amp;$Q$2&amp;"'!H"&amp;ROW())),""))</f>
        <v/>
      </c>
      <c r="J4" s="15" t="n"/>
      <c r="K4" s="16" t="n"/>
      <c r="L4" s="13">
        <f>IFERROR(D4/C4,"")</f>
        <v/>
      </c>
      <c r="M4" s="13">
        <f>IFERROR(H4/D4*1000,"")</f>
        <v/>
      </c>
      <c r="N4" s="13" t="n">
        <v>26181</v>
      </c>
      <c r="O4" s="15" t="n">
        <v>125</v>
      </c>
      <c r="P4" s="2" t="n"/>
      <c r="Q4" s="2" t="n"/>
      <c r="R4" s="2" t="n"/>
      <c r="S4" s="18">
        <f>IFERROR(IF(ISBLANK(INDIRECT("'"&amp;$Q$2&amp;"'!G"&amp;ROW())),"",INDIRECT("'"&amp;$Q$2&amp;"'!G"&amp;ROW())),"")</f>
        <v/>
      </c>
      <c r="T4" s="20">
        <f>IF(OR($G4="",$S4=""),"",$G4-$S4)</f>
        <v/>
      </c>
      <c r="U4" s="18">
        <f>IFERROR(IF(ISBLANK(INDIRECT("'"&amp;$Q$2&amp;"'!K"&amp;ROW())),"",INDIRECT("'"&amp;$Q$2&amp;"'!K"&amp;ROW())),"")</f>
        <v/>
      </c>
      <c r="V4" s="20">
        <f>IF(OR($K4="",$U4=""),"",$K4-$U4)</f>
        <v/>
      </c>
      <c r="W4" s="21">
        <f>IFERROR(IF(ISBLANK(INDIRECT("'"&amp;$Q$2&amp;"'!O"&amp;ROW())),"",INDIRECT("'"&amp;$Q$2&amp;"'!O"&amp;ROW())),"")</f>
        <v/>
      </c>
      <c r="X4" s="21">
        <f>IF(OR($O4="",$W4=""),"",$O4-$W4)</f>
        <v/>
      </c>
      <c r="Y4" s="2" t="n"/>
      <c r="Z4" s="2" t="n"/>
    </row>
    <row r="5" ht="14.25" customHeight="1" s="58">
      <c r="A5" s="12" t="inlineStr">
        <is>
          <t>ВКонтакте</t>
        </is>
      </c>
      <c r="B5" s="12" t="inlineStr">
        <is>
          <t>Лента СП</t>
        </is>
      </c>
      <c r="C5" s="13" t="n">
        <v>282</v>
      </c>
      <c r="D5" s="13" t="n">
        <v>4059</v>
      </c>
      <c r="E5" s="13">
        <f>IF($D5="","",IFERROR(IF(ISBLANK(INDIRECT("'"&amp;$Q$2&amp;"'!D"&amp;ROW())),"",INDIRECT("'"&amp;$Q$2&amp;"'!D"&amp;ROW())),""))</f>
        <v/>
      </c>
      <c r="F5" s="15" t="n"/>
      <c r="G5" s="16" t="n"/>
      <c r="H5" s="13" t="n">
        <v>6</v>
      </c>
      <c r="I5" s="13">
        <f>IF($H5="","",IFERROR(IF(ISBLANK(INDIRECT("'"&amp;$Q$2&amp;"'!H"&amp;ROW())),"",INDIRECT("'"&amp;$Q$2&amp;"'!H"&amp;ROW())),""))</f>
        <v/>
      </c>
      <c r="J5" s="15" t="n"/>
      <c r="K5" s="16" t="n"/>
      <c r="L5" s="13">
        <f>IFERROR(D5/C5,"")</f>
        <v/>
      </c>
      <c r="M5" s="13">
        <f>IFERROR(H5/D5*1000,"")</f>
        <v/>
      </c>
      <c r="N5" s="13" t="n">
        <v>3502</v>
      </c>
      <c r="O5" s="15" t="n">
        <v>-5</v>
      </c>
      <c r="P5" s="2" t="n"/>
      <c r="Q5" s="2" t="n"/>
      <c r="R5" s="2" t="n"/>
      <c r="S5" s="18">
        <f>IFERROR(IF(ISBLANK(INDIRECT("'"&amp;$Q$2&amp;"'!G"&amp;ROW())),"",INDIRECT("'"&amp;$Q$2&amp;"'!G"&amp;ROW())),"")</f>
        <v/>
      </c>
      <c r="T5" s="20">
        <f>IF(OR($G5="",$S5=""),"",$G5-$S5)</f>
        <v/>
      </c>
      <c r="U5" s="18">
        <f>IFERROR(IF(ISBLANK(INDIRECT("'"&amp;$Q$2&amp;"'!K"&amp;ROW())),"",INDIRECT("'"&amp;$Q$2&amp;"'!K"&amp;ROW())),"")</f>
        <v/>
      </c>
      <c r="V5" s="20">
        <f>IF(OR($K5="",$U5=""),"",$K5-$U5)</f>
        <v/>
      </c>
      <c r="W5" s="21">
        <f>IFERROR(IF(ISBLANK(INDIRECT("'"&amp;$Q$2&amp;"'!O"&amp;ROW())),"",INDIRECT("'"&amp;$Q$2&amp;"'!O"&amp;ROW())),"")</f>
        <v/>
      </c>
      <c r="X5" s="21">
        <f>IF(OR($O5="",$W5=""),"",$O5-$W5)</f>
        <v/>
      </c>
      <c r="Y5" s="2" t="n"/>
      <c r="Z5" s="2" t="n"/>
    </row>
    <row r="6" ht="14.25" customHeight="1" s="58">
      <c r="A6" s="12" t="inlineStr">
        <is>
          <t>ВКонтакте</t>
        </is>
      </c>
      <c r="B6" s="12" t="inlineStr">
        <is>
          <t>Красный Север</t>
        </is>
      </c>
      <c r="C6" s="13" t="n">
        <v>86</v>
      </c>
      <c r="D6" s="13" t="n">
        <v>79566</v>
      </c>
      <c r="E6" s="13">
        <f>IF($D6="","",IFERROR(IF(ISBLANK(INDIRECT("'"&amp;$Q$2&amp;"'!D"&amp;ROW())),"",INDIRECT("'"&amp;$Q$2&amp;"'!D"&amp;ROW())),""))</f>
        <v/>
      </c>
      <c r="F6" s="15" t="n"/>
      <c r="G6" s="16" t="n"/>
      <c r="H6" s="13" t="n">
        <v>290</v>
      </c>
      <c r="I6" s="13">
        <f>IF($H6="","",IFERROR(IF(ISBLANK(INDIRECT("'"&amp;$Q$2&amp;"'!H"&amp;ROW())),"",INDIRECT("'"&amp;$Q$2&amp;"'!H"&amp;ROW())),""))</f>
        <v/>
      </c>
      <c r="J6" s="15" t="n"/>
      <c r="K6" s="16" t="n"/>
      <c r="L6" s="13">
        <f>IFERROR(D6/C6,"")</f>
        <v/>
      </c>
      <c r="M6" s="13">
        <f>IFERROR(H6/D6*1000,"")</f>
        <v/>
      </c>
      <c r="N6" s="13" t="n">
        <v>22925</v>
      </c>
      <c r="O6" s="15" t="n">
        <v>70</v>
      </c>
      <c r="P6" s="2" t="n"/>
      <c r="Q6" s="2" t="n"/>
      <c r="R6" s="2" t="n"/>
      <c r="S6" s="18">
        <f>IFERROR(IF(ISBLANK(INDIRECT("'"&amp;$Q$2&amp;"'!G"&amp;ROW())),"",INDIRECT("'"&amp;$Q$2&amp;"'!G"&amp;ROW())),"")</f>
        <v/>
      </c>
      <c r="T6" s="20">
        <f>IF(OR($G6="",$S6=""),"",$G6-$S6)</f>
        <v/>
      </c>
      <c r="U6" s="18">
        <f>IFERROR(IF(ISBLANK(INDIRECT("'"&amp;$Q$2&amp;"'!K"&amp;ROW())),"",INDIRECT("'"&amp;$Q$2&amp;"'!K"&amp;ROW())),"")</f>
        <v/>
      </c>
      <c r="V6" s="20">
        <f>IF(OR($K6="",$U6=""),"",$K6-$U6)</f>
        <v/>
      </c>
      <c r="W6" s="21">
        <f>IFERROR(IF(ISBLANK(INDIRECT("'"&amp;$Q$2&amp;"'!O"&amp;ROW())),"",INDIRECT("'"&amp;$Q$2&amp;"'!O"&amp;ROW())),"")</f>
        <v/>
      </c>
      <c r="X6" s="21">
        <f>IF(OR($O6="",$W6=""),"",$O6-$W6)</f>
        <v/>
      </c>
      <c r="Y6" s="2" t="n"/>
      <c r="Z6" s="2" t="n"/>
    </row>
    <row r="7" ht="14.25" customHeight="1" s="58">
      <c r="A7" s="12" t="inlineStr">
        <is>
          <t>ВКонтакте</t>
        </is>
      </c>
      <c r="B7" s="12" t="inlineStr">
        <is>
          <t>Новый Уренгой</t>
        </is>
      </c>
      <c r="C7" s="13" t="n">
        <v>87</v>
      </c>
      <c r="D7" s="13" t="n">
        <v>111876</v>
      </c>
      <c r="E7" s="13">
        <f>IF($D7="","",IFERROR(IF(ISBLANK(INDIRECT("'"&amp;$Q$2&amp;"'!D"&amp;ROW())),"",INDIRECT("'"&amp;$Q$2&amp;"'!D"&amp;ROW())),""))</f>
        <v/>
      </c>
      <c r="F7" s="15" t="n"/>
      <c r="G7" s="16" t="n"/>
      <c r="H7" s="13" t="n">
        <v>1128</v>
      </c>
      <c r="I7" s="13">
        <f>IF($H7="","",IFERROR(IF(ISBLANK(INDIRECT("'"&amp;$Q$2&amp;"'!H"&amp;ROW())),"",INDIRECT("'"&amp;$Q$2&amp;"'!H"&amp;ROW())),""))</f>
        <v/>
      </c>
      <c r="J7" s="15" t="n"/>
      <c r="K7" s="16" t="n"/>
      <c r="L7" s="13">
        <f>IFERROR(D7/C7,"")</f>
        <v/>
      </c>
      <c r="M7" s="13">
        <f>IFERROR(H7/D7*1000,"")</f>
        <v/>
      </c>
      <c r="N7" s="13" t="n">
        <v>24326</v>
      </c>
      <c r="O7" s="15" t="n">
        <v>328</v>
      </c>
      <c r="P7" s="2" t="n"/>
      <c r="Q7" s="2" t="n"/>
      <c r="R7" s="2" t="n"/>
      <c r="S7" s="18">
        <f>IFERROR(IF(ISBLANK(INDIRECT("'"&amp;$Q$2&amp;"'!G"&amp;ROW())),"",INDIRECT("'"&amp;$Q$2&amp;"'!G"&amp;ROW())),"")</f>
        <v/>
      </c>
      <c r="T7" s="20">
        <f>IF(OR($G7="",$S7=""),"",$G7-$S7)</f>
        <v/>
      </c>
      <c r="U7" s="18">
        <f>IFERROR(IF(ISBLANK(INDIRECT("'"&amp;$Q$2&amp;"'!K"&amp;ROW())),"",INDIRECT("'"&amp;$Q$2&amp;"'!K"&amp;ROW())),"")</f>
        <v/>
      </c>
      <c r="V7" s="20">
        <f>IF(OR($K7="",$U7=""),"",$K7-$U7)</f>
        <v/>
      </c>
      <c r="W7" s="21">
        <f>IFERROR(IF(ISBLANK(INDIRECT("'"&amp;$Q$2&amp;"'!O"&amp;ROW())),"",INDIRECT("'"&amp;$Q$2&amp;"'!O"&amp;ROW())),"")</f>
        <v/>
      </c>
      <c r="X7" s="21">
        <f>IF(OR($O7="",$W7=""),"",$O7-$W7)</f>
        <v/>
      </c>
      <c r="Y7" s="2" t="n"/>
      <c r="Z7" s="2" t="n"/>
    </row>
    <row r="8" ht="14.25" customHeight="1" s="58">
      <c r="A8" s="12" t="inlineStr">
        <is>
          <t>ВКонтакте</t>
        </is>
      </c>
      <c r="B8" s="12" t="inlineStr">
        <is>
          <t>Надым</t>
        </is>
      </c>
      <c r="C8" s="13" t="n">
        <v>90</v>
      </c>
      <c r="D8" s="13" t="n">
        <v>329208</v>
      </c>
      <c r="E8" s="13">
        <f>IF($D8="","",IFERROR(IF(ISBLANK(INDIRECT("'"&amp;$Q$2&amp;"'!D"&amp;ROW())),"",INDIRECT("'"&amp;$Q$2&amp;"'!D"&amp;ROW())),""))</f>
        <v/>
      </c>
      <c r="F8" s="15" t="n"/>
      <c r="G8" s="16" t="n"/>
      <c r="H8" s="13" t="n">
        <v>4811</v>
      </c>
      <c r="I8" s="13">
        <f>IF($H8="","",IFERROR(IF(ISBLANK(INDIRECT("'"&amp;$Q$2&amp;"'!H"&amp;ROW())),"",INDIRECT("'"&amp;$Q$2&amp;"'!H"&amp;ROW())),""))</f>
        <v/>
      </c>
      <c r="J8" s="15" t="n"/>
      <c r="K8" s="16" t="n"/>
      <c r="L8" s="13">
        <f>IFERROR(D8/C8,"")</f>
        <v/>
      </c>
      <c r="M8" s="13">
        <f>IFERROR(H8/D8*1000,"")</f>
        <v/>
      </c>
      <c r="N8" s="13" t="n">
        <v>21353</v>
      </c>
      <c r="O8" s="15" t="n">
        <v>296</v>
      </c>
      <c r="P8" s="2" t="n"/>
      <c r="Q8" s="2" t="n"/>
      <c r="R8" s="2" t="n"/>
      <c r="S8" s="18">
        <f>IFERROR(IF(ISBLANK(INDIRECT("'"&amp;$Q$2&amp;"'!G"&amp;ROW())),"",INDIRECT("'"&amp;$Q$2&amp;"'!G"&amp;ROW())),"")</f>
        <v/>
      </c>
      <c r="T8" s="20">
        <f>IF(OR($G8="",$S8=""),"",$G8-$S8)</f>
        <v/>
      </c>
      <c r="U8" s="18">
        <f>IFERROR(IF(ISBLANK(INDIRECT("'"&amp;$Q$2&amp;"'!K"&amp;ROW())),"",INDIRECT("'"&amp;$Q$2&amp;"'!K"&amp;ROW())),"")</f>
        <v/>
      </c>
      <c r="V8" s="20">
        <f>IF(OR($K8="",$U8=""),"",$K8-$U8)</f>
        <v/>
      </c>
      <c r="W8" s="21">
        <f>IFERROR(IF(ISBLANK(INDIRECT("'"&amp;$Q$2&amp;"'!O"&amp;ROW())),"",INDIRECT("'"&amp;$Q$2&amp;"'!O"&amp;ROW())),"")</f>
        <v/>
      </c>
      <c r="X8" s="21">
        <f>IF(OR($O8="",$W8=""),"",$O8-$W8)</f>
        <v/>
      </c>
      <c r="Y8" s="2" t="n"/>
      <c r="Z8" s="2" t="n"/>
    </row>
    <row r="9" ht="14.25" customHeight="1" s="58">
      <c r="A9" s="12" t="inlineStr">
        <is>
          <t>ВКонтакте</t>
        </is>
      </c>
      <c r="B9" s="12" t="inlineStr">
        <is>
          <t>Ноябрьск</t>
        </is>
      </c>
      <c r="C9" s="13" t="n">
        <v>86</v>
      </c>
      <c r="D9" s="13" t="n">
        <v>346152</v>
      </c>
      <c r="E9" s="13">
        <f>IF($D9="","",IFERROR(IF(ISBLANK(INDIRECT("'"&amp;$Q$2&amp;"'!D"&amp;ROW())),"",INDIRECT("'"&amp;$Q$2&amp;"'!D"&amp;ROW())),""))</f>
        <v/>
      </c>
      <c r="F9" s="15" t="n"/>
      <c r="G9" s="16" t="n"/>
      <c r="H9" s="13" t="n">
        <v>3872</v>
      </c>
      <c r="I9" s="13">
        <f>IF($H9="","",IFERROR(IF(ISBLANK(INDIRECT("'"&amp;$Q$2&amp;"'!H"&amp;ROW())),"",INDIRECT("'"&amp;$Q$2&amp;"'!H"&amp;ROW())),""))</f>
        <v/>
      </c>
      <c r="J9" s="15" t="n"/>
      <c r="K9" s="16" t="n"/>
      <c r="L9" s="13">
        <f>IFERROR(D9/C9,"")</f>
        <v/>
      </c>
      <c r="M9" s="13">
        <f>IFERROR(H9/D9*1000,"")</f>
        <v/>
      </c>
      <c r="N9" s="13" t="n">
        <v>30913</v>
      </c>
      <c r="O9" s="15" t="n">
        <v>297</v>
      </c>
      <c r="P9" s="2" t="n"/>
      <c r="Q9" s="2" t="n"/>
      <c r="R9" s="2" t="n"/>
      <c r="S9" s="18">
        <f>IFERROR(IF(ISBLANK(INDIRECT("'"&amp;$Q$2&amp;"'!G"&amp;ROW())),"",INDIRECT("'"&amp;$Q$2&amp;"'!G"&amp;ROW())),"")</f>
        <v/>
      </c>
      <c r="T9" s="20">
        <f>IF(OR($G9="",$S9=""),"",$G9-$S9)</f>
        <v/>
      </c>
      <c r="U9" s="18">
        <f>IFERROR(IF(ISBLANK(INDIRECT("'"&amp;$Q$2&amp;"'!K"&amp;ROW())),"",INDIRECT("'"&amp;$Q$2&amp;"'!K"&amp;ROW())),"")</f>
        <v/>
      </c>
      <c r="V9" s="20">
        <f>IF(OR($K9="",$U9=""),"",$K9-$U9)</f>
        <v/>
      </c>
      <c r="W9" s="21">
        <f>IFERROR(IF(ISBLANK(INDIRECT("'"&amp;$Q$2&amp;"'!O"&amp;ROW())),"",INDIRECT("'"&amp;$Q$2&amp;"'!O"&amp;ROW())),"")</f>
        <v/>
      </c>
      <c r="X9" s="21">
        <f>IF(OR($O9="",$W9=""),"",$O9-$W9)</f>
        <v/>
      </c>
      <c r="Y9" s="2" t="n"/>
      <c r="Z9" s="2" t="n"/>
    </row>
    <row r="10" ht="14.25" customHeight="1" s="58">
      <c r="A10" s="12" t="inlineStr">
        <is>
          <t>ВКонтакте</t>
        </is>
      </c>
      <c r="B10" s="12" t="inlineStr">
        <is>
          <t>Салехард</t>
        </is>
      </c>
      <c r="C10" s="13" t="n">
        <v>96</v>
      </c>
      <c r="D10" s="13" t="n">
        <v>131412</v>
      </c>
      <c r="E10" s="13">
        <f>IF($D10="","",IFERROR(IF(ISBLANK(INDIRECT("'"&amp;$Q$2&amp;"'!D"&amp;ROW())),"",INDIRECT("'"&amp;$Q$2&amp;"'!D"&amp;ROW())),""))</f>
        <v/>
      </c>
      <c r="F10" s="15" t="n"/>
      <c r="G10" s="16" t="n"/>
      <c r="H10" s="13" t="n">
        <v>746</v>
      </c>
      <c r="I10" s="13">
        <f>IF($H10="","",IFERROR(IF(ISBLANK(INDIRECT("'"&amp;$Q$2&amp;"'!H"&amp;ROW())),"",INDIRECT("'"&amp;$Q$2&amp;"'!H"&amp;ROW())),""))</f>
        <v/>
      </c>
      <c r="J10" s="15" t="n"/>
      <c r="K10" s="16" t="n"/>
      <c r="L10" s="13">
        <f>IFERROR(D10/C10,"")</f>
        <v/>
      </c>
      <c r="M10" s="13">
        <f>IFERROR(H10/D10*1000,"")</f>
        <v/>
      </c>
      <c r="N10" s="13" t="n">
        <v>21237</v>
      </c>
      <c r="O10" s="15" t="n">
        <v>-55</v>
      </c>
      <c r="P10" s="2" t="n"/>
      <c r="Q10" s="2" t="n"/>
      <c r="R10" s="2" t="n"/>
      <c r="S10" s="18">
        <f>IFERROR(IF(ISBLANK(INDIRECT("'"&amp;$Q$2&amp;"'!G"&amp;ROW())),"",INDIRECT("'"&amp;$Q$2&amp;"'!G"&amp;ROW())),"")</f>
        <v/>
      </c>
      <c r="T10" s="20">
        <f>IF(OR($G10="",$S10=""),"",$G10-$S10)</f>
        <v/>
      </c>
      <c r="U10" s="18">
        <f>IFERROR(IF(ISBLANK(INDIRECT("'"&amp;$Q$2&amp;"'!K"&amp;ROW())),"",INDIRECT("'"&amp;$Q$2&amp;"'!K"&amp;ROW())),"")</f>
        <v/>
      </c>
      <c r="V10" s="20">
        <f>IF(OR($K10="",$U10=""),"",$K10-$U10)</f>
        <v/>
      </c>
      <c r="W10" s="21">
        <f>IFERROR(IF(ISBLANK(INDIRECT("'"&amp;$Q$2&amp;"'!O"&amp;ROW())),"",INDIRECT("'"&amp;$Q$2&amp;"'!O"&amp;ROW())),"")</f>
        <v/>
      </c>
      <c r="X10" s="21">
        <f>IF(OR($O10="",$W10=""),"",$O10-$W10)</f>
        <v/>
      </c>
      <c r="Y10" s="2" t="n"/>
      <c r="Z10" s="2" t="n"/>
    </row>
    <row r="11" ht="14.25" customHeight="1" s="58">
      <c r="A11" s="12" t="inlineStr">
        <is>
          <t>ВКонтакте</t>
        </is>
      </c>
      <c r="B11" s="12" t="inlineStr">
        <is>
          <t>Приуралье</t>
        </is>
      </c>
      <c r="C11" s="13" t="n">
        <v>98</v>
      </c>
      <c r="D11" s="13" t="n">
        <v>332387</v>
      </c>
      <c r="E11" s="13">
        <f>IF($D11="","",IFERROR(IF(ISBLANK(INDIRECT("'"&amp;$Q$2&amp;"'!D"&amp;ROW())),"",INDIRECT("'"&amp;$Q$2&amp;"'!D"&amp;ROW())),""))</f>
        <v/>
      </c>
      <c r="F11" s="15" t="n"/>
      <c r="G11" s="16" t="n"/>
      <c r="H11" s="13" t="n">
        <v>2677</v>
      </c>
      <c r="I11" s="13">
        <f>IF($H11="","",IFERROR(IF(ISBLANK(INDIRECT("'"&amp;$Q$2&amp;"'!H"&amp;ROW())),"",INDIRECT("'"&amp;$Q$2&amp;"'!H"&amp;ROW())),""))</f>
        <v/>
      </c>
      <c r="J11" s="15" t="n"/>
      <c r="K11" s="16" t="n"/>
      <c r="L11" s="13">
        <f>IFERROR(D11/C11,"")</f>
        <v/>
      </c>
      <c r="M11" s="13">
        <f>IFERROR(H11/D11*1000,"")</f>
        <v/>
      </c>
      <c r="N11" s="13" t="n">
        <v>20536</v>
      </c>
      <c r="O11" s="15" t="n">
        <v>429</v>
      </c>
      <c r="P11" s="2" t="n"/>
      <c r="Q11" s="2" t="n"/>
      <c r="R11" s="2" t="n"/>
      <c r="S11" s="18">
        <f>IFERROR(IF(ISBLANK(INDIRECT("'"&amp;$Q$2&amp;"'!G"&amp;ROW())),"",INDIRECT("'"&amp;$Q$2&amp;"'!G"&amp;ROW())),"")</f>
        <v/>
      </c>
      <c r="T11" s="20">
        <f>IF(OR($G11="",$S11=""),"",$G11-$S11)</f>
        <v/>
      </c>
      <c r="U11" s="18">
        <f>IFERROR(IF(ISBLANK(INDIRECT("'"&amp;$Q$2&amp;"'!K"&amp;ROW())),"",INDIRECT("'"&amp;$Q$2&amp;"'!K"&amp;ROW())),"")</f>
        <v/>
      </c>
      <c r="V11" s="20">
        <f>IF(OR($K11="",$U11=""),"",$K11-$U11)</f>
        <v/>
      </c>
      <c r="W11" s="21">
        <f>IFERROR(IF(ISBLANK(INDIRECT("'"&amp;$Q$2&amp;"'!O"&amp;ROW())),"",INDIRECT("'"&amp;$Q$2&amp;"'!O"&amp;ROW())),"")</f>
        <v/>
      </c>
      <c r="X11" s="21">
        <f>IF(OR($O11="",$W11=""),"",$O11-$W11)</f>
        <v/>
      </c>
      <c r="Y11" s="2" t="n"/>
      <c r="Z11" s="2" t="n"/>
    </row>
    <row r="12" ht="14.25" customHeight="1" s="58">
      <c r="A12" s="12" t="inlineStr">
        <is>
          <t>ВКонтакте</t>
        </is>
      </c>
      <c r="B12" s="12" t="inlineStr">
        <is>
          <t>Лабытнанги</t>
        </is>
      </c>
      <c r="C12" s="13" t="n">
        <v>62</v>
      </c>
      <c r="D12" s="13" t="n">
        <v>88366</v>
      </c>
      <c r="E12" s="13">
        <f>IF($D12="","",IFERROR(IF(ISBLANK(INDIRECT("'"&amp;$Q$2&amp;"'!D"&amp;ROW())),"",INDIRECT("'"&amp;$Q$2&amp;"'!D"&amp;ROW())),""))</f>
        <v/>
      </c>
      <c r="F12" s="15" t="n"/>
      <c r="G12" s="16" t="n"/>
      <c r="H12" s="13" t="n">
        <v>6375</v>
      </c>
      <c r="I12" s="13">
        <f>IF($H12="","",IFERROR(IF(ISBLANK(INDIRECT("'"&amp;$Q$2&amp;"'!H"&amp;ROW())),"",INDIRECT("'"&amp;$Q$2&amp;"'!H"&amp;ROW())),""))</f>
        <v/>
      </c>
      <c r="J12" s="15" t="n"/>
      <c r="K12" s="16" t="n"/>
      <c r="L12" s="13">
        <f>IFERROR(D12/C12,"")</f>
        <v/>
      </c>
      <c r="M12" s="13">
        <f>IFERROR(H12/D12*1000,"")</f>
        <v/>
      </c>
      <c r="N12" s="13" t="n">
        <v>15218</v>
      </c>
      <c r="O12" s="15" t="n">
        <v>679</v>
      </c>
      <c r="P12" s="2" t="n"/>
      <c r="Q12" s="2" t="n"/>
      <c r="R12" s="2" t="n"/>
      <c r="S12" s="18">
        <f>IFERROR(IF(ISBLANK(INDIRECT("'"&amp;$Q$2&amp;"'!G"&amp;ROW())),"",INDIRECT("'"&amp;$Q$2&amp;"'!G"&amp;ROW())),"")</f>
        <v/>
      </c>
      <c r="T12" s="20">
        <f>IF(OR($G12="",$S12=""),"",$G12-$S12)</f>
        <v/>
      </c>
      <c r="U12" s="18">
        <f>IFERROR(IF(ISBLANK(INDIRECT("'"&amp;$Q$2&amp;"'!K"&amp;ROW())),"",INDIRECT("'"&amp;$Q$2&amp;"'!K"&amp;ROW())),"")</f>
        <v/>
      </c>
      <c r="V12" s="20">
        <f>IF(OR($K12="",$U12=""),"",$K12-$U12)</f>
        <v/>
      </c>
      <c r="W12" s="21">
        <f>IFERROR(IF(ISBLANK(INDIRECT("'"&amp;$Q$2&amp;"'!O"&amp;ROW())),"",INDIRECT("'"&amp;$Q$2&amp;"'!O"&amp;ROW())),"")</f>
        <v/>
      </c>
      <c r="X12" s="21">
        <f>IF(OR($O12="",$W12=""),"",$O12-$W12)</f>
        <v/>
      </c>
      <c r="Y12" s="2" t="n"/>
      <c r="Z12" s="2" t="n"/>
    </row>
    <row r="13" ht="14.25" customHeight="1" s="58">
      <c r="A13" s="12" t="inlineStr">
        <is>
          <t>ВКонтакте</t>
        </is>
      </c>
      <c r="B13" s="12" t="inlineStr">
        <is>
          <t>Пуровский</t>
        </is>
      </c>
      <c r="C13" s="13" t="n">
        <v>45</v>
      </c>
      <c r="D13" s="13" t="n">
        <v>32472</v>
      </c>
      <c r="E13" s="13">
        <f>IF($D13="","",IFERROR(IF(ISBLANK(INDIRECT("'"&amp;$Q$2&amp;"'!D"&amp;ROW())),"",INDIRECT("'"&amp;$Q$2&amp;"'!D"&amp;ROW())),""))</f>
        <v/>
      </c>
      <c r="F13" s="15" t="n"/>
      <c r="G13" s="16" t="n"/>
      <c r="H13" s="13" t="n">
        <v>499</v>
      </c>
      <c r="I13" s="13">
        <f>IF($H13="","",IFERROR(IF(ISBLANK(INDIRECT("'"&amp;$Q$2&amp;"'!H"&amp;ROW())),"",INDIRECT("'"&amp;$Q$2&amp;"'!H"&amp;ROW())),""))</f>
        <v/>
      </c>
      <c r="J13" s="15" t="n"/>
      <c r="K13" s="16" t="n"/>
      <c r="L13" s="13">
        <f>IFERROR(D13/C13,"")</f>
        <v/>
      </c>
      <c r="M13" s="13">
        <f>IFERROR(H13/D13*1000,"")</f>
        <v/>
      </c>
      <c r="N13" s="13" t="n">
        <v>16291</v>
      </c>
      <c r="O13" s="15" t="n">
        <v>211</v>
      </c>
      <c r="P13" s="2" t="n"/>
      <c r="Q13" s="2" t="n"/>
      <c r="R13" s="2" t="n"/>
      <c r="S13" s="18">
        <f>IFERROR(IF(ISBLANK(INDIRECT("'"&amp;$Q$2&amp;"'!G"&amp;ROW())),"",INDIRECT("'"&amp;$Q$2&amp;"'!G"&amp;ROW())),"")</f>
        <v/>
      </c>
      <c r="T13" s="20">
        <f>IF(OR($G13="",$S13=""),"",$G13-$S13)</f>
        <v/>
      </c>
      <c r="U13" s="18">
        <f>IFERROR(IF(ISBLANK(INDIRECT("'"&amp;$Q$2&amp;"'!K"&amp;ROW())),"",INDIRECT("'"&amp;$Q$2&amp;"'!K"&amp;ROW())),"")</f>
        <v/>
      </c>
      <c r="V13" s="20">
        <f>IF(OR($K13="",$U13=""),"",$K13-$U13)</f>
        <v/>
      </c>
      <c r="W13" s="21">
        <f>IFERROR(IF(ISBLANK(INDIRECT("'"&amp;$Q$2&amp;"'!O"&amp;ROW())),"",INDIRECT("'"&amp;$Q$2&amp;"'!O"&amp;ROW())),"")</f>
        <v/>
      </c>
      <c r="X13" s="21">
        <f>IF(OR($O13="",$W13=""),"",$O13-$W13)</f>
        <v/>
      </c>
      <c r="Y13" s="2" t="n"/>
      <c r="Z13" s="2" t="n"/>
    </row>
    <row r="14" ht="14.25" customHeight="1" s="58">
      <c r="A14" s="12" t="inlineStr">
        <is>
          <t>ВКонтакте</t>
        </is>
      </c>
      <c r="B14" s="12" t="inlineStr">
        <is>
          <t>Тазовский</t>
        </is>
      </c>
      <c r="C14" s="13" t="n">
        <v>47</v>
      </c>
      <c r="D14" s="13" t="n">
        <v>39481</v>
      </c>
      <c r="E14" s="13">
        <f>IF($D14="","",IFERROR(IF(ISBLANK(INDIRECT("'"&amp;$Q$2&amp;"'!D"&amp;ROW())),"",INDIRECT("'"&amp;$Q$2&amp;"'!D"&amp;ROW())),""))</f>
        <v/>
      </c>
      <c r="F14" s="15" t="n"/>
      <c r="G14" s="16" t="n"/>
      <c r="H14" s="13" t="n">
        <v>351</v>
      </c>
      <c r="I14" s="13">
        <f>IF($H14="","",IFERROR(IF(ISBLANK(INDIRECT("'"&amp;$Q$2&amp;"'!H"&amp;ROW())),"",INDIRECT("'"&amp;$Q$2&amp;"'!H"&amp;ROW())),""))</f>
        <v/>
      </c>
      <c r="J14" s="15" t="n"/>
      <c r="K14" s="16" t="n"/>
      <c r="L14" s="13">
        <f>IFERROR(D14/C14,"")</f>
        <v/>
      </c>
      <c r="M14" s="13">
        <f>IFERROR(H14/D14*1000,"")</f>
        <v/>
      </c>
      <c r="N14" s="13" t="n">
        <v>6273</v>
      </c>
      <c r="O14" s="15" t="n">
        <v>251</v>
      </c>
      <c r="P14" s="2" t="n"/>
      <c r="Q14" s="2" t="n"/>
      <c r="R14" s="2" t="n"/>
      <c r="S14" s="18">
        <f>IFERROR(IF(ISBLANK(INDIRECT("'"&amp;$Q$2&amp;"'!G"&amp;ROW())),"",INDIRECT("'"&amp;$Q$2&amp;"'!G"&amp;ROW())),"")</f>
        <v/>
      </c>
      <c r="T14" s="20">
        <f>IF(OR($G14="",$S14=""),"",$G14-$S14)</f>
        <v/>
      </c>
      <c r="U14" s="18">
        <f>IFERROR(IF(ISBLANK(INDIRECT("'"&amp;$Q$2&amp;"'!K"&amp;ROW())),"",INDIRECT("'"&amp;$Q$2&amp;"'!K"&amp;ROW())),"")</f>
        <v/>
      </c>
      <c r="V14" s="20">
        <f>IF(OR($K14="",$U14=""),"",$K14-$U14)</f>
        <v/>
      </c>
      <c r="W14" s="21">
        <f>IFERROR(IF(ISBLANK(INDIRECT("'"&amp;$Q$2&amp;"'!O"&amp;ROW())),"",INDIRECT("'"&amp;$Q$2&amp;"'!O"&amp;ROW())),"")</f>
        <v/>
      </c>
      <c r="X14" s="21">
        <f>IF(OR($O14="",$W14=""),"",$O14-$W14)</f>
        <v/>
      </c>
      <c r="Y14" s="2" t="n"/>
      <c r="Z14" s="2" t="n"/>
    </row>
    <row r="15" ht="14.25" customHeight="1" s="58">
      <c r="A15" s="12" t="inlineStr">
        <is>
          <t>ВКонтакте</t>
        </is>
      </c>
      <c r="B15" s="12" t="inlineStr">
        <is>
          <t>Красноселькуп</t>
        </is>
      </c>
      <c r="C15" s="13" t="n">
        <v>30</v>
      </c>
      <c r="D15" s="13" t="n">
        <v>32883</v>
      </c>
      <c r="E15" s="13">
        <f>IF($D15="","",IFERROR(IF(ISBLANK(INDIRECT("'"&amp;$Q$2&amp;"'!D"&amp;ROW())),"",INDIRECT("'"&amp;$Q$2&amp;"'!D"&amp;ROW())),""))</f>
        <v/>
      </c>
      <c r="F15" s="15" t="n"/>
      <c r="G15" s="16" t="n"/>
      <c r="H15" s="13" t="n">
        <v>502</v>
      </c>
      <c r="I15" s="13">
        <f>IF($H15="","",IFERROR(IF(ISBLANK(INDIRECT("'"&amp;$Q$2&amp;"'!H"&amp;ROW())),"",INDIRECT("'"&amp;$Q$2&amp;"'!H"&amp;ROW())),""))</f>
        <v/>
      </c>
      <c r="J15" s="15" t="n"/>
      <c r="K15" s="16" t="n"/>
      <c r="L15" s="13">
        <f>IFERROR(D15/C15,"")</f>
        <v/>
      </c>
      <c r="M15" s="13">
        <f>IFERROR(H15/D15*1000,"")</f>
        <v/>
      </c>
      <c r="N15" s="13" t="n">
        <v>3642</v>
      </c>
      <c r="O15" s="15" t="n">
        <v>35</v>
      </c>
      <c r="P15" s="2" t="n"/>
      <c r="Q15" s="2" t="n"/>
      <c r="R15" s="2" t="n"/>
      <c r="S15" s="18">
        <f>IFERROR(IF(ISBLANK(INDIRECT("'"&amp;$Q$2&amp;"'!G"&amp;ROW())),"",INDIRECT("'"&amp;$Q$2&amp;"'!G"&amp;ROW())),"")</f>
        <v/>
      </c>
      <c r="T15" s="20">
        <f>IF(OR($G15="",$S15=""),"",$G15-$S15)</f>
        <v/>
      </c>
      <c r="U15" s="18">
        <f>IFERROR(IF(ISBLANK(INDIRECT("'"&amp;$Q$2&amp;"'!K"&amp;ROW())),"",INDIRECT("'"&amp;$Q$2&amp;"'!K"&amp;ROW())),"")</f>
        <v/>
      </c>
      <c r="V15" s="20">
        <f>IF(OR($K15="",$U15=""),"",$K15-$U15)</f>
        <v/>
      </c>
      <c r="W15" s="21">
        <f>IFERROR(IF(ISBLANK(INDIRECT("'"&amp;$Q$2&amp;"'!O"&amp;ROW())),"",INDIRECT("'"&amp;$Q$2&amp;"'!O"&amp;ROW())),"")</f>
        <v/>
      </c>
      <c r="X15" s="21">
        <f>IF(OR($O15="",$W15=""),"",$O15-$W15)</f>
        <v/>
      </c>
      <c r="Y15" s="2" t="n"/>
      <c r="Z15" s="2" t="n"/>
    </row>
    <row r="16" ht="14.25" customHeight="1" s="58">
      <c r="A16" s="12" t="inlineStr">
        <is>
          <t>ВКонтакте</t>
        </is>
      </c>
      <c r="B16" s="12" t="inlineStr">
        <is>
          <t>Ямальский</t>
        </is>
      </c>
      <c r="C16" s="13" t="n">
        <v>52</v>
      </c>
      <c r="D16" s="13" t="n">
        <v>121485</v>
      </c>
      <c r="E16" s="13">
        <f>IF($D16="","",IFERROR(IF(ISBLANK(INDIRECT("'"&amp;$Q$2&amp;"'!D"&amp;ROW())),"",INDIRECT("'"&amp;$Q$2&amp;"'!D"&amp;ROW())),""))</f>
        <v/>
      </c>
      <c r="F16" s="15" t="n"/>
      <c r="G16" s="16" t="n"/>
      <c r="H16" s="13" t="n">
        <v>1065</v>
      </c>
      <c r="I16" s="13">
        <f>IF($H16="","",IFERROR(IF(ISBLANK(INDIRECT("'"&amp;$Q$2&amp;"'!H"&amp;ROW())),"",INDIRECT("'"&amp;$Q$2&amp;"'!H"&amp;ROW())),""))</f>
        <v/>
      </c>
      <c r="J16" s="15" t="n"/>
      <c r="K16" s="16" t="n"/>
      <c r="L16" s="13">
        <f>IFERROR(D16/C16,"")</f>
        <v/>
      </c>
      <c r="M16" s="13">
        <f>IFERROR(H16/D16*1000,"")</f>
        <v/>
      </c>
      <c r="N16" s="13" t="n">
        <v>12217</v>
      </c>
      <c r="O16" s="15" t="n">
        <v>182</v>
      </c>
      <c r="P16" s="2" t="n"/>
      <c r="Q16" s="2" t="n"/>
      <c r="R16" s="2" t="n"/>
      <c r="S16" s="18">
        <f>IFERROR(IF(ISBLANK(INDIRECT("'"&amp;$Q$2&amp;"'!G"&amp;ROW())),"",INDIRECT("'"&amp;$Q$2&amp;"'!G"&amp;ROW())),"")</f>
        <v/>
      </c>
      <c r="T16" s="20">
        <f>IF(OR($G16="",$S16=""),"",$G16-$S16)</f>
        <v/>
      </c>
      <c r="U16" s="18">
        <f>IFERROR(IF(ISBLANK(INDIRECT("'"&amp;$Q$2&amp;"'!K"&amp;ROW())),"",INDIRECT("'"&amp;$Q$2&amp;"'!K"&amp;ROW())),"")</f>
        <v/>
      </c>
      <c r="V16" s="20">
        <f>IF(OR($K16="",$U16=""),"",$K16-$U16)</f>
        <v/>
      </c>
      <c r="W16" s="21">
        <f>IFERROR(IF(ISBLANK(INDIRECT("'"&amp;$Q$2&amp;"'!O"&amp;ROW())),"",INDIRECT("'"&amp;$Q$2&amp;"'!O"&amp;ROW())),"")</f>
        <v/>
      </c>
      <c r="X16" s="21">
        <f>IF(OR($O16="",$W16=""),"",$O16-$W16)</f>
        <v/>
      </c>
      <c r="Y16" s="2" t="n"/>
      <c r="Z16" s="2" t="n"/>
    </row>
    <row r="17" ht="14.25" customHeight="1" s="58">
      <c r="A17" s="12" t="inlineStr">
        <is>
          <t>ВКонтакте</t>
        </is>
      </c>
      <c r="B17" s="12" t="inlineStr">
        <is>
          <t>Шурышкарский</t>
        </is>
      </c>
      <c r="C17" s="13" t="n">
        <v>54</v>
      </c>
      <c r="D17" s="13" t="n">
        <v>118008</v>
      </c>
      <c r="E17" s="13">
        <f>IF($D17="","",IFERROR(IF(ISBLANK(INDIRECT("'"&amp;$Q$2&amp;"'!D"&amp;ROW())),"",INDIRECT("'"&amp;$Q$2&amp;"'!D"&amp;ROW())),""))</f>
        <v/>
      </c>
      <c r="F17" s="15" t="n"/>
      <c r="G17" s="16" t="n"/>
      <c r="H17" s="13" t="n">
        <v>1095</v>
      </c>
      <c r="I17" s="13">
        <f>IF($H17="","",IFERROR(IF(ISBLANK(INDIRECT("'"&amp;$Q$2&amp;"'!H"&amp;ROW())),"",INDIRECT("'"&amp;$Q$2&amp;"'!H"&amp;ROW())),""))</f>
        <v/>
      </c>
      <c r="J17" s="15" t="n"/>
      <c r="K17" s="16" t="n"/>
      <c r="L17" s="13">
        <f>IFERROR(D17/C17,"")</f>
        <v/>
      </c>
      <c r="M17" s="13">
        <f>IFERROR(H17/D17*1000,"")</f>
        <v/>
      </c>
      <c r="N17" s="13" t="n">
        <v>7752</v>
      </c>
      <c r="O17" s="15" t="n">
        <v>62</v>
      </c>
      <c r="P17" s="2" t="n"/>
      <c r="Q17" s="2" t="n"/>
      <c r="R17" s="2" t="n"/>
      <c r="S17" s="18">
        <f>IFERROR(IF(ISBLANK(INDIRECT("'"&amp;$Q$2&amp;"'!G"&amp;ROW())),"",INDIRECT("'"&amp;$Q$2&amp;"'!G"&amp;ROW())),"")</f>
        <v/>
      </c>
      <c r="T17" s="20">
        <f>IF(OR($G17="",$S17=""),"",$G17-$S17)</f>
        <v/>
      </c>
      <c r="U17" s="18">
        <f>IFERROR(IF(ISBLANK(INDIRECT("'"&amp;$Q$2&amp;"'!K"&amp;ROW())),"",INDIRECT("'"&amp;$Q$2&amp;"'!K"&amp;ROW())),"")</f>
        <v/>
      </c>
      <c r="V17" s="20">
        <f>IF(OR($K17="",$U17=""),"",$K17-$U17)</f>
        <v/>
      </c>
      <c r="W17" s="21">
        <f>IFERROR(IF(ISBLANK(INDIRECT("'"&amp;$Q$2&amp;"'!O"&amp;ROW())),"",INDIRECT("'"&amp;$Q$2&amp;"'!O"&amp;ROW())),"")</f>
        <v/>
      </c>
      <c r="X17" s="21">
        <f>IF(OR($O17="",$W17=""),"",$O17-$W17)</f>
        <v/>
      </c>
      <c r="Y17" s="2" t="n"/>
      <c r="Z17" s="2" t="n"/>
    </row>
    <row r="18" ht="14.25" customHeight="1" s="58">
      <c r="A18" s="12" t="inlineStr">
        <is>
          <t>ВКонтакте</t>
        </is>
      </c>
      <c r="B18" s="12" t="inlineStr">
        <is>
          <t>Муравленко</t>
        </is>
      </c>
      <c r="C18" s="13" t="n">
        <v>64</v>
      </c>
      <c r="D18" s="13" t="n">
        <v>185614</v>
      </c>
      <c r="E18" s="13">
        <f>IF($D18="","",IFERROR(IF(ISBLANK(INDIRECT("'"&amp;$Q$2&amp;"'!D"&amp;ROW())),"",INDIRECT("'"&amp;$Q$2&amp;"'!D"&amp;ROW())),""))</f>
        <v/>
      </c>
      <c r="F18" s="15" t="n"/>
      <c r="G18" s="16" t="n"/>
      <c r="H18" s="13" t="n">
        <v>1382</v>
      </c>
      <c r="I18" s="13">
        <f>IF($H18="","",IFERROR(IF(ISBLANK(INDIRECT("'"&amp;$Q$2&amp;"'!H"&amp;ROW())),"",INDIRECT("'"&amp;$Q$2&amp;"'!H"&amp;ROW())),""))</f>
        <v/>
      </c>
      <c r="J18" s="15" t="n"/>
      <c r="K18" s="16" t="n"/>
      <c r="L18" s="13">
        <f>IFERROR(D18/C18,"")</f>
        <v/>
      </c>
      <c r="M18" s="13">
        <f>IFERROR(H18/D18*1000,"")</f>
        <v/>
      </c>
      <c r="N18" s="13" t="n">
        <v>18122</v>
      </c>
      <c r="O18" s="15" t="n">
        <v>97</v>
      </c>
      <c r="P18" s="2" t="n"/>
      <c r="Q18" s="2" t="n"/>
      <c r="R18" s="2" t="n"/>
      <c r="S18" s="18">
        <f>IFERROR(IF(ISBLANK(INDIRECT("'"&amp;$Q$2&amp;"'!G"&amp;ROW())),"",INDIRECT("'"&amp;$Q$2&amp;"'!G"&amp;ROW())),"")</f>
        <v/>
      </c>
      <c r="T18" s="20">
        <f>IF(OR($G18="",$S18=""),"",$G18-$S18)</f>
        <v/>
      </c>
      <c r="U18" s="18">
        <f>IFERROR(IF(ISBLANK(INDIRECT("'"&amp;$Q$2&amp;"'!K"&amp;ROW())),"",INDIRECT("'"&amp;$Q$2&amp;"'!K"&amp;ROW())),"")</f>
        <v/>
      </c>
      <c r="V18" s="20">
        <f>IF(OR($K18="",$U18=""),"",$K18-$U18)</f>
        <v/>
      </c>
      <c r="W18" s="21">
        <f>IFERROR(IF(ISBLANK(INDIRECT("'"&amp;$Q$2&amp;"'!O"&amp;ROW())),"",INDIRECT("'"&amp;$Q$2&amp;"'!O"&amp;ROW())),"")</f>
        <v/>
      </c>
      <c r="X18" s="21">
        <f>IF(OR($O18="",$W18=""),"",$O18-$W18)</f>
        <v/>
      </c>
      <c r="Y18" s="2" t="n"/>
      <c r="Z18" s="2" t="n"/>
    </row>
    <row r="19" ht="14.25" customHeight="1" s="58">
      <c r="A19" s="12" t="inlineStr">
        <is>
          <t>ВКонтакте</t>
        </is>
      </c>
      <c r="B19" s="12" t="inlineStr">
        <is>
          <t>Губкинский</t>
        </is>
      </c>
      <c r="C19" s="13" t="n">
        <v>108</v>
      </c>
      <c r="D19" s="13" t="n">
        <v>318015</v>
      </c>
      <c r="E19" s="13">
        <f>IF($D19="","",IFERROR(IF(ISBLANK(INDIRECT("'"&amp;$Q$2&amp;"'!D"&amp;ROW())),"",INDIRECT("'"&amp;$Q$2&amp;"'!D"&amp;ROW())),""))</f>
        <v/>
      </c>
      <c r="F19" s="15" t="n"/>
      <c r="G19" s="16" t="n"/>
      <c r="H19" s="13" t="n">
        <v>3679</v>
      </c>
      <c r="I19" s="13">
        <f>IF($H19="","",IFERROR(IF(ISBLANK(INDIRECT("'"&amp;$Q$2&amp;"'!H"&amp;ROW())),"",INDIRECT("'"&amp;$Q$2&amp;"'!H"&amp;ROW())),""))</f>
        <v/>
      </c>
      <c r="J19" s="15" t="n"/>
      <c r="K19" s="16" t="n"/>
      <c r="L19" s="13">
        <f>IFERROR(D19/C19,"")</f>
        <v/>
      </c>
      <c r="M19" s="13">
        <f>IFERROR(H19/D19*1000,"")</f>
        <v/>
      </c>
      <c r="N19" s="13" t="n">
        <v>18909</v>
      </c>
      <c r="O19" s="15" t="n">
        <v>138</v>
      </c>
      <c r="P19" s="2" t="n"/>
      <c r="Q19" s="2" t="n"/>
      <c r="R19" s="2" t="n"/>
      <c r="S19" s="18">
        <f>IFERROR(IF(ISBLANK(INDIRECT("'"&amp;$Q$2&amp;"'!G"&amp;ROW())),"",INDIRECT("'"&amp;$Q$2&amp;"'!G"&amp;ROW())),"")</f>
        <v/>
      </c>
      <c r="T19" s="20">
        <f>IF(OR($G19="",$S19=""),"",$G19-$S19)</f>
        <v/>
      </c>
      <c r="U19" s="18">
        <f>IFERROR(IF(ISBLANK(INDIRECT("'"&amp;$Q$2&amp;"'!K"&amp;ROW())),"",INDIRECT("'"&amp;$Q$2&amp;"'!K"&amp;ROW())),"")</f>
        <v/>
      </c>
      <c r="V19" s="20">
        <f>IF(OR($K19="",$U19=""),"",$K19-$U19)</f>
        <v/>
      </c>
      <c r="W19" s="21">
        <f>IFERROR(IF(ISBLANK(INDIRECT("'"&amp;$Q$2&amp;"'!O"&amp;ROW())),"",INDIRECT("'"&amp;$Q$2&amp;"'!O"&amp;ROW())),"")</f>
        <v/>
      </c>
      <c r="X19" s="21">
        <f>IF(OR($O19="",$W19=""),"",$O19-$W19)</f>
        <v/>
      </c>
      <c r="Y19" s="2" t="n"/>
      <c r="Z19" s="2" t="n"/>
    </row>
    <row r="20" ht="14.25" customHeight="1" s="58">
      <c r="A20" s="12" t="inlineStr">
        <is>
          <t>ВКонтакте</t>
        </is>
      </c>
      <c r="B20" s="12" t="inlineStr">
        <is>
          <t>Не олени</t>
        </is>
      </c>
      <c r="C20" s="13" t="n">
        <v>21</v>
      </c>
      <c r="D20" s="13" t="n">
        <v>198157</v>
      </c>
      <c r="E20" s="13">
        <f>IF($D20="","",IFERROR(IF(ISBLANK(INDIRECT("'"&amp;$Q$2&amp;"'!D"&amp;ROW())),"",INDIRECT("'"&amp;$Q$2&amp;"'!D"&amp;ROW())),""))</f>
        <v/>
      </c>
      <c r="F20" s="15" t="n"/>
      <c r="G20" s="16" t="n"/>
      <c r="H20" s="13" t="n">
        <v>1889</v>
      </c>
      <c r="I20" s="13">
        <f>IF($H20="","",IFERROR(IF(ISBLANK(INDIRECT("'"&amp;$Q$2&amp;"'!H"&amp;ROW())),"",INDIRECT("'"&amp;$Q$2&amp;"'!H"&amp;ROW())),""))</f>
        <v/>
      </c>
      <c r="J20" s="15" t="n"/>
      <c r="K20" s="16" t="n"/>
      <c r="L20" s="13">
        <f>IFERROR(D20/C20,"")</f>
        <v/>
      </c>
      <c r="M20" s="13">
        <f>IFERROR(H20/D20*1000,"")</f>
        <v/>
      </c>
      <c r="N20" s="13" t="n">
        <v>14368</v>
      </c>
      <c r="O20" s="15" t="n">
        <v>1019</v>
      </c>
      <c r="P20" s="2" t="n"/>
      <c r="Q20" s="2" t="n"/>
      <c r="R20" s="2" t="n"/>
      <c r="S20" s="18">
        <f>IFERROR(IF(ISBLANK(INDIRECT("'"&amp;$Q$2&amp;"'!G"&amp;ROW())),"",INDIRECT("'"&amp;$Q$2&amp;"'!G"&amp;ROW())),"")</f>
        <v/>
      </c>
      <c r="T20" s="20">
        <f>IF(OR($G20="",$S20=""),"",$G20-$S20)</f>
        <v/>
      </c>
      <c r="U20" s="18">
        <f>IFERROR(IF(ISBLANK(INDIRECT("'"&amp;$Q$2&amp;"'!K"&amp;ROW())),"",INDIRECT("'"&amp;$Q$2&amp;"'!K"&amp;ROW())),"")</f>
        <v/>
      </c>
      <c r="V20" s="20">
        <f>IF(OR($K20="",$U20=""),"",$K20-$U20)</f>
        <v/>
      </c>
      <c r="W20" s="21">
        <f>IFERROR(IF(ISBLANK(INDIRECT("'"&amp;$Q$2&amp;"'!O"&amp;ROW())),"",INDIRECT("'"&amp;$Q$2&amp;"'!O"&amp;ROW())),"")</f>
        <v/>
      </c>
      <c r="X20" s="21">
        <f>IF(OR($O20="",$W20=""),"",$O20-$W20)</f>
        <v/>
      </c>
      <c r="Y20" s="2" t="n"/>
      <c r="Z20" s="2" t="n"/>
    </row>
    <row r="21" ht="14.25" customHeight="1" s="58">
      <c r="A21" s="12" t="inlineStr">
        <is>
          <t>ВКонтакте</t>
        </is>
      </c>
      <c r="B21" s="12" t="inlineStr">
        <is>
          <t>Этноарктика</t>
        </is>
      </c>
      <c r="C21" s="13" t="n">
        <v>3</v>
      </c>
      <c r="D21" s="13" t="n">
        <v>2474</v>
      </c>
      <c r="E21" s="13">
        <f>IF($D21="","",IFERROR(IF(ISBLANK(INDIRECT("'"&amp;$Q$2&amp;"'!D"&amp;ROW())),"",INDIRECT("'"&amp;$Q$2&amp;"'!D"&amp;ROW())),""))</f>
        <v/>
      </c>
      <c r="F21" s="15" t="n"/>
      <c r="G21" s="16" t="n"/>
      <c r="H21" s="13" t="n">
        <v>65</v>
      </c>
      <c r="I21" s="13">
        <f>IF($H21="","",IFERROR(IF(ISBLANK(INDIRECT("'"&amp;$Q$2&amp;"'!H"&amp;ROW())),"",INDIRECT("'"&amp;$Q$2&amp;"'!H"&amp;ROW())),""))</f>
        <v/>
      </c>
      <c r="J21" s="15" t="n"/>
      <c r="K21" s="16" t="n"/>
      <c r="L21" s="13">
        <f>IFERROR(D21/C21,"")</f>
        <v/>
      </c>
      <c r="M21" s="13">
        <f>IFERROR(H21/D21*1000,"")</f>
        <v/>
      </c>
      <c r="N21" s="13" t="n">
        <v>10598</v>
      </c>
      <c r="O21" s="15" t="n">
        <v>44</v>
      </c>
      <c r="P21" s="2" t="n"/>
      <c r="Q21" s="2" t="n"/>
      <c r="R21" s="2" t="n"/>
      <c r="S21" s="18">
        <f>IFERROR(IF(ISBLANK(INDIRECT("'"&amp;$Q$2&amp;"'!G"&amp;ROW())),"",INDIRECT("'"&amp;$Q$2&amp;"'!G"&amp;ROW())),"")</f>
        <v/>
      </c>
      <c r="T21" s="20">
        <f>IF(OR($G21="",$S21=""),"",$G21-$S21)</f>
        <v/>
      </c>
      <c r="U21" s="18">
        <f>IFERROR(IF(ISBLANK(INDIRECT("'"&amp;$Q$2&amp;"'!K"&amp;ROW())),"",INDIRECT("'"&amp;$Q$2&amp;"'!K"&amp;ROW())),"")</f>
        <v/>
      </c>
      <c r="V21" s="20">
        <f>IF(OR($K21="",$U21=""),"",$K21-$U21)</f>
        <v/>
      </c>
      <c r="W21" s="21">
        <f>IFERROR(IF(ISBLANK(INDIRECT("'"&amp;$Q$2&amp;"'!O"&amp;ROW())),"",INDIRECT("'"&amp;$Q$2&amp;"'!O"&amp;ROW())),"")</f>
        <v/>
      </c>
      <c r="X21" s="21">
        <f>IF(OR($O21="",$W21=""),"",$O21-$W21)</f>
        <v/>
      </c>
      <c r="Y21" s="2" t="n"/>
      <c r="Z21" s="2" t="n"/>
    </row>
    <row r="22" ht="14.25" customHeight="1" s="58">
      <c r="A22" s="12" t="inlineStr">
        <is>
          <t>ВКонтакте</t>
        </is>
      </c>
      <c r="B22" s="12" t="inlineStr">
        <is>
          <t>ЗажгиФакел</t>
        </is>
      </c>
      <c r="C22" s="13" t="n">
        <v>5</v>
      </c>
      <c r="D22" s="13" t="n">
        <v>1071</v>
      </c>
      <c r="E22" s="13">
        <f>IF($D22="","",IFERROR(IF(ISBLANK(INDIRECT("'"&amp;$Q$2&amp;"'!D"&amp;ROW())),"",INDIRECT("'"&amp;$Q$2&amp;"'!D"&amp;ROW())),""))</f>
        <v/>
      </c>
      <c r="F22" s="15" t="n"/>
      <c r="G22" s="16" t="n"/>
      <c r="H22" s="13" t="n">
        <v>39</v>
      </c>
      <c r="I22" s="13">
        <f>IF($H22="","",IFERROR(IF(ISBLANK(INDIRECT("'"&amp;$Q$2&amp;"'!H"&amp;ROW())),"",INDIRECT("'"&amp;$Q$2&amp;"'!H"&amp;ROW())),""))</f>
        <v/>
      </c>
      <c r="J22" s="15" t="n"/>
      <c r="K22" s="16" t="n"/>
      <c r="L22" s="13">
        <f>IFERROR(D22/C22,"")</f>
        <v/>
      </c>
      <c r="M22" s="13">
        <f>IFERROR(H22/D22*1000,"")</f>
        <v/>
      </c>
      <c r="N22" s="13" t="n">
        <v>7388</v>
      </c>
      <c r="O22" s="15" t="n">
        <v>-35</v>
      </c>
      <c r="P22" s="2" t="n"/>
      <c r="Q22" s="2" t="n"/>
      <c r="R22" s="2" t="n"/>
      <c r="S22" s="18">
        <f>IFERROR(IF(ISBLANK(INDIRECT("'"&amp;$Q$2&amp;"'!G"&amp;ROW())),"",INDIRECT("'"&amp;$Q$2&amp;"'!G"&amp;ROW())),"")</f>
        <v/>
      </c>
      <c r="T22" s="20">
        <f>IF(OR($G22="",$S22=""),"",$G22-$S22)</f>
        <v/>
      </c>
      <c r="U22" s="18">
        <f>IFERROR(IF(ISBLANK(INDIRECT("'"&amp;$Q$2&amp;"'!K"&amp;ROW())),"",INDIRECT("'"&amp;$Q$2&amp;"'!K"&amp;ROW())),"")</f>
        <v/>
      </c>
      <c r="V22" s="20">
        <f>IF(OR($K22="",$U22=""),"",$K22-$U22)</f>
        <v/>
      </c>
      <c r="W22" s="21">
        <f>IFERROR(IF(ISBLANK(INDIRECT("'"&amp;$Q$2&amp;"'!O"&amp;ROW())),"",INDIRECT("'"&amp;$Q$2&amp;"'!O"&amp;ROW())),"")</f>
        <v/>
      </c>
      <c r="X22" s="21">
        <f>IF(OR($O22="",$W22=""),"",$O22-$W22)</f>
        <v/>
      </c>
      <c r="Y22" s="2" t="n"/>
      <c r="Z22" s="2" t="n"/>
    </row>
    <row r="23" ht="14.25" customHeight="1" s="58">
      <c r="A23" s="12" t="inlineStr">
        <is>
          <t>ВКонтакте</t>
        </is>
      </c>
      <c r="B23" s="12" t="inlineStr">
        <is>
          <t>Нярьяна Нгэрм</t>
        </is>
      </c>
      <c r="C23" s="13" t="n">
        <v>5</v>
      </c>
      <c r="D23" s="13" t="n">
        <v>7262</v>
      </c>
      <c r="E23" s="13">
        <f>IF($D23="","",IFERROR(IF(ISBLANK(INDIRECT("'"&amp;$Q$2&amp;"'!D"&amp;ROW())),"",INDIRECT("'"&amp;$Q$2&amp;"'!D"&amp;ROW())),""))</f>
        <v/>
      </c>
      <c r="F23" s="15" t="n"/>
      <c r="G23" s="16" t="n"/>
      <c r="H23" s="13" t="n">
        <v>175</v>
      </c>
      <c r="I23" s="13">
        <f>IF($H23="","",IFERROR(IF(ISBLANK(INDIRECT("'"&amp;$Q$2&amp;"'!H"&amp;ROW())),"",INDIRECT("'"&amp;$Q$2&amp;"'!H"&amp;ROW())),""))</f>
        <v/>
      </c>
      <c r="J23" s="15" t="n"/>
      <c r="K23" s="16" t="n"/>
      <c r="L23" s="13">
        <f>IFERROR(D23/C23,"")</f>
        <v/>
      </c>
      <c r="M23" s="13">
        <f>IFERROR(H23/D23*1000,"")</f>
        <v/>
      </c>
      <c r="N23" s="13" t="n">
        <v>5599</v>
      </c>
      <c r="O23" s="15" t="n">
        <v>81</v>
      </c>
      <c r="P23" s="2" t="n"/>
      <c r="Q23" s="2" t="n"/>
      <c r="R23" s="2" t="n"/>
      <c r="S23" s="18">
        <f>IFERROR(IF(ISBLANK(INDIRECT("'"&amp;$Q$2&amp;"'!G"&amp;ROW())),"",INDIRECT("'"&amp;$Q$2&amp;"'!G"&amp;ROW())),"")</f>
        <v/>
      </c>
      <c r="T23" s="20">
        <f>IF(OR($G23="",$S23=""),"",$G23-$S23)</f>
        <v/>
      </c>
      <c r="U23" s="18">
        <f>IFERROR(IF(ISBLANK(INDIRECT("'"&amp;$Q$2&amp;"'!K"&amp;ROW())),"",INDIRECT("'"&amp;$Q$2&amp;"'!K"&amp;ROW())),"")</f>
        <v/>
      </c>
      <c r="V23" s="20">
        <f>IF(OR($K23="",$U23=""),"",$K23-$U23)</f>
        <v/>
      </c>
      <c r="W23" s="21">
        <f>IFERROR(IF(ISBLANK(INDIRECT("'"&amp;$Q$2&amp;"'!O"&amp;ROW())),"",INDIRECT("'"&amp;$Q$2&amp;"'!O"&amp;ROW())),"")</f>
        <v/>
      </c>
      <c r="X23" s="21">
        <f>IF(OR($O23="",$W23=""),"",$O23-$W23)</f>
        <v/>
      </c>
      <c r="Y23" s="2" t="n"/>
      <c r="Z23" s="2" t="n"/>
    </row>
    <row r="24" ht="14.25" customHeight="1" s="58">
      <c r="A24" s="12" t="inlineStr">
        <is>
          <t>ВКонтакте</t>
        </is>
      </c>
      <c r="B24" s="12" t="inlineStr">
        <is>
          <t>Лух Авт</t>
        </is>
      </c>
      <c r="C24" s="13" t="n">
        <v>4</v>
      </c>
      <c r="D24" s="13" t="n">
        <v>7470</v>
      </c>
      <c r="E24" s="13">
        <f>IF($D24="","",IFERROR(IF(ISBLANK(INDIRECT("'"&amp;$Q$2&amp;"'!D"&amp;ROW())),"",INDIRECT("'"&amp;$Q$2&amp;"'!D"&amp;ROW())),""))</f>
        <v/>
      </c>
      <c r="F24" s="15" t="n"/>
      <c r="G24" s="16" t="n"/>
      <c r="H24" s="13" t="n">
        <v>196</v>
      </c>
      <c r="I24" s="13">
        <f>IF($H24="","",IFERROR(IF(ISBLANK(INDIRECT("'"&amp;$Q$2&amp;"'!H"&amp;ROW())),"",INDIRECT("'"&amp;$Q$2&amp;"'!H"&amp;ROW())),""))</f>
        <v/>
      </c>
      <c r="J24" s="15" t="n"/>
      <c r="K24" s="16" t="n"/>
      <c r="L24" s="13">
        <f>IFERROR(D24/C24,"")</f>
        <v/>
      </c>
      <c r="M24" s="13">
        <f>IFERROR(H24/D24*1000,"")</f>
        <v/>
      </c>
      <c r="N24" s="13" t="n">
        <v>2313</v>
      </c>
      <c r="O24" s="15" t="n">
        <v>26</v>
      </c>
      <c r="P24" s="2" t="n"/>
      <c r="Q24" s="2" t="n"/>
      <c r="R24" s="2" t="n"/>
      <c r="S24" s="18">
        <f>IFERROR(IF(ISBLANK(INDIRECT("'"&amp;$Q$2&amp;"'!G"&amp;ROW())),"",INDIRECT("'"&amp;$Q$2&amp;"'!G"&amp;ROW())),"")</f>
        <v/>
      </c>
      <c r="T24" s="20">
        <f>IF(OR($G24="",$S24=""),"",$G24-$S24)</f>
        <v/>
      </c>
      <c r="U24" s="18">
        <f>IFERROR(IF(ISBLANK(INDIRECT("'"&amp;$Q$2&amp;"'!K"&amp;ROW())),"",INDIRECT("'"&amp;$Q$2&amp;"'!K"&amp;ROW())),"")</f>
        <v/>
      </c>
      <c r="V24" s="20">
        <f>IF(OR($K24="",$U24=""),"",$K24-$U24)</f>
        <v/>
      </c>
      <c r="W24" s="21">
        <f>IFERROR(IF(ISBLANK(INDIRECT("'"&amp;$Q$2&amp;"'!O"&amp;ROW())),"",INDIRECT("'"&amp;$Q$2&amp;"'!O"&amp;ROW())),"")</f>
        <v/>
      </c>
      <c r="X24" s="21">
        <f>IF(OR($O24="",$W24=""),"",$O24-$W24)</f>
        <v/>
      </c>
      <c r="Y24" s="2" t="n"/>
      <c r="Z24" s="2" t="n"/>
    </row>
    <row r="25" ht="14.25" customHeight="1" s="58">
      <c r="A25" s="12" t="inlineStr">
        <is>
          <t>ВКонтакте</t>
        </is>
      </c>
      <c r="B25" s="12" t="inlineStr">
        <is>
          <t>Ямальский меридиан</t>
        </is>
      </c>
      <c r="C25" s="13" t="n">
        <v>7</v>
      </c>
      <c r="D25" s="13" t="n">
        <v>42129</v>
      </c>
      <c r="E25" s="13">
        <f>IF($D25="","",IFERROR(IF(ISBLANK(INDIRECT("'"&amp;$Q$2&amp;"'!D"&amp;ROW())),"",INDIRECT("'"&amp;$Q$2&amp;"'!D"&amp;ROW())),""))</f>
        <v/>
      </c>
      <c r="F25" s="15" t="n"/>
      <c r="G25" s="16" t="n"/>
      <c r="H25" s="13" t="n">
        <v>211</v>
      </c>
      <c r="I25" s="13">
        <f>IF($H25="","",IFERROR(IF(ISBLANK(INDIRECT("'"&amp;$Q$2&amp;"'!H"&amp;ROW())),"",INDIRECT("'"&amp;$Q$2&amp;"'!H"&amp;ROW())),""))</f>
        <v/>
      </c>
      <c r="J25" s="15" t="n"/>
      <c r="K25" s="16" t="n"/>
      <c r="L25" s="13">
        <f>IFERROR(D25/C25,"")</f>
        <v/>
      </c>
      <c r="M25" s="13">
        <f>IFERROR(H25/D25*1000,"")</f>
        <v/>
      </c>
      <c r="N25" s="13" t="n">
        <v>6137</v>
      </c>
      <c r="O25" s="15" t="n">
        <v>161</v>
      </c>
      <c r="P25" s="2" t="n"/>
      <c r="Q25" s="2" t="n"/>
      <c r="R25" s="2" t="n"/>
      <c r="S25" s="18">
        <f>IFERROR(IF(ISBLANK(INDIRECT("'"&amp;$Q$2&amp;"'!G"&amp;ROW())),"",INDIRECT("'"&amp;$Q$2&amp;"'!G"&amp;ROW())),"")</f>
        <v/>
      </c>
      <c r="T25" s="20">
        <f>IF(OR($G25="",$S25=""),"",$G25-$S25)</f>
        <v/>
      </c>
      <c r="U25" s="18">
        <f>IFERROR(IF(ISBLANK(INDIRECT("'"&amp;$Q$2&amp;"'!K"&amp;ROW())),"",INDIRECT("'"&amp;$Q$2&amp;"'!K"&amp;ROW())),"")</f>
        <v/>
      </c>
      <c r="V25" s="20">
        <f>IF(OR($K25="",$U25=""),"",$K25-$U25)</f>
        <v/>
      </c>
      <c r="W25" s="21">
        <f>IFERROR(IF(ISBLANK(INDIRECT("'"&amp;$Q$2&amp;"'!O"&amp;ROW())),"",INDIRECT("'"&amp;$Q$2&amp;"'!O"&amp;ROW())),"")</f>
        <v/>
      </c>
      <c r="X25" s="21">
        <f>IF(OR($O25="",$W25=""),"",$O25-$W25)</f>
        <v/>
      </c>
      <c r="Y25" s="2" t="n"/>
      <c r="Z25" s="2" t="n"/>
    </row>
    <row r="26" ht="14.25" customHeight="1" s="58">
      <c r="A26" s="12" t="inlineStr">
        <is>
          <t>ВКонтакте</t>
        </is>
      </c>
      <c r="B26" s="12" t="inlineStr">
        <is>
          <t>МК-Ямал</t>
        </is>
      </c>
      <c r="C26" s="13" t="n">
        <v>238</v>
      </c>
      <c r="D26" s="13" t="n">
        <v>30181</v>
      </c>
      <c r="E26" s="13">
        <f>IF($D26="","",IFERROR(IF(ISBLANK(INDIRECT("'"&amp;$Q$2&amp;"'!D"&amp;ROW())),"",INDIRECT("'"&amp;$Q$2&amp;"'!D"&amp;ROW())),""))</f>
        <v/>
      </c>
      <c r="F26" s="15" t="n"/>
      <c r="G26" s="16" t="n"/>
      <c r="H26" s="13" t="n">
        <v>111</v>
      </c>
      <c r="I26" s="13">
        <f>IF($H26="","",IFERROR(IF(ISBLANK(INDIRECT("'"&amp;$Q$2&amp;"'!H"&amp;ROW())),"",INDIRECT("'"&amp;$Q$2&amp;"'!H"&amp;ROW())),""))</f>
        <v/>
      </c>
      <c r="J26" s="15" t="n"/>
      <c r="K26" s="16" t="n"/>
      <c r="L26" s="13">
        <f>IFERROR(D26/C26,"")</f>
        <v/>
      </c>
      <c r="M26" s="13">
        <f>IFERROR(H26/D26*1000,"")</f>
        <v/>
      </c>
      <c r="N26" s="13" t="n">
        <v>7881</v>
      </c>
      <c r="O26" s="15" t="n">
        <v>122</v>
      </c>
      <c r="P26" s="2" t="n"/>
      <c r="Q26" s="2" t="n"/>
      <c r="R26" s="2" t="n"/>
      <c r="S26" s="18">
        <f>IFERROR(IF(ISBLANK(INDIRECT("'"&amp;$Q$2&amp;"'!G"&amp;ROW())),"",INDIRECT("'"&amp;$Q$2&amp;"'!G"&amp;ROW())),"")</f>
        <v/>
      </c>
      <c r="T26" s="20">
        <f>IF(OR($G26="",$S26=""),"",$G26-$S26)</f>
        <v/>
      </c>
      <c r="U26" s="18">
        <f>IFERROR(IF(ISBLANK(INDIRECT("'"&amp;$Q$2&amp;"'!K"&amp;ROW())),"",INDIRECT("'"&amp;$Q$2&amp;"'!K"&amp;ROW())),"")</f>
        <v/>
      </c>
      <c r="V26" s="20">
        <f>IF(OR($K26="",$U26=""),"",$K26-$U26)</f>
        <v/>
      </c>
      <c r="W26" s="21">
        <f>IFERROR(IF(ISBLANK(INDIRECT("'"&amp;$Q$2&amp;"'!O"&amp;ROW())),"",INDIRECT("'"&amp;$Q$2&amp;"'!O"&amp;ROW())),"")</f>
        <v/>
      </c>
      <c r="X26" s="21">
        <f>IF(OR($O26="",$W26=""),"",$O26-$W26)</f>
        <v/>
      </c>
      <c r="Y26" s="2" t="n"/>
      <c r="Z26" s="2" t="n"/>
    </row>
    <row r="27" ht="14.25" customHeight="1" s="58">
      <c r="A27" s="12" t="inlineStr">
        <is>
          <t>ВКонтакте</t>
        </is>
      </c>
      <c r="B27" s="12" t="inlineStr">
        <is>
          <t>Арктика Вконтакте</t>
        </is>
      </c>
      <c r="C27" s="13" t="n">
        <v>7</v>
      </c>
      <c r="D27" s="13" t="n">
        <v>1528</v>
      </c>
      <c r="E27" s="13">
        <f>IF($D27="","",IFERROR(IF(ISBLANK(INDIRECT("'"&amp;$Q$2&amp;"'!D"&amp;ROW())),"",INDIRECT("'"&amp;$Q$2&amp;"'!D"&amp;ROW())),""))</f>
        <v/>
      </c>
      <c r="F27" s="15" t="n"/>
      <c r="G27" s="16" t="n"/>
      <c r="H27" s="13" t="n">
        <v>34</v>
      </c>
      <c r="I27" s="13">
        <f>IF($H27="","",IFERROR(IF(ISBLANK(INDIRECT("'"&amp;$Q$2&amp;"'!H"&amp;ROW())),"",INDIRECT("'"&amp;$Q$2&amp;"'!H"&amp;ROW())),""))</f>
        <v/>
      </c>
      <c r="J27" s="15" t="n"/>
      <c r="K27" s="16" t="n"/>
      <c r="L27" s="13">
        <f>IFERROR(D27/C27,"")</f>
        <v/>
      </c>
      <c r="M27" s="13">
        <f>IFERROR(H27/D27*1000,"")</f>
        <v/>
      </c>
      <c r="N27" s="13" t="n">
        <v>16725</v>
      </c>
      <c r="O27" s="15" t="n">
        <v>-33</v>
      </c>
      <c r="P27" s="2" t="n"/>
      <c r="Q27" s="2" t="n"/>
      <c r="R27" s="2" t="n"/>
      <c r="S27" s="18">
        <f>IFERROR(IF(ISBLANK(INDIRECT("'"&amp;$Q$2&amp;"'!G"&amp;ROW())),"",INDIRECT("'"&amp;$Q$2&amp;"'!G"&amp;ROW())),"")</f>
        <v/>
      </c>
      <c r="T27" s="20">
        <f>IF(OR($G27="",$S27=""),"",$G27-$S27)</f>
        <v/>
      </c>
      <c r="U27" s="18">
        <f>IFERROR(IF(ISBLANK(INDIRECT("'"&amp;$Q$2&amp;"'!K"&amp;ROW())),"",INDIRECT("'"&amp;$Q$2&amp;"'!K"&amp;ROW())),"")</f>
        <v/>
      </c>
      <c r="V27" s="20">
        <f>IF(OR($K27="",$U27=""),"",$K27-$U27)</f>
        <v/>
      </c>
      <c r="W27" s="21">
        <f>IFERROR(IF(ISBLANK(INDIRECT("'"&amp;$Q$2&amp;"'!O"&amp;ROW())),"",INDIRECT("'"&amp;$Q$2&amp;"'!O"&amp;ROW())),"")</f>
        <v/>
      </c>
      <c r="X27" s="21">
        <f>IF(OR($O27="",$W27=""),"",$O27-$W27)</f>
        <v/>
      </c>
      <c r="Y27" s="2" t="n"/>
      <c r="Z27" s="2" t="n"/>
    </row>
    <row r="28" ht="14.25" customHeight="1" s="58">
      <c r="A28" s="12" t="inlineStr">
        <is>
          <t>ВКонтакте</t>
        </is>
      </c>
      <c r="B28" s="12" t="inlineStr">
        <is>
          <t>Ямал Live</t>
        </is>
      </c>
      <c r="C28" s="13" t="n">
        <v>20</v>
      </c>
      <c r="D28" s="13" t="n">
        <v>10798</v>
      </c>
      <c r="E28" s="13">
        <f>IF($D28="","",IFERROR(IF(ISBLANK(INDIRECT("'"&amp;$Q$2&amp;"'!D"&amp;ROW())),"",INDIRECT("'"&amp;$Q$2&amp;"'!D"&amp;ROW())),""))</f>
        <v/>
      </c>
      <c r="F28" s="15" t="n"/>
      <c r="G28" s="16" t="n"/>
      <c r="H28" s="13" t="n">
        <v>31</v>
      </c>
      <c r="I28" s="13">
        <f>IF($H28="","",IFERROR(IF(ISBLANK(INDIRECT("'"&amp;$Q$2&amp;"'!H"&amp;ROW())),"",INDIRECT("'"&amp;$Q$2&amp;"'!H"&amp;ROW())),""))</f>
        <v/>
      </c>
      <c r="J28" s="15" t="n"/>
      <c r="K28" s="16" t="n"/>
      <c r="L28" s="13">
        <f>IFERROR(D28/C28,"")</f>
        <v/>
      </c>
      <c r="M28" s="13">
        <f>IFERROR(H28/D28*1000,"")</f>
        <v/>
      </c>
      <c r="N28" s="13" t="n">
        <v>21905</v>
      </c>
      <c r="O28" s="15" t="n">
        <v>51</v>
      </c>
      <c r="P28" s="2" t="n"/>
      <c r="Q28" s="2" t="n"/>
      <c r="R28" s="2" t="n"/>
      <c r="S28" s="18">
        <f>IFERROR(IF(ISBLANK(INDIRECT("'"&amp;$Q$2&amp;"'!G"&amp;ROW())),"",INDIRECT("'"&amp;$Q$2&amp;"'!G"&amp;ROW())),"")</f>
        <v/>
      </c>
      <c r="T28" s="20">
        <f>IF(OR($G28="",$S28=""),"",$G28-$S28)</f>
        <v/>
      </c>
      <c r="U28" s="18">
        <f>IFERROR(IF(ISBLANK(INDIRECT("'"&amp;$Q$2&amp;"'!K"&amp;ROW())),"",INDIRECT("'"&amp;$Q$2&amp;"'!K"&amp;ROW())),"")</f>
        <v/>
      </c>
      <c r="V28" s="20">
        <f>IF(OR($K28="",$U28=""),"",$K28-$U28)</f>
        <v/>
      </c>
      <c r="W28" s="21">
        <f>IFERROR(IF(ISBLANK(INDIRECT("'"&amp;$Q$2&amp;"'!O"&amp;ROW())),"",INDIRECT("'"&amp;$Q$2&amp;"'!O"&amp;ROW())),"")</f>
        <v/>
      </c>
      <c r="X28" s="21">
        <f>IF(OR($O28="",$W28=""),"",$O28-$W28)</f>
        <v/>
      </c>
      <c r="Y28" s="2" t="n"/>
      <c r="Z28" s="2" t="n"/>
    </row>
    <row r="29" ht="14.25" customHeight="1" s="58">
      <c r="A29" s="12" t="inlineStr">
        <is>
          <t>ВКонтакте</t>
        </is>
      </c>
      <c r="B29" s="12" t="inlineStr">
        <is>
          <t>Морошка</t>
        </is>
      </c>
      <c r="C29" s="13" t="n">
        <v>6</v>
      </c>
      <c r="D29" s="13" t="n">
        <v>10975</v>
      </c>
      <c r="E29" s="13">
        <f>IF($D29="","",IFERROR(IF(ISBLANK(INDIRECT("'"&amp;$Q$2&amp;"'!D"&amp;ROW())),"",INDIRECT("'"&amp;$Q$2&amp;"'!D"&amp;ROW())),""))</f>
        <v/>
      </c>
      <c r="F29" s="15" t="n"/>
      <c r="G29" s="16" t="n"/>
      <c r="H29" s="13" t="n">
        <v>243</v>
      </c>
      <c r="I29" s="13">
        <f>IF($H29="","",IFERROR(IF(ISBLANK(INDIRECT("'"&amp;$Q$2&amp;"'!H"&amp;ROW())),"",INDIRECT("'"&amp;$Q$2&amp;"'!H"&amp;ROW())),""))</f>
        <v/>
      </c>
      <c r="J29" s="15" t="n"/>
      <c r="K29" s="16" t="n"/>
      <c r="L29" s="13">
        <f>IFERROR(D29/C29,"")</f>
        <v/>
      </c>
      <c r="M29" s="13">
        <f>IFERROR(H29/D29*1000,"")</f>
        <v/>
      </c>
      <c r="N29" s="13" t="n">
        <v>9451</v>
      </c>
      <c r="O29" s="15" t="n"/>
      <c r="P29" s="2" t="n"/>
      <c r="Q29" s="2" t="n"/>
      <c r="R29" s="2" t="n"/>
      <c r="S29" s="18">
        <f>IFERROR(IF(ISBLANK(INDIRECT("'"&amp;$Q$2&amp;"'!G"&amp;ROW())),"",INDIRECT("'"&amp;$Q$2&amp;"'!G"&amp;ROW())),"")</f>
        <v/>
      </c>
      <c r="T29" s="20">
        <f>IF(OR($G29="",$S29=""),"",$G29-$S29)</f>
        <v/>
      </c>
      <c r="U29" s="18">
        <f>IFERROR(IF(ISBLANK(INDIRECT("'"&amp;$Q$2&amp;"'!K"&amp;ROW())),"",INDIRECT("'"&amp;$Q$2&amp;"'!K"&amp;ROW())),"")</f>
        <v/>
      </c>
      <c r="V29" s="20">
        <f>IF(OR($K29="",$U29=""),"",$K29-$U29)</f>
        <v/>
      </c>
      <c r="W29" s="21">
        <f>IFERROR(IF(ISBLANK(INDIRECT("'"&amp;$Q$2&amp;"'!O"&amp;ROW())),"",INDIRECT("'"&amp;$Q$2&amp;"'!O"&amp;ROW())),"")</f>
        <v/>
      </c>
      <c r="X29" s="21">
        <f>IF(OR($O29="",$W29=""),"",$O29-$W29)</f>
        <v/>
      </c>
      <c r="Y29" s="2" t="n"/>
      <c r="Z29" s="2" t="n"/>
    </row>
    <row r="30" ht="14.25" customHeight="1" s="58">
      <c r="A30" s="25" t="n"/>
      <c r="B30" s="25" t="inlineStr">
        <is>
          <t>Итого ВКонтакте</t>
        </is>
      </c>
      <c r="C30" s="26">
        <f>SUM(C3:C29)</f>
        <v/>
      </c>
      <c r="D30" s="26">
        <f>SUM(D3:D29)</f>
        <v/>
      </c>
      <c r="E30" s="26">
        <f>SUM(E3:E29)</f>
        <v/>
      </c>
      <c r="F30" s="27">
        <f>SUM(F3:F29)</f>
        <v/>
      </c>
      <c r="G30" s="28">
        <f>IF(C30=0,"",IFERROR(F30/E30,""))</f>
        <v/>
      </c>
      <c r="H30" s="26">
        <f>SUM(H3:H29)</f>
        <v/>
      </c>
      <c r="I30" s="26">
        <f>SUM(I3:I29)</f>
        <v/>
      </c>
      <c r="J30" s="27">
        <f>SUM(J3:J29)</f>
        <v/>
      </c>
      <c r="K30" s="28">
        <f>IF(C30=0,"",IFERROR(J30/I30,""))</f>
        <v/>
      </c>
      <c r="L30" s="26">
        <f>IFERROR(D30/C30,"")</f>
        <v/>
      </c>
      <c r="M30" s="26">
        <f>IFERROR(H30/D30*1000,"")</f>
        <v/>
      </c>
      <c r="N30" s="26">
        <f>SUM(N3:N29)</f>
        <v/>
      </c>
      <c r="O30" s="27">
        <f>SUM(O3:O29)</f>
        <v/>
      </c>
      <c r="P30" s="2" t="n"/>
      <c r="Q30" s="2" t="n"/>
      <c r="R30" s="2" t="n"/>
      <c r="S30" s="29">
        <f>IFERROR(IF(ISBLANK(INDIRECT("'"&amp;$Q$2&amp;"'!G"&amp;ROW())),"",INDIRECT("'"&amp;$Q$2&amp;"'!G"&amp;ROW())),"")</f>
        <v/>
      </c>
      <c r="T30" s="30">
        <f>IF(OR($G30="",$S30=""),"",$G30-$S30)</f>
        <v/>
      </c>
      <c r="U30" s="29">
        <f>IFERROR(IF(ISBLANK(INDIRECT("'"&amp;$Q$2&amp;"'!K"&amp;ROW())),"",INDIRECT("'"&amp;$Q$2&amp;"'!K"&amp;ROW())),"")</f>
        <v/>
      </c>
      <c r="V30" s="30">
        <f>IF(OR($K30="",$U30=""),"",$K30-$U30)</f>
        <v/>
      </c>
      <c r="W30" s="31">
        <f>IFERROR(IF(ISBLANK(INDIRECT("'"&amp;$Q$2&amp;"'!O"&amp;ROW())),"",INDIRECT("'"&amp;$Q$2&amp;"'!O"&amp;ROW())),"")</f>
        <v/>
      </c>
      <c r="X30" s="31">
        <f>IF(OR(C30=0,$O30="",$W30=""),"",$O30-$W30)</f>
        <v/>
      </c>
      <c r="Y30" s="2" t="n"/>
      <c r="Z30" s="2" t="n"/>
    </row>
    <row r="31" ht="14.25" customHeight="1" s="58">
      <c r="A31" s="12" t="inlineStr">
        <is>
          <t>Одноклассники</t>
        </is>
      </c>
      <c r="B31" s="12" t="inlineStr">
        <is>
          <t>Ямал-Медиа</t>
        </is>
      </c>
      <c r="C31" s="13" t="n">
        <v>147</v>
      </c>
      <c r="D31" s="13" t="n">
        <v>27808</v>
      </c>
      <c r="E31" s="13">
        <f>IF($D31="","",IFERROR(IF(ISBLANK(INDIRECT("'"&amp;$Q$2&amp;"'!D"&amp;ROW())),"",INDIRECT("'"&amp;$Q$2&amp;"'!D"&amp;ROW())),""))</f>
        <v/>
      </c>
      <c r="F31" s="15" t="n"/>
      <c r="G31" s="16" t="n"/>
      <c r="H31" s="13" t="n">
        <v>61</v>
      </c>
      <c r="I31" s="13">
        <f>IF($H31="","",IFERROR(IF(ISBLANK(INDIRECT("'"&amp;$Q$2&amp;"'!H"&amp;ROW())),"",INDIRECT("'"&amp;$Q$2&amp;"'!H"&amp;ROW())),""))</f>
        <v/>
      </c>
      <c r="J31" s="15" t="n"/>
      <c r="K31" s="16" t="n"/>
      <c r="L31" s="13">
        <f>IFERROR(D31/C31,"")</f>
        <v/>
      </c>
      <c r="M31" s="13">
        <f>IFERROR(H31/D31*1000,"")</f>
        <v/>
      </c>
      <c r="N31" s="13" t="n">
        <v>32460</v>
      </c>
      <c r="O31" s="15" t="n">
        <v>9</v>
      </c>
      <c r="P31" s="2" t="n"/>
      <c r="Q31" s="2" t="n"/>
      <c r="R31" s="2" t="n"/>
      <c r="S31" s="18">
        <f>IFERROR(IF(ISBLANK(INDIRECT("'"&amp;$Q$2&amp;"'!G"&amp;ROW())),"",INDIRECT("'"&amp;$Q$2&amp;"'!G"&amp;ROW())),"")</f>
        <v/>
      </c>
      <c r="T31" s="20">
        <f>IF(OR($G31="",$S31=""),"",$G31-$S31)</f>
        <v/>
      </c>
      <c r="U31" s="18">
        <f>IFERROR(IF(ISBLANK(INDIRECT("'"&amp;$Q$2&amp;"'!K"&amp;ROW())),"",INDIRECT("'"&amp;$Q$2&amp;"'!K"&amp;ROW())),"")</f>
        <v/>
      </c>
      <c r="V31" s="20">
        <f>IF(OR($K31="",$U31=""),"",$K31-$U31)</f>
        <v/>
      </c>
      <c r="W31" s="21">
        <f>IFERROR(IF(ISBLANK(INDIRECT("'"&amp;$Q$2&amp;"'!O"&amp;ROW())),"",INDIRECT("'"&amp;$Q$2&amp;"'!O"&amp;ROW())),"")</f>
        <v/>
      </c>
      <c r="X31" s="21">
        <f>IF(OR($O31="",$W31=""),"",$O31-$W31)</f>
        <v/>
      </c>
      <c r="Y31" s="2" t="n"/>
      <c r="Z31" s="2" t="n"/>
    </row>
    <row r="32" ht="14.25" customHeight="1" s="58">
      <c r="A32" s="12" t="inlineStr">
        <is>
          <t>Одноклассники</t>
        </is>
      </c>
      <c r="B32" s="12" t="inlineStr">
        <is>
          <t>Север-Пресс</t>
        </is>
      </c>
      <c r="C32" s="13" t="n">
        <v>146</v>
      </c>
      <c r="D32" s="13" t="n">
        <v>34589</v>
      </c>
      <c r="E32" s="13">
        <f>IF($D32="","",IFERROR(IF(ISBLANK(INDIRECT("'"&amp;$Q$2&amp;"'!D"&amp;ROW())),"",INDIRECT("'"&amp;$Q$2&amp;"'!D"&amp;ROW())),""))</f>
        <v/>
      </c>
      <c r="F32" s="15" t="n"/>
      <c r="G32" s="16" t="n"/>
      <c r="H32" s="13" t="n">
        <v>45</v>
      </c>
      <c r="I32" s="13">
        <f>IF($H32="","",IFERROR(IF(ISBLANK(INDIRECT("'"&amp;$Q$2&amp;"'!H"&amp;ROW())),"",INDIRECT("'"&amp;$Q$2&amp;"'!H"&amp;ROW())),""))</f>
        <v/>
      </c>
      <c r="J32" s="15" t="n"/>
      <c r="K32" s="16" t="n"/>
      <c r="L32" s="13">
        <f>IFERROR(D32/C32,"")</f>
        <v/>
      </c>
      <c r="M32" s="13">
        <f>IFERROR(H32/D32*1000,"")</f>
        <v/>
      </c>
      <c r="N32" s="13" t="n">
        <v>21732</v>
      </c>
      <c r="O32" s="15" t="n">
        <v>4</v>
      </c>
      <c r="P32" s="2" t="n"/>
      <c r="Q32" s="2" t="n"/>
      <c r="R32" s="2" t="n"/>
      <c r="S32" s="18">
        <f>IFERROR(IF(ISBLANK(INDIRECT("'"&amp;$Q$2&amp;"'!G"&amp;ROW())),"",INDIRECT("'"&amp;$Q$2&amp;"'!G"&amp;ROW())),"")</f>
        <v/>
      </c>
      <c r="T32" s="20">
        <f>IF(OR($G32="",$S32=""),"",$G32-$S32)</f>
        <v/>
      </c>
      <c r="U32" s="18">
        <f>IFERROR(IF(ISBLANK(INDIRECT("'"&amp;$Q$2&amp;"'!K"&amp;ROW())),"",INDIRECT("'"&amp;$Q$2&amp;"'!K"&amp;ROW())),"")</f>
        <v/>
      </c>
      <c r="V32" s="20">
        <f>IF(OR($K32="",$U32=""),"",$K32-$U32)</f>
        <v/>
      </c>
      <c r="W32" s="21">
        <f>IFERROR(IF(ISBLANK(INDIRECT("'"&amp;$Q$2&amp;"'!O"&amp;ROW())),"",INDIRECT("'"&amp;$Q$2&amp;"'!O"&amp;ROW())),"")</f>
        <v/>
      </c>
      <c r="X32" s="21">
        <f>IF(OR($O32="",$W32=""),"",$O32-$W32)</f>
        <v/>
      </c>
      <c r="Y32" s="2" t="n"/>
      <c r="Z32" s="2" t="n"/>
    </row>
    <row r="33" ht="14.25" customHeight="1" s="58">
      <c r="A33" s="12" t="inlineStr">
        <is>
          <t>Одноклассники</t>
        </is>
      </c>
      <c r="B33" s="12" t="inlineStr">
        <is>
          <t>Красный Север</t>
        </is>
      </c>
      <c r="C33" s="13" t="n">
        <v>86</v>
      </c>
      <c r="D33" s="13" t="n">
        <v>22158</v>
      </c>
      <c r="E33" s="13">
        <f>IF($D33="","",IFERROR(IF(ISBLANK(INDIRECT("'"&amp;$Q$2&amp;"'!D"&amp;ROW())),"",INDIRECT("'"&amp;$Q$2&amp;"'!D"&amp;ROW())),""))</f>
        <v/>
      </c>
      <c r="F33" s="15" t="n"/>
      <c r="G33" s="16" t="n"/>
      <c r="H33" s="13" t="n">
        <v>5</v>
      </c>
      <c r="I33" s="13">
        <f>IF($H33="","",IFERROR(IF(ISBLANK(INDIRECT("'"&amp;$Q$2&amp;"'!H"&amp;ROW())),"",INDIRECT("'"&amp;$Q$2&amp;"'!H"&amp;ROW())),""))</f>
        <v/>
      </c>
      <c r="J33" s="15" t="n"/>
      <c r="K33" s="16" t="n"/>
      <c r="L33" s="13">
        <f>IFERROR(D33/C33,"")</f>
        <v/>
      </c>
      <c r="M33" s="13">
        <f>IFERROR(H33/D33*1000,"")</f>
        <v/>
      </c>
      <c r="N33" s="13" t="n">
        <v>8963</v>
      </c>
      <c r="O33" s="15" t="n">
        <v>3</v>
      </c>
      <c r="P33" s="2" t="n"/>
      <c r="Q33" s="2" t="n"/>
      <c r="R33" s="2" t="n"/>
      <c r="S33" s="18">
        <f>IFERROR(IF(ISBLANK(INDIRECT("'"&amp;$Q$2&amp;"'!G"&amp;ROW())),"",INDIRECT("'"&amp;$Q$2&amp;"'!G"&amp;ROW())),"")</f>
        <v/>
      </c>
      <c r="T33" s="20">
        <f>IF(OR($G33="",$S33=""),"",$G33-$S33)</f>
        <v/>
      </c>
      <c r="U33" s="18">
        <f>IFERROR(IF(ISBLANK(INDIRECT("'"&amp;$Q$2&amp;"'!K"&amp;ROW())),"",INDIRECT("'"&amp;$Q$2&amp;"'!K"&amp;ROW())),"")</f>
        <v/>
      </c>
      <c r="V33" s="20">
        <f>IF(OR($K33="",$U33=""),"",$K33-$U33)</f>
        <v/>
      </c>
      <c r="W33" s="21">
        <f>IFERROR(IF(ISBLANK(INDIRECT("'"&amp;$Q$2&amp;"'!O"&amp;ROW())),"",INDIRECT("'"&amp;$Q$2&amp;"'!O"&amp;ROW())),"")</f>
        <v/>
      </c>
      <c r="X33" s="21">
        <f>IF(OR($O33="",$W33=""),"",$O33-$W33)</f>
        <v/>
      </c>
      <c r="Y33" s="2" t="n"/>
      <c r="Z33" s="2" t="n"/>
    </row>
    <row r="34" ht="14.25" customHeight="1" s="58">
      <c r="A34" s="12" t="inlineStr">
        <is>
          <t>Одноклассники</t>
        </is>
      </c>
      <c r="B34" s="12" t="inlineStr">
        <is>
          <t>Новый Уренгой</t>
        </is>
      </c>
      <c r="C34" s="13" t="n">
        <v>81</v>
      </c>
      <c r="D34" s="13" t="n">
        <v>1088</v>
      </c>
      <c r="E34" s="13">
        <f>IF($D34="","",IFERROR(IF(ISBLANK(INDIRECT("'"&amp;$Q$2&amp;"'!D"&amp;ROW())),"",INDIRECT("'"&amp;$Q$2&amp;"'!D"&amp;ROW())),""))</f>
        <v/>
      </c>
      <c r="F34" s="15" t="n"/>
      <c r="G34" s="16" t="n"/>
      <c r="H34" s="13" t="n">
        <v>0</v>
      </c>
      <c r="I34" s="13">
        <f>IF($H34="","",IFERROR(IF(ISBLANK(INDIRECT("'"&amp;$Q$2&amp;"'!H"&amp;ROW())),"",INDIRECT("'"&amp;$Q$2&amp;"'!H"&amp;ROW())),""))</f>
        <v/>
      </c>
      <c r="J34" s="15" t="n"/>
      <c r="K34" s="16" t="n"/>
      <c r="L34" s="13">
        <f>IFERROR(D34/C34,"")</f>
        <v/>
      </c>
      <c r="M34" s="13">
        <f>IFERROR(H34/D34*1000,"")</f>
        <v/>
      </c>
      <c r="N34" s="13" t="n">
        <v>5</v>
      </c>
      <c r="O34" s="15" t="n">
        <v>2</v>
      </c>
      <c r="P34" s="2" t="n"/>
      <c r="Q34" s="2" t="n"/>
      <c r="R34" s="2" t="n"/>
      <c r="S34" s="18">
        <f>IFERROR(IF(ISBLANK(INDIRECT("'"&amp;$Q$2&amp;"'!G"&amp;ROW())),"",INDIRECT("'"&amp;$Q$2&amp;"'!G"&amp;ROW())),"")</f>
        <v/>
      </c>
      <c r="T34" s="20">
        <f>IF(OR($G34="",$S34=""),"",$G34-$S34)</f>
        <v/>
      </c>
      <c r="U34" s="18">
        <f>IFERROR(IF(ISBLANK(INDIRECT("'"&amp;$Q$2&amp;"'!K"&amp;ROW())),"",INDIRECT("'"&amp;$Q$2&amp;"'!K"&amp;ROW())),"")</f>
        <v/>
      </c>
      <c r="V34" s="20">
        <f>IF(OR($K34="",$U34=""),"",$K34-$U34)</f>
        <v/>
      </c>
      <c r="W34" s="21">
        <f>IFERROR(IF(ISBLANK(INDIRECT("'"&amp;$Q$2&amp;"'!O"&amp;ROW())),"",INDIRECT("'"&amp;$Q$2&amp;"'!O"&amp;ROW())),"")</f>
        <v/>
      </c>
      <c r="X34" s="21">
        <f>IF(OR($O34="",$W34=""),"",$O34-$W34)</f>
        <v/>
      </c>
      <c r="Y34" s="2" t="n"/>
      <c r="Z34" s="2" t="n"/>
    </row>
    <row r="35" ht="14.25" customHeight="1" s="58">
      <c r="A35" s="12" t="inlineStr">
        <is>
          <t>Одноклассники</t>
        </is>
      </c>
      <c r="B35" s="12" t="inlineStr">
        <is>
          <t>Надым</t>
        </is>
      </c>
      <c r="C35" s="13" t="n">
        <v>87</v>
      </c>
      <c r="D35" s="13" t="n">
        <v>12768</v>
      </c>
      <c r="E35" s="13">
        <f>IF($D35="","",IFERROR(IF(ISBLANK(INDIRECT("'"&amp;$Q$2&amp;"'!D"&amp;ROW())),"",INDIRECT("'"&amp;$Q$2&amp;"'!D"&amp;ROW())),""))</f>
        <v/>
      </c>
      <c r="F35" s="15" t="n"/>
      <c r="G35" s="16" t="n"/>
      <c r="H35" s="13" t="n">
        <v>146</v>
      </c>
      <c r="I35" s="13">
        <f>IF($H35="","",IFERROR(IF(ISBLANK(INDIRECT("'"&amp;$Q$2&amp;"'!H"&amp;ROW())),"",INDIRECT("'"&amp;$Q$2&amp;"'!H"&amp;ROW())),""))</f>
        <v/>
      </c>
      <c r="J35" s="15" t="n"/>
      <c r="K35" s="16" t="n"/>
      <c r="L35" s="13">
        <f>IFERROR(D35/C35,"")</f>
        <v/>
      </c>
      <c r="M35" s="13">
        <f>IFERROR(H35/D35*1000,"")</f>
        <v/>
      </c>
      <c r="N35" s="13" t="n">
        <v>1934</v>
      </c>
      <c r="O35" s="15" t="n">
        <v>4</v>
      </c>
      <c r="P35" s="2" t="n"/>
      <c r="Q35" s="2" t="n"/>
      <c r="R35" s="2" t="n"/>
      <c r="S35" s="18">
        <f>IFERROR(IF(ISBLANK(INDIRECT("'"&amp;$Q$2&amp;"'!G"&amp;ROW())),"",INDIRECT("'"&amp;$Q$2&amp;"'!G"&amp;ROW())),"")</f>
        <v/>
      </c>
      <c r="T35" s="20">
        <f>IF(OR($G35="",$S35=""),"",$G35-$S35)</f>
        <v/>
      </c>
      <c r="U35" s="18">
        <f>IFERROR(IF(ISBLANK(INDIRECT("'"&amp;$Q$2&amp;"'!K"&amp;ROW())),"",INDIRECT("'"&amp;$Q$2&amp;"'!K"&amp;ROW())),"")</f>
        <v/>
      </c>
      <c r="V35" s="20">
        <f>IF(OR($K35="",$U35=""),"",$K35-$U35)</f>
        <v/>
      </c>
      <c r="W35" s="21">
        <f>IFERROR(IF(ISBLANK(INDIRECT("'"&amp;$Q$2&amp;"'!O"&amp;ROW())),"",INDIRECT("'"&amp;$Q$2&amp;"'!O"&amp;ROW())),"")</f>
        <v/>
      </c>
      <c r="X35" s="21">
        <f>IF(OR($O35="",$W35=""),"",$O35-$W35)</f>
        <v/>
      </c>
      <c r="Y35" s="2" t="n"/>
      <c r="Z35" s="2" t="n"/>
    </row>
    <row r="36" ht="14.25" customHeight="1" s="58">
      <c r="A36" s="12" t="inlineStr">
        <is>
          <t>Одноклассники</t>
        </is>
      </c>
      <c r="B36" s="12" t="inlineStr">
        <is>
          <t>Ноябрьск</t>
        </is>
      </c>
      <c r="C36" s="13" t="n">
        <v>83</v>
      </c>
      <c r="D36" s="13" t="n">
        <v>37402</v>
      </c>
      <c r="E36" s="13">
        <f>IF($D36="","",IFERROR(IF(ISBLANK(INDIRECT("'"&amp;$Q$2&amp;"'!D"&amp;ROW())),"",INDIRECT("'"&amp;$Q$2&amp;"'!D"&amp;ROW())),""))</f>
        <v/>
      </c>
      <c r="F36" s="15" t="n"/>
      <c r="G36" s="16" t="n"/>
      <c r="H36" s="13" t="n">
        <v>608</v>
      </c>
      <c r="I36" s="13">
        <f>IF($H36="","",IFERROR(IF(ISBLANK(INDIRECT("'"&amp;$Q$2&amp;"'!H"&amp;ROW())),"",INDIRECT("'"&amp;$Q$2&amp;"'!H"&amp;ROW())),""))</f>
        <v/>
      </c>
      <c r="J36" s="15" t="n"/>
      <c r="K36" s="16" t="n"/>
      <c r="L36" s="13">
        <f>IFERROR(D36/C36,"")</f>
        <v/>
      </c>
      <c r="M36" s="13">
        <f>IFERROR(H36/D36*1000,"")</f>
        <v/>
      </c>
      <c r="N36" s="13" t="n">
        <v>5875</v>
      </c>
      <c r="O36" s="15" t="n">
        <v>3</v>
      </c>
      <c r="P36" s="2" t="n"/>
      <c r="Q36" s="2" t="n"/>
      <c r="R36" s="2" t="n"/>
      <c r="S36" s="18">
        <f>IFERROR(IF(ISBLANK(INDIRECT("'"&amp;$Q$2&amp;"'!G"&amp;ROW())),"",INDIRECT("'"&amp;$Q$2&amp;"'!G"&amp;ROW())),"")</f>
        <v/>
      </c>
      <c r="T36" s="20">
        <f>IF(OR($G36="",$S36=""),"",$G36-$S36)</f>
        <v/>
      </c>
      <c r="U36" s="18">
        <f>IFERROR(IF(ISBLANK(INDIRECT("'"&amp;$Q$2&amp;"'!K"&amp;ROW())),"",INDIRECT("'"&amp;$Q$2&amp;"'!K"&amp;ROW())),"")</f>
        <v/>
      </c>
      <c r="V36" s="20">
        <f>IF(OR($K36="",$U36=""),"",$K36-$U36)</f>
        <v/>
      </c>
      <c r="W36" s="21">
        <f>IFERROR(IF(ISBLANK(INDIRECT("'"&amp;$Q$2&amp;"'!O"&amp;ROW())),"",INDIRECT("'"&amp;$Q$2&amp;"'!O"&amp;ROW())),"")</f>
        <v/>
      </c>
      <c r="X36" s="21">
        <f>IF(OR($O36="",$W36=""),"",$O36-$W36)</f>
        <v/>
      </c>
      <c r="Y36" s="2" t="n"/>
      <c r="Z36" s="2" t="n"/>
    </row>
    <row r="37" ht="14.25" customHeight="1" s="58">
      <c r="A37" s="12" t="inlineStr">
        <is>
          <t>Одноклассники</t>
        </is>
      </c>
      <c r="B37" s="12" t="inlineStr">
        <is>
          <t>Салехард</t>
        </is>
      </c>
      <c r="C37" s="13" t="n">
        <v>95</v>
      </c>
      <c r="D37" s="13" t="n">
        <v>6619</v>
      </c>
      <c r="E37" s="13">
        <f>IF($D37="","",IFERROR(IF(ISBLANK(INDIRECT("'"&amp;$Q$2&amp;"'!D"&amp;ROW())),"",INDIRECT("'"&amp;$Q$2&amp;"'!D"&amp;ROW())),""))</f>
        <v/>
      </c>
      <c r="F37" s="15" t="n"/>
      <c r="G37" s="16" t="n"/>
      <c r="H37" s="13" t="n">
        <v>31</v>
      </c>
      <c r="I37" s="13">
        <f>IF($H37="","",IFERROR(IF(ISBLANK(INDIRECT("'"&amp;$Q$2&amp;"'!H"&amp;ROW())),"",INDIRECT("'"&amp;$Q$2&amp;"'!H"&amp;ROW())),""))</f>
        <v/>
      </c>
      <c r="J37" s="15" t="n"/>
      <c r="K37" s="16" t="n"/>
      <c r="L37" s="13">
        <f>IFERROR(D37/C37,"")</f>
        <v/>
      </c>
      <c r="M37" s="13">
        <f>IFERROR(H37/D37*1000,"")</f>
        <v/>
      </c>
      <c r="N37" s="13" t="n">
        <v>3233</v>
      </c>
      <c r="O37" s="15" t="n">
        <v>1</v>
      </c>
      <c r="P37" s="2" t="n"/>
      <c r="Q37" s="2" t="n"/>
      <c r="R37" s="2" t="n"/>
      <c r="S37" s="18">
        <f>IFERROR(IF(ISBLANK(INDIRECT("'"&amp;$Q$2&amp;"'!G"&amp;ROW())),"",INDIRECT("'"&amp;$Q$2&amp;"'!G"&amp;ROW())),"")</f>
        <v/>
      </c>
      <c r="T37" s="20">
        <f>IF(OR($G37="",$S37=""),"",$G37-$S37)</f>
        <v/>
      </c>
      <c r="U37" s="18">
        <f>IFERROR(IF(ISBLANK(INDIRECT("'"&amp;$Q$2&amp;"'!K"&amp;ROW())),"",INDIRECT("'"&amp;$Q$2&amp;"'!K"&amp;ROW())),"")</f>
        <v/>
      </c>
      <c r="V37" s="20">
        <f>IF(OR($K37="",$U37=""),"",$K37-$U37)</f>
        <v/>
      </c>
      <c r="W37" s="21">
        <f>IFERROR(IF(ISBLANK(INDIRECT("'"&amp;$Q$2&amp;"'!O"&amp;ROW())),"",INDIRECT("'"&amp;$Q$2&amp;"'!O"&amp;ROW())),"")</f>
        <v/>
      </c>
      <c r="X37" s="21">
        <f>IF(OR($O37="",$W37=""),"",$O37-$W37)</f>
        <v/>
      </c>
      <c r="Y37" s="2" t="n"/>
      <c r="Z37" s="2" t="n"/>
    </row>
    <row r="38" ht="14.25" customHeight="1" s="58">
      <c r="A38" s="12" t="inlineStr">
        <is>
          <t>Одноклассники</t>
        </is>
      </c>
      <c r="B38" s="12" t="inlineStr">
        <is>
          <t>Приуралье</t>
        </is>
      </c>
      <c r="C38" s="13" t="n">
        <v>65</v>
      </c>
      <c r="D38" s="13" t="n">
        <v>5396</v>
      </c>
      <c r="E38" s="13">
        <f>IF($D38="","",IFERROR(IF(ISBLANK(INDIRECT("'"&amp;$Q$2&amp;"'!D"&amp;ROW())),"",INDIRECT("'"&amp;$Q$2&amp;"'!D"&amp;ROW())),""))</f>
        <v/>
      </c>
      <c r="F38" s="15" t="n"/>
      <c r="G38" s="16" t="n"/>
      <c r="H38" s="13" t="n">
        <v>18</v>
      </c>
      <c r="I38" s="13">
        <f>IF($H38="","",IFERROR(IF(ISBLANK(INDIRECT("'"&amp;$Q$2&amp;"'!H"&amp;ROW())),"",INDIRECT("'"&amp;$Q$2&amp;"'!H"&amp;ROW())),""))</f>
        <v/>
      </c>
      <c r="J38" s="15" t="n"/>
      <c r="K38" s="16" t="n"/>
      <c r="L38" s="13">
        <f>IFERROR(D38/C38,"")</f>
        <v/>
      </c>
      <c r="M38" s="13">
        <f>IFERROR(H38/D38*1000,"")</f>
        <v/>
      </c>
      <c r="N38" s="13" t="n">
        <v>1693</v>
      </c>
      <c r="O38" s="15" t="n">
        <v>3</v>
      </c>
      <c r="P38" s="2" t="n"/>
      <c r="Q38" s="2" t="n"/>
      <c r="R38" s="2" t="n"/>
      <c r="S38" s="18">
        <f>IFERROR(IF(ISBLANK(INDIRECT("'"&amp;$Q$2&amp;"'!G"&amp;ROW())),"",INDIRECT("'"&amp;$Q$2&amp;"'!G"&amp;ROW())),"")</f>
        <v/>
      </c>
      <c r="T38" s="20">
        <f>IF(OR($G38="",$S38=""),"",$G38-$S38)</f>
        <v/>
      </c>
      <c r="U38" s="18">
        <f>IFERROR(IF(ISBLANK(INDIRECT("'"&amp;$Q$2&amp;"'!K"&amp;ROW())),"",INDIRECT("'"&amp;$Q$2&amp;"'!K"&amp;ROW())),"")</f>
        <v/>
      </c>
      <c r="V38" s="20">
        <f>IF(OR($K38="",$U38=""),"",$K38-$U38)</f>
        <v/>
      </c>
      <c r="W38" s="21">
        <f>IFERROR(IF(ISBLANK(INDIRECT("'"&amp;$Q$2&amp;"'!O"&amp;ROW())),"",INDIRECT("'"&amp;$Q$2&amp;"'!O"&amp;ROW())),"")</f>
        <v/>
      </c>
      <c r="X38" s="21">
        <f>IF(OR($O38="",$W38=""),"",$O38-$W38)</f>
        <v/>
      </c>
      <c r="Y38" s="2" t="n"/>
      <c r="Z38" s="2" t="n"/>
    </row>
    <row r="39" ht="14.25" customHeight="1" s="58">
      <c r="A39" s="12" t="inlineStr">
        <is>
          <t>Одноклассники</t>
        </is>
      </c>
      <c r="B39" s="12" t="inlineStr">
        <is>
          <t>Лабытнанги</t>
        </is>
      </c>
      <c r="C39" s="13" t="n">
        <v>65</v>
      </c>
      <c r="D39" s="13" t="n">
        <v>2787</v>
      </c>
      <c r="E39" s="13">
        <f>IF($D39="","",IFERROR(IF(ISBLANK(INDIRECT("'"&amp;$Q$2&amp;"'!D"&amp;ROW())),"",INDIRECT("'"&amp;$Q$2&amp;"'!D"&amp;ROW())),""))</f>
        <v/>
      </c>
      <c r="F39" s="15" t="n"/>
      <c r="G39" s="16" t="n"/>
      <c r="H39" s="13" t="n">
        <v>3</v>
      </c>
      <c r="I39" s="13">
        <f>IF($H39="","",IFERROR(IF(ISBLANK(INDIRECT("'"&amp;$Q$2&amp;"'!H"&amp;ROW())),"",INDIRECT("'"&amp;$Q$2&amp;"'!H"&amp;ROW())),""))</f>
        <v/>
      </c>
      <c r="J39" s="15" t="n"/>
      <c r="K39" s="16" t="n"/>
      <c r="L39" s="13">
        <f>IFERROR(D39/C39,"")</f>
        <v/>
      </c>
      <c r="M39" s="13">
        <f>IFERROR(H39/D39*1000,"")</f>
        <v/>
      </c>
      <c r="N39" s="13" t="n">
        <v>224</v>
      </c>
      <c r="O39" s="15" t="n">
        <v>2</v>
      </c>
      <c r="P39" s="2" t="n"/>
      <c r="Q39" s="2" t="n"/>
      <c r="R39" s="2" t="n"/>
      <c r="S39" s="18">
        <f>IFERROR(IF(ISBLANK(INDIRECT("'"&amp;$Q$2&amp;"'!G"&amp;ROW())),"",INDIRECT("'"&amp;$Q$2&amp;"'!G"&amp;ROW())),"")</f>
        <v/>
      </c>
      <c r="T39" s="20">
        <f>IF(OR($G39="",$S39=""),"",$G39-$S39)</f>
        <v/>
      </c>
      <c r="U39" s="18">
        <f>IFERROR(IF(ISBLANK(INDIRECT("'"&amp;$Q$2&amp;"'!K"&amp;ROW())),"",INDIRECT("'"&amp;$Q$2&amp;"'!K"&amp;ROW())),"")</f>
        <v/>
      </c>
      <c r="V39" s="20">
        <f>IF(OR($K39="",$U39=""),"",$K39-$U39)</f>
        <v/>
      </c>
      <c r="W39" s="21">
        <f>IFERROR(IF(ISBLANK(INDIRECT("'"&amp;$Q$2&amp;"'!O"&amp;ROW())),"",INDIRECT("'"&amp;$Q$2&amp;"'!O"&amp;ROW())),"")</f>
        <v/>
      </c>
      <c r="X39" s="21">
        <f>IF(OR($O39="",$W39=""),"",$O39-$W39)</f>
        <v/>
      </c>
      <c r="Y39" s="2" t="n"/>
      <c r="Z39" s="2" t="n"/>
    </row>
    <row r="40" ht="14.25" customHeight="1" s="58">
      <c r="A40" s="12" t="inlineStr">
        <is>
          <t>Одноклассники</t>
        </is>
      </c>
      <c r="B40" s="12" t="inlineStr">
        <is>
          <t>Пуровский</t>
        </is>
      </c>
      <c r="C40" s="13" t="n">
        <v>31</v>
      </c>
      <c r="D40" s="13" t="n">
        <v>4257</v>
      </c>
      <c r="E40" s="13">
        <f>IF($D40="","",IFERROR(IF(ISBLANK(INDIRECT("'"&amp;$Q$2&amp;"'!D"&amp;ROW())),"",INDIRECT("'"&amp;$Q$2&amp;"'!D"&amp;ROW())),""))</f>
        <v/>
      </c>
      <c r="F40" s="15" t="n"/>
      <c r="G40" s="16" t="n"/>
      <c r="H40" s="13" t="n">
        <v>15</v>
      </c>
      <c r="I40" s="13">
        <f>IF($H40="","",IFERROR(IF(ISBLANK(INDIRECT("'"&amp;$Q$2&amp;"'!H"&amp;ROW())),"",INDIRECT("'"&amp;$Q$2&amp;"'!H"&amp;ROW())),""))</f>
        <v/>
      </c>
      <c r="J40" s="15" t="n"/>
      <c r="K40" s="16" t="n"/>
      <c r="L40" s="13">
        <f>IFERROR(D40/C40,"")</f>
        <v/>
      </c>
      <c r="M40" s="13">
        <f>IFERROR(H40/D40*1000,"")</f>
        <v/>
      </c>
      <c r="N40" s="13" t="n">
        <v>4949</v>
      </c>
      <c r="O40" s="15" t="n">
        <v>3</v>
      </c>
      <c r="P40" s="2" t="n"/>
      <c r="Q40" s="2" t="n"/>
      <c r="R40" s="2" t="n"/>
      <c r="S40" s="18">
        <f>IFERROR(IF(ISBLANK(INDIRECT("'"&amp;$Q$2&amp;"'!G"&amp;ROW())),"",INDIRECT("'"&amp;$Q$2&amp;"'!G"&amp;ROW())),"")</f>
        <v/>
      </c>
      <c r="T40" s="20">
        <f>IF(OR($G40="",$S40=""),"",$G40-$S40)</f>
        <v/>
      </c>
      <c r="U40" s="18">
        <f>IFERROR(IF(ISBLANK(INDIRECT("'"&amp;$Q$2&amp;"'!K"&amp;ROW())),"",INDIRECT("'"&amp;$Q$2&amp;"'!K"&amp;ROW())),"")</f>
        <v/>
      </c>
      <c r="V40" s="20">
        <f>IF(OR($K40="",$U40=""),"",$K40-$U40)</f>
        <v/>
      </c>
      <c r="W40" s="21">
        <f>IFERROR(IF(ISBLANK(INDIRECT("'"&amp;$Q$2&amp;"'!O"&amp;ROW())),"",INDIRECT("'"&amp;$Q$2&amp;"'!O"&amp;ROW())),"")</f>
        <v/>
      </c>
      <c r="X40" s="21">
        <f>IF(OR($O40="",$W40=""),"",$O40-$W40)</f>
        <v/>
      </c>
      <c r="Y40" s="2" t="n"/>
      <c r="Z40" s="2" t="n"/>
    </row>
    <row r="41" ht="14.25" customHeight="1" s="58">
      <c r="A41" s="12" t="inlineStr">
        <is>
          <t>Одноклассники</t>
        </is>
      </c>
      <c r="B41" s="12" t="inlineStr">
        <is>
          <t>Тазовский</t>
        </is>
      </c>
      <c r="C41" s="13" t="n">
        <v>47</v>
      </c>
      <c r="D41" s="13" t="n">
        <v>7132</v>
      </c>
      <c r="E41" s="13">
        <f>IF($D41="","",IFERROR(IF(ISBLANK(INDIRECT("'"&amp;$Q$2&amp;"'!D"&amp;ROW())),"",INDIRECT("'"&amp;$Q$2&amp;"'!D"&amp;ROW())),""))</f>
        <v/>
      </c>
      <c r="F41" s="15" t="n"/>
      <c r="G41" s="16" t="n"/>
      <c r="H41" s="13" t="n">
        <v>57</v>
      </c>
      <c r="I41" s="13">
        <f>IF($H41="","",IFERROR(IF(ISBLANK(INDIRECT("'"&amp;$Q$2&amp;"'!H"&amp;ROW())),"",INDIRECT("'"&amp;$Q$2&amp;"'!H"&amp;ROW())),""))</f>
        <v/>
      </c>
      <c r="J41" s="15" t="n"/>
      <c r="K41" s="16" t="n"/>
      <c r="L41" s="13">
        <f>IFERROR(D41/C41,"")</f>
        <v/>
      </c>
      <c r="M41" s="13">
        <f>IFERROR(H41/D41*1000,"")</f>
        <v/>
      </c>
      <c r="N41" s="13" t="n">
        <v>3530</v>
      </c>
      <c r="O41" s="15" t="n">
        <v>3</v>
      </c>
      <c r="P41" s="2" t="n"/>
      <c r="Q41" s="2" t="n"/>
      <c r="R41" s="2" t="n"/>
      <c r="S41" s="18">
        <f>IFERROR(IF(ISBLANK(INDIRECT("'"&amp;$Q$2&amp;"'!G"&amp;ROW())),"",INDIRECT("'"&amp;$Q$2&amp;"'!G"&amp;ROW())),"")</f>
        <v/>
      </c>
      <c r="T41" s="20">
        <f>IF(OR($G41="",$S41=""),"",$G41-$S41)</f>
        <v/>
      </c>
      <c r="U41" s="18">
        <f>IFERROR(IF(ISBLANK(INDIRECT("'"&amp;$Q$2&amp;"'!K"&amp;ROW())),"",INDIRECT("'"&amp;$Q$2&amp;"'!K"&amp;ROW())),"")</f>
        <v/>
      </c>
      <c r="V41" s="20">
        <f>IF(OR($K41="",$U41=""),"",$K41-$U41)</f>
        <v/>
      </c>
      <c r="W41" s="21">
        <f>IFERROR(IF(ISBLANK(INDIRECT("'"&amp;$Q$2&amp;"'!O"&amp;ROW())),"",INDIRECT("'"&amp;$Q$2&amp;"'!O"&amp;ROW())),"")</f>
        <v/>
      </c>
      <c r="X41" s="21">
        <f>IF(OR($O41="",$W41=""),"",$O41-$W41)</f>
        <v/>
      </c>
      <c r="Y41" s="2" t="n"/>
      <c r="Z41" s="2" t="n"/>
    </row>
    <row r="42" ht="14.25" customHeight="1" s="58">
      <c r="A42" s="12" t="inlineStr">
        <is>
          <t>Одноклассники</t>
        </is>
      </c>
      <c r="B42" s="12" t="inlineStr">
        <is>
          <t>Красноселькуп</t>
        </is>
      </c>
      <c r="C42" s="13" t="n">
        <v>30</v>
      </c>
      <c r="D42" s="13" t="n">
        <v>9378</v>
      </c>
      <c r="E42" s="13">
        <f>IF($D42="","",IFERROR(IF(ISBLANK(INDIRECT("'"&amp;$Q$2&amp;"'!D"&amp;ROW())),"",INDIRECT("'"&amp;$Q$2&amp;"'!D"&amp;ROW())),""))</f>
        <v/>
      </c>
      <c r="F42" s="15" t="n"/>
      <c r="G42" s="16" t="n"/>
      <c r="H42" s="13" t="n">
        <v>186</v>
      </c>
      <c r="I42" s="13">
        <f>IF($H42="","",IFERROR(IF(ISBLANK(INDIRECT("'"&amp;$Q$2&amp;"'!H"&amp;ROW())),"",INDIRECT("'"&amp;$Q$2&amp;"'!H"&amp;ROW())),""))</f>
        <v/>
      </c>
      <c r="J42" s="15" t="n"/>
      <c r="K42" s="16" t="n"/>
      <c r="L42" s="13">
        <f>IFERROR(D42/C42,"")</f>
        <v/>
      </c>
      <c r="M42" s="13">
        <f>IFERROR(H42/D42*1000,"")</f>
        <v/>
      </c>
      <c r="N42" s="13" t="n">
        <v>643</v>
      </c>
      <c r="O42" s="15" t="n">
        <v>9</v>
      </c>
      <c r="P42" s="2" t="n"/>
      <c r="Q42" s="2" t="n"/>
      <c r="R42" s="2" t="n"/>
      <c r="S42" s="18">
        <f>IFERROR(IF(ISBLANK(INDIRECT("'"&amp;$Q$2&amp;"'!G"&amp;ROW())),"",INDIRECT("'"&amp;$Q$2&amp;"'!G"&amp;ROW())),"")</f>
        <v/>
      </c>
      <c r="T42" s="20">
        <f>IF(OR($G42="",$S42=""),"",$G42-$S42)</f>
        <v/>
      </c>
      <c r="U42" s="18">
        <f>IFERROR(IF(ISBLANK(INDIRECT("'"&amp;$Q$2&amp;"'!K"&amp;ROW())),"",INDIRECT("'"&amp;$Q$2&amp;"'!K"&amp;ROW())),"")</f>
        <v/>
      </c>
      <c r="V42" s="20">
        <f>IF(OR($K42="",$U42=""),"",$K42-$U42)</f>
        <v/>
      </c>
      <c r="W42" s="21">
        <f>IFERROR(IF(ISBLANK(INDIRECT("'"&amp;$Q$2&amp;"'!O"&amp;ROW())),"",INDIRECT("'"&amp;$Q$2&amp;"'!O"&amp;ROW())),"")</f>
        <v/>
      </c>
      <c r="X42" s="21">
        <f>IF(OR($O42="",$W42=""),"",$O42-$W42)</f>
        <v/>
      </c>
      <c r="Y42" s="2" t="n"/>
      <c r="Z42" s="2" t="n"/>
    </row>
    <row r="43" ht="14.25" customHeight="1" s="58">
      <c r="A43" s="12" t="inlineStr">
        <is>
          <t>Одноклассники</t>
        </is>
      </c>
      <c r="B43" s="12" t="inlineStr">
        <is>
          <t>Ямальский</t>
        </is>
      </c>
      <c r="C43" s="13" t="n">
        <v>52</v>
      </c>
      <c r="D43" s="13" t="n">
        <v>3692</v>
      </c>
      <c r="E43" s="13">
        <f>IF($D43="","",IFERROR(IF(ISBLANK(INDIRECT("'"&amp;$Q$2&amp;"'!D"&amp;ROW())),"",INDIRECT("'"&amp;$Q$2&amp;"'!D"&amp;ROW())),""))</f>
        <v/>
      </c>
      <c r="F43" s="15" t="n"/>
      <c r="G43" s="16" t="n"/>
      <c r="H43" s="13" t="n">
        <v>25</v>
      </c>
      <c r="I43" s="13">
        <f>IF($H43="","",IFERROR(IF(ISBLANK(INDIRECT("'"&amp;$Q$2&amp;"'!H"&amp;ROW())),"",INDIRECT("'"&amp;$Q$2&amp;"'!H"&amp;ROW())),""))</f>
        <v/>
      </c>
      <c r="J43" s="15" t="n"/>
      <c r="K43" s="16" t="n"/>
      <c r="L43" s="13">
        <f>IFERROR(D43/C43,"")</f>
        <v/>
      </c>
      <c r="M43" s="13">
        <f>IFERROR(H43/D43*1000,"")</f>
        <v/>
      </c>
      <c r="N43" s="13" t="n">
        <v>1948</v>
      </c>
      <c r="O43" s="15" t="n">
        <v>3</v>
      </c>
      <c r="P43" s="2" t="n"/>
      <c r="Q43" s="2" t="n"/>
      <c r="R43" s="2" t="n"/>
      <c r="S43" s="18">
        <f>IFERROR(IF(ISBLANK(INDIRECT("'"&amp;$Q$2&amp;"'!G"&amp;ROW())),"",INDIRECT("'"&amp;$Q$2&amp;"'!G"&amp;ROW())),"")</f>
        <v/>
      </c>
      <c r="T43" s="20">
        <f>IF(OR($G43="",$S43=""),"",$G43-$S43)</f>
        <v/>
      </c>
      <c r="U43" s="18">
        <f>IFERROR(IF(ISBLANK(INDIRECT("'"&amp;$Q$2&amp;"'!K"&amp;ROW())),"",INDIRECT("'"&amp;$Q$2&amp;"'!K"&amp;ROW())),"")</f>
        <v/>
      </c>
      <c r="V43" s="20">
        <f>IF(OR($K43="",$U43=""),"",$K43-$U43)</f>
        <v/>
      </c>
      <c r="W43" s="21">
        <f>IFERROR(IF(ISBLANK(INDIRECT("'"&amp;$Q$2&amp;"'!O"&amp;ROW())),"",INDIRECT("'"&amp;$Q$2&amp;"'!O"&amp;ROW())),"")</f>
        <v/>
      </c>
      <c r="X43" s="21">
        <f>IF(OR($O43="",$W43=""),"",$O43-$W43)</f>
        <v/>
      </c>
      <c r="Y43" s="2" t="n"/>
      <c r="Z43" s="2" t="n"/>
    </row>
    <row r="44" ht="14.25" customHeight="1" s="58">
      <c r="A44" s="12" t="inlineStr">
        <is>
          <t>Одноклассники</t>
        </is>
      </c>
      <c r="B44" s="12" t="inlineStr">
        <is>
          <t>Шурышкарский</t>
        </is>
      </c>
      <c r="C44" s="13" t="n">
        <v>54</v>
      </c>
      <c r="D44" s="13" t="n">
        <v>9680</v>
      </c>
      <c r="E44" s="13">
        <f>IF($D44="","",IFERROR(IF(ISBLANK(INDIRECT("'"&amp;$Q$2&amp;"'!D"&amp;ROW())),"",INDIRECT("'"&amp;$Q$2&amp;"'!D"&amp;ROW())),""))</f>
        <v/>
      </c>
      <c r="F44" s="15" t="n"/>
      <c r="G44" s="16" t="n"/>
      <c r="H44" s="13" t="n">
        <v>66</v>
      </c>
      <c r="I44" s="13">
        <f>IF($H44="","",IFERROR(IF(ISBLANK(INDIRECT("'"&amp;$Q$2&amp;"'!H"&amp;ROW())),"",INDIRECT("'"&amp;$Q$2&amp;"'!H"&amp;ROW())),""))</f>
        <v/>
      </c>
      <c r="J44" s="15" t="n"/>
      <c r="K44" s="16" t="n"/>
      <c r="L44" s="13">
        <f>IFERROR(D44/C44,"")</f>
        <v/>
      </c>
      <c r="M44" s="13">
        <f>IFERROR(H44/D44*1000,"")</f>
        <v/>
      </c>
      <c r="N44" s="13" t="n">
        <v>4884</v>
      </c>
      <c r="O44" s="15" t="n">
        <v>5</v>
      </c>
      <c r="P44" s="2" t="n"/>
      <c r="Q44" s="2" t="n"/>
      <c r="R44" s="2" t="n"/>
      <c r="S44" s="18">
        <f>IFERROR(IF(ISBLANK(INDIRECT("'"&amp;$Q$2&amp;"'!G"&amp;ROW())),"",INDIRECT("'"&amp;$Q$2&amp;"'!G"&amp;ROW())),"")</f>
        <v/>
      </c>
      <c r="T44" s="20">
        <f>IF(OR($G44="",$S44=""),"",$G44-$S44)</f>
        <v/>
      </c>
      <c r="U44" s="18">
        <f>IFERROR(IF(ISBLANK(INDIRECT("'"&amp;$Q$2&amp;"'!K"&amp;ROW())),"",INDIRECT("'"&amp;$Q$2&amp;"'!K"&amp;ROW())),"")</f>
        <v/>
      </c>
      <c r="V44" s="20">
        <f>IF(OR($K44="",$U44=""),"",$K44-$U44)</f>
        <v/>
      </c>
      <c r="W44" s="21">
        <f>IFERROR(IF(ISBLANK(INDIRECT("'"&amp;$Q$2&amp;"'!O"&amp;ROW())),"",INDIRECT("'"&amp;$Q$2&amp;"'!O"&amp;ROW())),"")</f>
        <v/>
      </c>
      <c r="X44" s="21">
        <f>IF(OR($O44="",$W44=""),"",$O44-$W44)</f>
        <v/>
      </c>
      <c r="Y44" s="2" t="n"/>
      <c r="Z44" s="2" t="n"/>
    </row>
    <row r="45" ht="14.25" customHeight="1" s="58">
      <c r="A45" s="12" t="inlineStr">
        <is>
          <t>Одноклассники</t>
        </is>
      </c>
      <c r="B45" s="12" t="inlineStr">
        <is>
          <t>Муравленко</t>
        </is>
      </c>
      <c r="C45" s="13" t="n">
        <v>65</v>
      </c>
      <c r="D45" s="13" t="n">
        <v>19928</v>
      </c>
      <c r="E45" s="13">
        <f>IF($D45="","",IFERROR(IF(ISBLANK(INDIRECT("'"&amp;$Q$2&amp;"'!D"&amp;ROW())),"",INDIRECT("'"&amp;$Q$2&amp;"'!D"&amp;ROW())),""))</f>
        <v/>
      </c>
      <c r="F45" s="15" t="n"/>
      <c r="G45" s="16" t="n"/>
      <c r="H45" s="13" t="n">
        <v>220</v>
      </c>
      <c r="I45" s="13">
        <f>IF($H45="","",IFERROR(IF(ISBLANK(INDIRECT("'"&amp;$Q$2&amp;"'!H"&amp;ROW())),"",INDIRECT("'"&amp;$Q$2&amp;"'!H"&amp;ROW())),""))</f>
        <v/>
      </c>
      <c r="J45" s="15" t="n"/>
      <c r="K45" s="16" t="n"/>
      <c r="L45" s="13">
        <f>IFERROR(D45/C45,"")</f>
        <v/>
      </c>
      <c r="M45" s="13">
        <f>IFERROR(H45/D45*1000,"")</f>
        <v/>
      </c>
      <c r="N45" s="13" t="n">
        <v>3731</v>
      </c>
      <c r="O45" s="15" t="n">
        <v>12</v>
      </c>
      <c r="P45" s="2" t="n"/>
      <c r="Q45" s="2" t="n"/>
      <c r="R45" s="2" t="n"/>
      <c r="S45" s="18">
        <f>IFERROR(IF(ISBLANK(INDIRECT("'"&amp;$Q$2&amp;"'!G"&amp;ROW())),"",INDIRECT("'"&amp;$Q$2&amp;"'!G"&amp;ROW())),"")</f>
        <v/>
      </c>
      <c r="T45" s="20">
        <f>IF(OR($G45="",$S45=""),"",$G45-$S45)</f>
        <v/>
      </c>
      <c r="U45" s="18">
        <f>IFERROR(IF(ISBLANK(INDIRECT("'"&amp;$Q$2&amp;"'!K"&amp;ROW())),"",INDIRECT("'"&amp;$Q$2&amp;"'!K"&amp;ROW())),"")</f>
        <v/>
      </c>
      <c r="V45" s="20">
        <f>IF(OR($K45="",$U45=""),"",$K45-$U45)</f>
        <v/>
      </c>
      <c r="W45" s="21">
        <f>IFERROR(IF(ISBLANK(INDIRECT("'"&amp;$Q$2&amp;"'!O"&amp;ROW())),"",INDIRECT("'"&amp;$Q$2&amp;"'!O"&amp;ROW())),"")</f>
        <v/>
      </c>
      <c r="X45" s="21">
        <f>IF(OR($O45="",$W45=""),"",$O45-$W45)</f>
        <v/>
      </c>
      <c r="Y45" s="2" t="n"/>
      <c r="Z45" s="2" t="n"/>
    </row>
    <row r="46" ht="14.25" customHeight="1" s="58">
      <c r="A46" s="12" t="inlineStr">
        <is>
          <t>Одноклассники</t>
        </is>
      </c>
      <c r="B46" s="12" t="inlineStr">
        <is>
          <t>Губкинский</t>
        </is>
      </c>
      <c r="C46" s="13" t="n">
        <v>107</v>
      </c>
      <c r="D46" s="13" t="n">
        <v>42572</v>
      </c>
      <c r="E46" s="13">
        <f>IF($D46="","",IFERROR(IF(ISBLANK(INDIRECT("'"&amp;$Q$2&amp;"'!D"&amp;ROW())),"",INDIRECT("'"&amp;$Q$2&amp;"'!D"&amp;ROW())),""))</f>
        <v/>
      </c>
      <c r="F46" s="15" t="n"/>
      <c r="G46" s="16" t="n"/>
      <c r="H46" s="13" t="n">
        <v>694</v>
      </c>
      <c r="I46" s="13">
        <f>IF($H46="","",IFERROR(IF(ISBLANK(INDIRECT("'"&amp;$Q$2&amp;"'!H"&amp;ROW())),"",INDIRECT("'"&amp;$Q$2&amp;"'!H"&amp;ROW())),""))</f>
        <v/>
      </c>
      <c r="J46" s="15" t="n"/>
      <c r="K46" s="16" t="n"/>
      <c r="L46" s="13">
        <f>IFERROR(D46/C46,"")</f>
        <v/>
      </c>
      <c r="M46" s="13">
        <f>IFERROR(H46/D46*1000,"")</f>
        <v/>
      </c>
      <c r="N46" s="13" t="n">
        <v>4496</v>
      </c>
      <c r="O46" s="15" t="n">
        <v>9</v>
      </c>
      <c r="P46" s="2" t="n"/>
      <c r="Q46" s="2" t="n"/>
      <c r="R46" s="2" t="n"/>
      <c r="S46" s="18">
        <f>IFERROR(IF(ISBLANK(INDIRECT("'"&amp;$Q$2&amp;"'!G"&amp;ROW())),"",INDIRECT("'"&amp;$Q$2&amp;"'!G"&amp;ROW())),"")</f>
        <v/>
      </c>
      <c r="T46" s="20">
        <f>IF(OR($G46="",$S46=""),"",$G46-$S46)</f>
        <v/>
      </c>
      <c r="U46" s="18">
        <f>IFERROR(IF(ISBLANK(INDIRECT("'"&amp;$Q$2&amp;"'!K"&amp;ROW())),"",INDIRECT("'"&amp;$Q$2&amp;"'!K"&amp;ROW())),"")</f>
        <v/>
      </c>
      <c r="V46" s="20">
        <f>IF(OR($K46="",$U46=""),"",$K46-$U46)</f>
        <v/>
      </c>
      <c r="W46" s="21">
        <f>IFERROR(IF(ISBLANK(INDIRECT("'"&amp;$Q$2&amp;"'!O"&amp;ROW())),"",INDIRECT("'"&amp;$Q$2&amp;"'!O"&amp;ROW())),"")</f>
        <v/>
      </c>
      <c r="X46" s="21">
        <f>IF(OR($O46="",$W46=""),"",$O46-$W46)</f>
        <v/>
      </c>
      <c r="Y46" s="2" t="n"/>
      <c r="Z46" s="2" t="n"/>
    </row>
    <row r="47" ht="14.25" customHeight="1" s="58">
      <c r="A47" s="12" t="inlineStr">
        <is>
          <t>Одноклассники</t>
        </is>
      </c>
      <c r="B47" s="12" t="inlineStr">
        <is>
          <t>Нярьяна Нгэрм</t>
        </is>
      </c>
      <c r="C47" s="13" t="n">
        <v>8</v>
      </c>
      <c r="D47" s="13" t="n">
        <v>769</v>
      </c>
      <c r="E47" s="13">
        <f>IF($D47="","",IFERROR(IF(ISBLANK(INDIRECT("'"&amp;$Q$2&amp;"'!D"&amp;ROW())),"",INDIRECT("'"&amp;$Q$2&amp;"'!D"&amp;ROW())),""))</f>
        <v/>
      </c>
      <c r="F47" s="15" t="n"/>
      <c r="G47" s="16" t="n"/>
      <c r="H47" s="13" t="n">
        <v>16</v>
      </c>
      <c r="I47" s="13">
        <f>IF($H47="","",IFERROR(IF(ISBLANK(INDIRECT("'"&amp;$Q$2&amp;"'!H"&amp;ROW())),"",INDIRECT("'"&amp;$Q$2&amp;"'!H"&amp;ROW())),""))</f>
        <v/>
      </c>
      <c r="J47" s="15" t="n"/>
      <c r="K47" s="16" t="n"/>
      <c r="L47" s="13">
        <f>IFERROR(D47/C47,"")</f>
        <v/>
      </c>
      <c r="M47" s="13">
        <f>IFERROR(H47/D47*1000,"")</f>
        <v/>
      </c>
      <c r="N47" s="13" t="n">
        <v>855</v>
      </c>
      <c r="O47" s="15" t="n">
        <v>5</v>
      </c>
      <c r="P47" s="2" t="n"/>
      <c r="Q47" s="2" t="n"/>
      <c r="R47" s="2" t="n"/>
      <c r="S47" s="18">
        <f>IFERROR(IF(ISBLANK(INDIRECT("'"&amp;$Q$2&amp;"'!G"&amp;ROW())),"",INDIRECT("'"&amp;$Q$2&amp;"'!G"&amp;ROW())),"")</f>
        <v/>
      </c>
      <c r="T47" s="20">
        <f>IF(OR($G47="",$S47=""),"",$G47-$S47)</f>
        <v/>
      </c>
      <c r="U47" s="18">
        <f>IFERROR(IF(ISBLANK(INDIRECT("'"&amp;$Q$2&amp;"'!K"&amp;ROW())),"",INDIRECT("'"&amp;$Q$2&amp;"'!K"&amp;ROW())),"")</f>
        <v/>
      </c>
      <c r="V47" s="20">
        <f>IF(OR($K47="",$U47=""),"",$K47-$U47)</f>
        <v/>
      </c>
      <c r="W47" s="21">
        <f>IFERROR(IF(ISBLANK(INDIRECT("'"&amp;$Q$2&amp;"'!O"&amp;ROW())),"",INDIRECT("'"&amp;$Q$2&amp;"'!O"&amp;ROW())),"")</f>
        <v/>
      </c>
      <c r="X47" s="21">
        <f>IF(OR($O47="",$W47=""),"",$O47-$W47)</f>
        <v/>
      </c>
      <c r="Y47" s="2" t="n"/>
      <c r="Z47" s="2" t="n"/>
    </row>
    <row r="48" ht="14.25" customHeight="1" s="58">
      <c r="A48" s="12" t="inlineStr">
        <is>
          <t>Одноклассники</t>
        </is>
      </c>
      <c r="B48" s="12" t="inlineStr">
        <is>
          <t>Лух Авт</t>
        </is>
      </c>
      <c r="C48" s="13" t="n">
        <v>3</v>
      </c>
      <c r="D48" s="13" t="n">
        <v>336</v>
      </c>
      <c r="E48" s="13">
        <f>IF($D48="","",IFERROR(IF(ISBLANK(INDIRECT("'"&amp;$Q$2&amp;"'!D"&amp;ROW())),"",INDIRECT("'"&amp;$Q$2&amp;"'!D"&amp;ROW())),""))</f>
        <v/>
      </c>
      <c r="F48" s="15" t="n"/>
      <c r="G48" s="16" t="n"/>
      <c r="H48" s="13" t="n">
        <v>13</v>
      </c>
      <c r="I48" s="13">
        <f>IF($H48="","",IFERROR(IF(ISBLANK(INDIRECT("'"&amp;$Q$2&amp;"'!H"&amp;ROW())),"",INDIRECT("'"&amp;$Q$2&amp;"'!H"&amp;ROW())),""))</f>
        <v/>
      </c>
      <c r="J48" s="15" t="n"/>
      <c r="K48" s="16" t="n"/>
      <c r="L48" s="13">
        <f>IFERROR(D48/C48,"")</f>
        <v/>
      </c>
      <c r="M48" s="13">
        <f>IFERROR(H48/D48*1000,"")</f>
        <v/>
      </c>
      <c r="N48" s="13" t="n">
        <v>853</v>
      </c>
      <c r="O48" s="15" t="n">
        <v>2</v>
      </c>
      <c r="P48" s="2" t="n"/>
      <c r="Q48" s="2" t="n"/>
      <c r="R48" s="2" t="n"/>
      <c r="S48" s="18">
        <f>IFERROR(IF(ISBLANK(INDIRECT("'"&amp;$Q$2&amp;"'!G"&amp;ROW())),"",INDIRECT("'"&amp;$Q$2&amp;"'!G"&amp;ROW())),"")</f>
        <v/>
      </c>
      <c r="T48" s="20">
        <f>IF(OR($G48="",$S48=""),"",$G48-$S48)</f>
        <v/>
      </c>
      <c r="U48" s="18">
        <f>IFERROR(IF(ISBLANK(INDIRECT("'"&amp;$Q$2&amp;"'!K"&amp;ROW())),"",INDIRECT("'"&amp;$Q$2&amp;"'!K"&amp;ROW())),"")</f>
        <v/>
      </c>
      <c r="V48" s="20">
        <f>IF(OR($K48="",$U48=""),"",$K48-$U48)</f>
        <v/>
      </c>
      <c r="W48" s="21">
        <f>IFERROR(IF(ISBLANK(INDIRECT("'"&amp;$Q$2&amp;"'!O"&amp;ROW())),"",INDIRECT("'"&amp;$Q$2&amp;"'!O"&amp;ROW())),"")</f>
        <v/>
      </c>
      <c r="X48" s="21">
        <f>IF(OR($O48="",$W48=""),"",$O48-$W48)</f>
        <v/>
      </c>
      <c r="Y48" s="2" t="n"/>
      <c r="Z48" s="2" t="n"/>
    </row>
    <row r="49" ht="14.25" customHeight="1" s="58">
      <c r="A49" s="48" t="inlineStr">
        <is>
          <t>Одноклассники</t>
        </is>
      </c>
      <c r="B49" s="48" t="inlineStr">
        <is>
          <t>МК-Ямал</t>
        </is>
      </c>
      <c r="C49" s="49" t="n"/>
      <c r="D49" s="49" t="n"/>
      <c r="E49" s="49">
        <f>IF($D49="","",IFERROR(IF(ISBLANK(INDIRECT("'"&amp;$Q$2&amp;"'!D"&amp;ROW())),"",INDIRECT("'"&amp;$Q$2&amp;"'!D"&amp;ROW())),""))</f>
        <v/>
      </c>
      <c r="F49" s="50" t="n"/>
      <c r="G49" s="51" t="n"/>
      <c r="H49" s="49" t="n"/>
      <c r="I49" s="49">
        <f>IF($H49="","",IFERROR(IF(ISBLANK(INDIRECT("'"&amp;$Q$2&amp;"'!H"&amp;ROW())),"",INDIRECT("'"&amp;$Q$2&amp;"'!H"&amp;ROW())),""))</f>
        <v/>
      </c>
      <c r="J49" s="50" t="n"/>
      <c r="K49" s="51" t="n"/>
      <c r="L49" s="49">
        <f>IFERROR(D49/C49,"")</f>
        <v/>
      </c>
      <c r="M49" s="49">
        <f>IFERROR(H49/D49*1000,"")</f>
        <v/>
      </c>
      <c r="N49" s="49" t="n"/>
      <c r="O49" s="50" t="n"/>
      <c r="P49" s="2" t="n"/>
      <c r="Q49" s="2" t="n"/>
      <c r="R49" s="2" t="n"/>
      <c r="S49" s="18">
        <f>IFERROR(IF(ISBLANK(INDIRECT("'"&amp;$Q$2&amp;"'!G"&amp;ROW())),"",INDIRECT("'"&amp;$Q$2&amp;"'!G"&amp;ROW())),"")</f>
        <v/>
      </c>
      <c r="T49" s="20">
        <f>IF(OR($G49="",$S49=""),"",$G49-$S49)</f>
        <v/>
      </c>
      <c r="U49" s="18">
        <f>IFERROR(IF(ISBLANK(INDIRECT("'"&amp;$Q$2&amp;"'!K"&amp;ROW())),"",INDIRECT("'"&amp;$Q$2&amp;"'!K"&amp;ROW())),"")</f>
        <v/>
      </c>
      <c r="V49" s="20">
        <f>IF(OR($K49="",$U49=""),"",$K49-$U49)</f>
        <v/>
      </c>
      <c r="W49" s="21">
        <f>IFERROR(IF(ISBLANK(INDIRECT("'"&amp;$Q$2&amp;"'!O"&amp;ROW())),"",INDIRECT("'"&amp;$Q$2&amp;"'!O"&amp;ROW())),"")</f>
        <v/>
      </c>
      <c r="X49" s="21">
        <f>IF(OR($O49="",$W49=""),"",$O49-$W49)</f>
        <v/>
      </c>
      <c r="Y49" s="2" t="n"/>
      <c r="Z49" s="2" t="n"/>
    </row>
    <row r="50" ht="14.25" customHeight="1" s="58">
      <c r="A50" s="48" t="inlineStr">
        <is>
          <t>Одноклассники</t>
        </is>
      </c>
      <c r="B50" s="48" t="inlineStr">
        <is>
          <t>Морошка</t>
        </is>
      </c>
      <c r="C50" s="49" t="n"/>
      <c r="D50" s="49" t="n"/>
      <c r="E50" s="49">
        <f>IF($D50="","",IFERROR(IF(ISBLANK(INDIRECT("'"&amp;$Q$2&amp;"'!D"&amp;ROW())),"",INDIRECT("'"&amp;$Q$2&amp;"'!D"&amp;ROW())),""))</f>
        <v/>
      </c>
      <c r="F50" s="50" t="n"/>
      <c r="G50" s="51" t="n"/>
      <c r="H50" s="49" t="n"/>
      <c r="I50" s="49">
        <f>IF($H50="","",IFERROR(IF(ISBLANK(INDIRECT("'"&amp;$Q$2&amp;"'!H"&amp;ROW())),"",INDIRECT("'"&amp;$Q$2&amp;"'!H"&amp;ROW())),""))</f>
        <v/>
      </c>
      <c r="J50" s="50" t="n"/>
      <c r="K50" s="51" t="n"/>
      <c r="L50" s="49">
        <f>IFERROR(D50/C50,"")</f>
        <v/>
      </c>
      <c r="M50" s="49">
        <f>IFERROR(H50/D50*1000,"")</f>
        <v/>
      </c>
      <c r="N50" s="49" t="n"/>
      <c r="O50" s="50" t="n"/>
      <c r="P50" s="2" t="n"/>
      <c r="Q50" s="2" t="n"/>
      <c r="R50" s="2" t="n"/>
      <c r="S50" s="18">
        <f>IFERROR(IF(ISBLANK(INDIRECT("'"&amp;$Q$2&amp;"'!G"&amp;ROW())),"",INDIRECT("'"&amp;$Q$2&amp;"'!G"&amp;ROW())),"")</f>
        <v/>
      </c>
      <c r="T50" s="20">
        <f>IF(OR($G50="",$S50=""),"",$G50-$S50)</f>
        <v/>
      </c>
      <c r="U50" s="18">
        <f>IFERROR(IF(ISBLANK(INDIRECT("'"&amp;$Q$2&amp;"'!K"&amp;ROW())),"",INDIRECT("'"&amp;$Q$2&amp;"'!K"&amp;ROW())),"")</f>
        <v/>
      </c>
      <c r="V50" s="20">
        <f>IF(OR($K50="",$U50=""),"",$K50-$U50)</f>
        <v/>
      </c>
      <c r="W50" s="21">
        <f>IFERROR(IF(ISBLANK(INDIRECT("'"&amp;$Q$2&amp;"'!O"&amp;ROW())),"",INDIRECT("'"&amp;$Q$2&amp;"'!O"&amp;ROW())),"")</f>
        <v/>
      </c>
      <c r="X50" s="21">
        <f>IF(OR($O50="",$W50=""),"",$O50-$W50)</f>
        <v/>
      </c>
      <c r="Y50" s="2" t="n"/>
      <c r="Z50" s="2" t="n"/>
    </row>
    <row r="51" ht="14.25" customHeight="1" s="58">
      <c r="A51" s="25" t="n"/>
      <c r="B51" s="25" t="inlineStr">
        <is>
          <t>Итого Одноклассники</t>
        </is>
      </c>
      <c r="C51" s="26">
        <f>SUM(C31:C50)</f>
        <v/>
      </c>
      <c r="D51" s="26">
        <f>SUM(D31:D50)</f>
        <v/>
      </c>
      <c r="E51" s="26">
        <f>SUM(E31:E50)</f>
        <v/>
      </c>
      <c r="F51" s="27">
        <f>SUM(F31:F50)</f>
        <v/>
      </c>
      <c r="G51" s="28">
        <f>IF(C51=0,"",IFERROR(F51/E51,""))</f>
        <v/>
      </c>
      <c r="H51" s="26">
        <f>SUM(H31:H50)</f>
        <v/>
      </c>
      <c r="I51" s="26">
        <f>SUM(I31:I50)</f>
        <v/>
      </c>
      <c r="J51" s="27">
        <f>SUM(J31:J50)</f>
        <v/>
      </c>
      <c r="K51" s="28">
        <f>IF(C51=0,"",IFERROR(J51/I51,""))</f>
        <v/>
      </c>
      <c r="L51" s="26">
        <f>IFERROR(D51/C51,"")</f>
        <v/>
      </c>
      <c r="M51" s="26">
        <f>IFERROR(H51/D51*1000,"")</f>
        <v/>
      </c>
      <c r="N51" s="26">
        <f>SUM(N31:N50)</f>
        <v/>
      </c>
      <c r="O51" s="27">
        <f>SUM(O31:O50)</f>
        <v/>
      </c>
      <c r="P51" s="2" t="n"/>
      <c r="Q51" s="2" t="n"/>
      <c r="R51" s="2" t="n"/>
      <c r="S51" s="29">
        <f>IFERROR(IF(ISBLANK(INDIRECT("'"&amp;$Q$2&amp;"'!G"&amp;ROW())),"",INDIRECT("'"&amp;$Q$2&amp;"'!G"&amp;ROW())),"")</f>
        <v/>
      </c>
      <c r="T51" s="30">
        <f>IF(OR($G51="",$S51=""),"",$G51-$S51)</f>
        <v/>
      </c>
      <c r="U51" s="29">
        <f>IFERROR(IF(ISBLANK(INDIRECT("'"&amp;$Q$2&amp;"'!K"&amp;ROW())),"",INDIRECT("'"&amp;$Q$2&amp;"'!K"&amp;ROW())),"")</f>
        <v/>
      </c>
      <c r="V51" s="30">
        <f>IF(OR($K51="",$U51=""),"",$K51-$U51)</f>
        <v/>
      </c>
      <c r="W51" s="31">
        <f>IFERROR(IF(ISBLANK(INDIRECT("'"&amp;$Q$2&amp;"'!O"&amp;ROW())),"",INDIRECT("'"&amp;$Q$2&amp;"'!O"&amp;ROW())),"")</f>
        <v/>
      </c>
      <c r="X51" s="31">
        <f>IF(OR(C51=0,$O51="",$W51=""),"",$O51-$W51)</f>
        <v/>
      </c>
      <c r="Y51" s="2" t="n"/>
      <c r="Z51" s="2" t="n"/>
    </row>
    <row r="52" ht="14.25" customHeight="1" s="58">
      <c r="A52" s="12" t="inlineStr">
        <is>
          <t>Telegram</t>
        </is>
      </c>
      <c r="B52" s="12" t="inlineStr">
        <is>
          <t>Ямал-Медиа</t>
        </is>
      </c>
      <c r="C52" s="13" t="n">
        <v>144</v>
      </c>
      <c r="D52" s="13" t="n">
        <v>38993</v>
      </c>
      <c r="E52" s="13">
        <f>IF($D52="","",IFERROR(IF(ISBLANK(INDIRECT("'"&amp;$Q$2&amp;"'!D"&amp;ROW())),"",INDIRECT("'"&amp;$Q$2&amp;"'!D"&amp;ROW())),""))</f>
        <v/>
      </c>
      <c r="F52" s="15" t="n"/>
      <c r="G52" s="16" t="n"/>
      <c r="H52" s="13" t="n">
        <v>176</v>
      </c>
      <c r="I52" s="13">
        <f>IF($H52="","",IFERROR(IF(ISBLANK(INDIRECT("'"&amp;$Q$2&amp;"'!H"&amp;ROW())),"",INDIRECT("'"&amp;$Q$2&amp;"'!H"&amp;ROW())),""))</f>
        <v/>
      </c>
      <c r="J52" s="15" t="n"/>
      <c r="K52" s="16" t="n"/>
      <c r="L52" s="13">
        <f>IFERROR(D52/C52,"")</f>
        <v/>
      </c>
      <c r="M52" s="13">
        <f>IFERROR(H52/D52*1000,"")</f>
        <v/>
      </c>
      <c r="N52" s="13" t="n">
        <v>11843</v>
      </c>
      <c r="O52" s="15" t="n">
        <v>8</v>
      </c>
      <c r="P52" s="2" t="n"/>
      <c r="Q52" s="2" t="n"/>
      <c r="R52" s="2" t="n"/>
      <c r="S52" s="18">
        <f>IFERROR(IF(ISBLANK(INDIRECT("'"&amp;$Q$2&amp;"'!G"&amp;ROW())),"",INDIRECT("'"&amp;$Q$2&amp;"'!G"&amp;ROW())),"")</f>
        <v/>
      </c>
      <c r="T52" s="20">
        <f>IF(OR($G52="",$S52=""),"",$G52-$S52)</f>
        <v/>
      </c>
      <c r="U52" s="18">
        <f>IFERROR(IF(ISBLANK(INDIRECT("'"&amp;$Q$2&amp;"'!K"&amp;ROW())),"",INDIRECT("'"&amp;$Q$2&amp;"'!K"&amp;ROW())),"")</f>
        <v/>
      </c>
      <c r="V52" s="20">
        <f>IF(OR($K52="",$U52=""),"",$K52-$U52)</f>
        <v/>
      </c>
      <c r="W52" s="21">
        <f>IFERROR(IF(ISBLANK(INDIRECT("'"&amp;$Q$2&amp;"'!O"&amp;ROW())),"",INDIRECT("'"&amp;$Q$2&amp;"'!O"&amp;ROW())),"")</f>
        <v/>
      </c>
      <c r="X52" s="21">
        <f>IF(OR($O52="",$W52=""),"",$O52-$W52)</f>
        <v/>
      </c>
      <c r="Y52" s="2" t="n"/>
      <c r="Z52" s="2" t="n"/>
    </row>
    <row r="53" ht="14.25" customHeight="1" s="58">
      <c r="A53" s="12" t="inlineStr">
        <is>
          <t>Telegram</t>
        </is>
      </c>
      <c r="B53" s="12" t="inlineStr">
        <is>
          <t>Север-Пресс</t>
        </is>
      </c>
      <c r="C53" s="13" t="n">
        <v>183</v>
      </c>
      <c r="D53" s="13" t="n">
        <v>49251</v>
      </c>
      <c r="E53" s="13">
        <f>IF($D53="","",IFERROR(IF(ISBLANK(INDIRECT("'"&amp;$Q$2&amp;"'!D"&amp;ROW())),"",INDIRECT("'"&amp;$Q$2&amp;"'!D"&amp;ROW())),""))</f>
        <v/>
      </c>
      <c r="F53" s="15" t="n"/>
      <c r="G53" s="16" t="n"/>
      <c r="H53" s="13" t="n">
        <v>30</v>
      </c>
      <c r="I53" s="13">
        <f>IF($H53="","",IFERROR(IF(ISBLANK(INDIRECT("'"&amp;$Q$2&amp;"'!H"&amp;ROW())),"",INDIRECT("'"&amp;$Q$2&amp;"'!H"&amp;ROW())),""))</f>
        <v/>
      </c>
      <c r="J53" s="15" t="n"/>
      <c r="K53" s="16" t="n"/>
      <c r="L53" s="13">
        <f>IFERROR(D53/C53,"")</f>
        <v/>
      </c>
      <c r="M53" s="13">
        <f>IFERROR(H53/D53*1000,"")</f>
        <v/>
      </c>
      <c r="N53" s="13" t="n">
        <v>4826</v>
      </c>
      <c r="O53" s="15" t="n">
        <v>-19</v>
      </c>
      <c r="P53" s="2" t="n"/>
      <c r="Q53" s="2" t="n"/>
      <c r="R53" s="2" t="n"/>
      <c r="S53" s="18">
        <f>IFERROR(IF(ISBLANK(INDIRECT("'"&amp;$Q$2&amp;"'!G"&amp;ROW())),"",INDIRECT("'"&amp;$Q$2&amp;"'!G"&amp;ROW())),"")</f>
        <v/>
      </c>
      <c r="T53" s="20">
        <f>IF(OR($G53="",$S53=""),"",$G53-$S53)</f>
        <v/>
      </c>
      <c r="U53" s="18">
        <f>IFERROR(IF(ISBLANK(INDIRECT("'"&amp;$Q$2&amp;"'!K"&amp;ROW())),"",INDIRECT("'"&amp;$Q$2&amp;"'!K"&amp;ROW())),"")</f>
        <v/>
      </c>
      <c r="V53" s="20">
        <f>IF(OR($K53="",$U53=""),"",$K53-$U53)</f>
        <v/>
      </c>
      <c r="W53" s="21">
        <f>IFERROR(IF(ISBLANK(INDIRECT("'"&amp;$Q$2&amp;"'!O"&amp;ROW())),"",INDIRECT("'"&amp;$Q$2&amp;"'!O"&amp;ROW())),"")</f>
        <v/>
      </c>
      <c r="X53" s="21">
        <f>IF(OR($O53="",$W53=""),"",$O53-$W53)</f>
        <v/>
      </c>
      <c r="Y53" s="2" t="n"/>
      <c r="Z53" s="2" t="n"/>
    </row>
    <row r="54" ht="14.25" customHeight="1" s="58">
      <c r="A54" s="12" t="inlineStr">
        <is>
          <t>Telegram</t>
        </is>
      </c>
      <c r="B54" s="12" t="inlineStr">
        <is>
          <t>Красный Север</t>
        </is>
      </c>
      <c r="C54" s="13" t="n">
        <v>87</v>
      </c>
      <c r="D54" s="13" t="n">
        <v>2006</v>
      </c>
      <c r="E54" s="13">
        <f>IF($D54="","",IFERROR(IF(ISBLANK(INDIRECT("'"&amp;$Q$2&amp;"'!D"&amp;ROW())),"",INDIRECT("'"&amp;$Q$2&amp;"'!D"&amp;ROW())),""))</f>
        <v/>
      </c>
      <c r="F54" s="15" t="n"/>
      <c r="G54" s="16" t="n"/>
      <c r="H54" s="13" t="n">
        <v>6</v>
      </c>
      <c r="I54" s="13">
        <f>IF($H54="","",IFERROR(IF(ISBLANK(INDIRECT("'"&amp;$Q$2&amp;"'!H"&amp;ROW())),"",INDIRECT("'"&amp;$Q$2&amp;"'!H"&amp;ROW())),""))</f>
        <v/>
      </c>
      <c r="J54" s="15" t="n"/>
      <c r="K54" s="16" t="n"/>
      <c r="L54" s="13">
        <f>IFERROR(D54/C54,"")</f>
        <v/>
      </c>
      <c r="M54" s="13">
        <f>IFERROR(H54/D54*1000,"")</f>
        <v/>
      </c>
      <c r="N54" s="13" t="n">
        <v>872</v>
      </c>
      <c r="O54" s="15" t="n">
        <v>-3</v>
      </c>
      <c r="P54" s="2" t="n"/>
      <c r="Q54" s="2" t="n"/>
      <c r="R54" s="2" t="n"/>
      <c r="S54" s="18">
        <f>IFERROR(IF(ISBLANK(INDIRECT("'"&amp;$Q$2&amp;"'!G"&amp;ROW())),"",INDIRECT("'"&amp;$Q$2&amp;"'!G"&amp;ROW())),"")</f>
        <v/>
      </c>
      <c r="T54" s="20">
        <f>IF(OR($G54="",$S54=""),"",$G54-$S54)</f>
        <v/>
      </c>
      <c r="U54" s="18">
        <f>IFERROR(IF(ISBLANK(INDIRECT("'"&amp;$Q$2&amp;"'!K"&amp;ROW())),"",INDIRECT("'"&amp;$Q$2&amp;"'!K"&amp;ROW())),"")</f>
        <v/>
      </c>
      <c r="V54" s="20">
        <f>IF(OR($K54="",$U54=""),"",$K54-$U54)</f>
        <v/>
      </c>
      <c r="W54" s="21">
        <f>IFERROR(IF(ISBLANK(INDIRECT("'"&amp;$Q$2&amp;"'!O"&amp;ROW())),"",INDIRECT("'"&amp;$Q$2&amp;"'!O"&amp;ROW())),"")</f>
        <v/>
      </c>
      <c r="X54" s="21">
        <f>IF(OR($O54="",$W54=""),"",$O54-$W54)</f>
        <v/>
      </c>
      <c r="Y54" s="2" t="n"/>
      <c r="Z54" s="2" t="n"/>
    </row>
    <row r="55" ht="14.25" customHeight="1" s="58">
      <c r="A55" s="12" t="inlineStr">
        <is>
          <t>Telegram</t>
        </is>
      </c>
      <c r="B55" s="12" t="inlineStr">
        <is>
          <t>СМП</t>
        </is>
      </c>
      <c r="C55" s="13" t="n">
        <v>8</v>
      </c>
      <c r="D55" s="13" t="n">
        <v>23655</v>
      </c>
      <c r="E55" s="13">
        <f>IF($D55="","",IFERROR(IF(ISBLANK(INDIRECT("'"&amp;$Q$2&amp;"'!D"&amp;ROW())),"",INDIRECT("'"&amp;$Q$2&amp;"'!D"&amp;ROW())),""))</f>
        <v/>
      </c>
      <c r="F55" s="15" t="n"/>
      <c r="G55" s="16" t="n"/>
      <c r="H55" s="13" t="n">
        <v>22</v>
      </c>
      <c r="I55" s="13">
        <f>IF($H55="","",IFERROR(IF(ISBLANK(INDIRECT("'"&amp;$Q$2&amp;"'!H"&amp;ROW())),"",INDIRECT("'"&amp;$Q$2&amp;"'!H"&amp;ROW())),""))</f>
        <v/>
      </c>
      <c r="J55" s="15" t="n"/>
      <c r="K55" s="16" t="n"/>
      <c r="L55" s="13">
        <f>IFERROR(D55/C55,"")</f>
        <v/>
      </c>
      <c r="M55" s="13">
        <f>IFERROR(H55/D55*1000,"")</f>
        <v/>
      </c>
      <c r="N55" s="13" t="n">
        <v>13886</v>
      </c>
      <c r="O55" s="15" t="n">
        <v>-175</v>
      </c>
      <c r="P55" s="2" t="n"/>
      <c r="Q55" s="2" t="n"/>
      <c r="R55" s="2" t="n"/>
      <c r="S55" s="18">
        <f>IFERROR(IF(ISBLANK(INDIRECT("'"&amp;$Q$2&amp;"'!G"&amp;ROW())),"",INDIRECT("'"&amp;$Q$2&amp;"'!G"&amp;ROW())),"")</f>
        <v/>
      </c>
      <c r="T55" s="20">
        <f>IF(OR($G55="",$S55=""),"",$G55-$S55)</f>
        <v/>
      </c>
      <c r="U55" s="18">
        <f>IFERROR(IF(ISBLANK(INDIRECT("'"&amp;$Q$2&amp;"'!K"&amp;ROW())),"",INDIRECT("'"&amp;$Q$2&amp;"'!K"&amp;ROW())),"")</f>
        <v/>
      </c>
      <c r="V55" s="20">
        <f>IF(OR($K55="",$U55=""),"",$K55-$U55)</f>
        <v/>
      </c>
      <c r="W55" s="21">
        <f>IFERROR(IF(ISBLANK(INDIRECT("'"&amp;$Q$2&amp;"'!O"&amp;ROW())),"",INDIRECT("'"&amp;$Q$2&amp;"'!O"&amp;ROW())),"")</f>
        <v/>
      </c>
      <c r="X55" s="21">
        <f>IF(OR($O55="",$W55=""),"",$O55-$W55)</f>
        <v/>
      </c>
      <c r="Y55" s="2" t="n"/>
      <c r="Z55" s="2" t="n"/>
    </row>
    <row r="56" ht="14.25" customHeight="1" s="58">
      <c r="A56" s="12" t="inlineStr">
        <is>
          <t>Telegram</t>
        </is>
      </c>
      <c r="B56" s="12" t="inlineStr">
        <is>
          <t>СШХ</t>
        </is>
      </c>
      <c r="C56" s="13" t="n">
        <v>7</v>
      </c>
      <c r="D56" s="13" t="n">
        <v>400</v>
      </c>
      <c r="E56" s="13">
        <f>IF($D56="","",IFERROR(IF(ISBLANK(INDIRECT("'"&amp;$Q$2&amp;"'!D"&amp;ROW())),"",INDIRECT("'"&amp;$Q$2&amp;"'!D"&amp;ROW())),""))</f>
        <v/>
      </c>
      <c r="F56" s="15" t="n"/>
      <c r="G56" s="16" t="n"/>
      <c r="H56" s="13" t="n">
        <v>3</v>
      </c>
      <c r="I56" s="13">
        <f>IF($H56="","",IFERROR(IF(ISBLANK(INDIRECT("'"&amp;$Q$2&amp;"'!H"&amp;ROW())),"",INDIRECT("'"&amp;$Q$2&amp;"'!H"&amp;ROW())),""))</f>
        <v/>
      </c>
      <c r="J56" s="15" t="n"/>
      <c r="K56" s="16" t="n"/>
      <c r="L56" s="13">
        <f>IFERROR(D56/C56,"")</f>
        <v/>
      </c>
      <c r="M56" s="13">
        <f>IFERROR(H56/D56*1000,"")</f>
        <v/>
      </c>
      <c r="N56" s="13" t="n">
        <v>8685</v>
      </c>
      <c r="O56" s="15" t="n">
        <v>-83</v>
      </c>
      <c r="P56" s="2" t="n"/>
      <c r="Q56" s="2" t="n"/>
      <c r="R56" s="2" t="n"/>
      <c r="S56" s="18">
        <f>IFERROR(IF(ISBLANK(INDIRECT("'"&amp;$Q$2&amp;"'!G"&amp;ROW())),"",INDIRECT("'"&amp;$Q$2&amp;"'!G"&amp;ROW())),"")</f>
        <v/>
      </c>
      <c r="T56" s="20">
        <f>IF(OR($G56="",$S56=""),"",$G56-$S56)</f>
        <v/>
      </c>
      <c r="U56" s="18">
        <f>IFERROR(IF(ISBLANK(INDIRECT("'"&amp;$Q$2&amp;"'!K"&amp;ROW())),"",INDIRECT("'"&amp;$Q$2&amp;"'!K"&amp;ROW())),"")</f>
        <v/>
      </c>
      <c r="V56" s="20">
        <f>IF(OR($K56="",$U56=""),"",$K56-$U56)</f>
        <v/>
      </c>
      <c r="W56" s="21">
        <f>IFERROR(IF(ISBLANK(INDIRECT("'"&amp;$Q$2&amp;"'!O"&amp;ROW())),"",INDIRECT("'"&amp;$Q$2&amp;"'!O"&amp;ROW())),"")</f>
        <v/>
      </c>
      <c r="X56" s="21">
        <f>IF(OR($O56="",$W56=""),"",$O56-$W56)</f>
        <v/>
      </c>
      <c r="Y56" s="2" t="n"/>
      <c r="Z56" s="2" t="n"/>
    </row>
    <row r="57" ht="14.25" customHeight="1" s="58">
      <c r="A57" s="12" t="inlineStr">
        <is>
          <t>Telegram</t>
        </is>
      </c>
      <c r="B57" s="12" t="inlineStr">
        <is>
          <t>Новый Уренгой</t>
        </is>
      </c>
      <c r="C57" s="13" t="n">
        <v>100</v>
      </c>
      <c r="D57" s="13" t="n">
        <v>64144</v>
      </c>
      <c r="E57" s="13">
        <f>IF($D57="","",IFERROR(IF(ISBLANK(INDIRECT("'"&amp;$Q$2&amp;"'!D"&amp;ROW())),"",INDIRECT("'"&amp;$Q$2&amp;"'!D"&amp;ROW())),""))</f>
        <v/>
      </c>
      <c r="F57" s="15" t="n"/>
      <c r="G57" s="16" t="n"/>
      <c r="H57" s="13" t="n">
        <v>273</v>
      </c>
      <c r="I57" s="13">
        <f>IF($H57="","",IFERROR(IF(ISBLANK(INDIRECT("'"&amp;$Q$2&amp;"'!H"&amp;ROW())),"",INDIRECT("'"&amp;$Q$2&amp;"'!H"&amp;ROW())),""))</f>
        <v/>
      </c>
      <c r="J57" s="15" t="n"/>
      <c r="K57" s="16" t="n"/>
      <c r="L57" s="13">
        <f>IFERROR(D57/C57,"")</f>
        <v/>
      </c>
      <c r="M57" s="13">
        <f>IFERROR(H57/D57*1000,"")</f>
        <v/>
      </c>
      <c r="N57" s="13" t="n">
        <v>10863</v>
      </c>
      <c r="O57" s="15" t="n">
        <v>-35</v>
      </c>
      <c r="P57" s="2" t="n"/>
      <c r="Q57" s="2" t="n"/>
      <c r="R57" s="2" t="n"/>
      <c r="S57" s="18">
        <f>IFERROR(IF(ISBLANK(INDIRECT("'"&amp;$Q$2&amp;"'!G"&amp;ROW())),"",INDIRECT("'"&amp;$Q$2&amp;"'!G"&amp;ROW())),"")</f>
        <v/>
      </c>
      <c r="T57" s="20">
        <f>IF(OR($G57="",$S57=""),"",$G57-$S57)</f>
        <v/>
      </c>
      <c r="U57" s="18">
        <f>IFERROR(IF(ISBLANK(INDIRECT("'"&amp;$Q$2&amp;"'!K"&amp;ROW())),"",INDIRECT("'"&amp;$Q$2&amp;"'!K"&amp;ROW())),"")</f>
        <v/>
      </c>
      <c r="V57" s="20">
        <f>IF(OR($K57="",$U57=""),"",$K57-$U57)</f>
        <v/>
      </c>
      <c r="W57" s="21">
        <f>IFERROR(IF(ISBLANK(INDIRECT("'"&amp;$Q$2&amp;"'!O"&amp;ROW())),"",INDIRECT("'"&amp;$Q$2&amp;"'!O"&amp;ROW())),"")</f>
        <v/>
      </c>
      <c r="X57" s="21">
        <f>IF(OR($O57="",$W57=""),"",$O57-$W57)</f>
        <v/>
      </c>
      <c r="Y57" s="2" t="n"/>
      <c r="Z57" s="2" t="n"/>
    </row>
    <row r="58" ht="14.25" customHeight="1" s="58">
      <c r="A58" s="12" t="inlineStr">
        <is>
          <t>Telegram</t>
        </is>
      </c>
      <c r="B58" s="12" t="inlineStr">
        <is>
          <t>Надым</t>
        </is>
      </c>
      <c r="C58" s="13" t="n">
        <v>101</v>
      </c>
      <c r="D58" s="13" t="n">
        <v>22193</v>
      </c>
      <c r="E58" s="13">
        <f>IF($D58="","",IFERROR(IF(ISBLANK(INDIRECT("'"&amp;$Q$2&amp;"'!D"&amp;ROW())),"",INDIRECT("'"&amp;$Q$2&amp;"'!D"&amp;ROW())),""))</f>
        <v/>
      </c>
      <c r="F58" s="15" t="n"/>
      <c r="G58" s="16" t="n"/>
      <c r="H58" s="13" t="n">
        <v>271</v>
      </c>
      <c r="I58" s="13">
        <f>IF($H58="","",IFERROR(IF(ISBLANK(INDIRECT("'"&amp;$Q$2&amp;"'!H"&amp;ROW())),"",INDIRECT("'"&amp;$Q$2&amp;"'!H"&amp;ROW())),""))</f>
        <v/>
      </c>
      <c r="J58" s="15" t="n"/>
      <c r="K58" s="16" t="n"/>
      <c r="L58" s="13">
        <f>IFERROR(D58/C58,"")</f>
        <v/>
      </c>
      <c r="M58" s="13">
        <f>IFERROR(H58/D58*1000,"")</f>
        <v/>
      </c>
      <c r="N58" s="13" t="n">
        <v>4149</v>
      </c>
      <c r="O58" s="15" t="n">
        <v>-33</v>
      </c>
      <c r="P58" s="2" t="n"/>
      <c r="Q58" s="2" t="n"/>
      <c r="R58" s="2" t="n"/>
      <c r="S58" s="18">
        <f>IFERROR(IF(ISBLANK(INDIRECT("'"&amp;$Q$2&amp;"'!G"&amp;ROW())),"",INDIRECT("'"&amp;$Q$2&amp;"'!G"&amp;ROW())),"")</f>
        <v/>
      </c>
      <c r="T58" s="20">
        <f>IF(OR($G58="",$S58=""),"",$G58-$S58)</f>
        <v/>
      </c>
      <c r="U58" s="18">
        <f>IFERROR(IF(ISBLANK(INDIRECT("'"&amp;$Q$2&amp;"'!K"&amp;ROW())),"",INDIRECT("'"&amp;$Q$2&amp;"'!K"&amp;ROW())),"")</f>
        <v/>
      </c>
      <c r="V58" s="20">
        <f>IF(OR($K58="",$U58=""),"",$K58-$U58)</f>
        <v/>
      </c>
      <c r="W58" s="21">
        <f>IFERROR(IF(ISBLANK(INDIRECT("'"&amp;$Q$2&amp;"'!O"&amp;ROW())),"",INDIRECT("'"&amp;$Q$2&amp;"'!O"&amp;ROW())),"")</f>
        <v/>
      </c>
      <c r="X58" s="21">
        <f>IF(OR($O58="",$W58=""),"",$O58-$W58)</f>
        <v/>
      </c>
      <c r="Y58" s="2" t="n"/>
      <c r="Z58" s="2" t="n"/>
    </row>
    <row r="59" ht="14.25" customHeight="1" s="58">
      <c r="A59" s="12" t="inlineStr">
        <is>
          <t>Telegram</t>
        </is>
      </c>
      <c r="B59" s="12" t="inlineStr">
        <is>
          <t>Ноябрьск</t>
        </is>
      </c>
      <c r="C59" s="13" t="n">
        <v>87</v>
      </c>
      <c r="D59" s="13" t="n">
        <v>30533</v>
      </c>
      <c r="E59" s="13">
        <f>IF($D59="","",IFERROR(IF(ISBLANK(INDIRECT("'"&amp;$Q$2&amp;"'!D"&amp;ROW())),"",INDIRECT("'"&amp;$Q$2&amp;"'!D"&amp;ROW())),""))</f>
        <v/>
      </c>
      <c r="F59" s="15" t="n"/>
      <c r="G59" s="16" t="n"/>
      <c r="H59" s="13" t="n">
        <v>190</v>
      </c>
      <c r="I59" s="13">
        <f>IF($H59="","",IFERROR(IF(ISBLANK(INDIRECT("'"&amp;$Q$2&amp;"'!H"&amp;ROW())),"",INDIRECT("'"&amp;$Q$2&amp;"'!H"&amp;ROW())),""))</f>
        <v/>
      </c>
      <c r="J59" s="15" t="n"/>
      <c r="K59" s="16" t="n"/>
      <c r="L59" s="13">
        <f>IFERROR(D59/C59,"")</f>
        <v/>
      </c>
      <c r="M59" s="13">
        <f>IFERROR(H59/D59*1000,"")</f>
        <v/>
      </c>
      <c r="N59" s="13" t="n">
        <v>5551</v>
      </c>
      <c r="O59" s="15" t="n">
        <v>-42</v>
      </c>
      <c r="P59" s="2" t="n"/>
      <c r="Q59" s="2" t="n"/>
      <c r="R59" s="2" t="n"/>
      <c r="S59" s="18">
        <f>IFERROR(IF(ISBLANK(INDIRECT("'"&amp;$Q$2&amp;"'!G"&amp;ROW())),"",INDIRECT("'"&amp;$Q$2&amp;"'!G"&amp;ROW())),"")</f>
        <v/>
      </c>
      <c r="T59" s="20">
        <f>IF(OR($G59="",$S59=""),"",$G59-$S59)</f>
        <v/>
      </c>
      <c r="U59" s="18">
        <f>IFERROR(IF(ISBLANK(INDIRECT("'"&amp;$Q$2&amp;"'!K"&amp;ROW())),"",INDIRECT("'"&amp;$Q$2&amp;"'!K"&amp;ROW())),"")</f>
        <v/>
      </c>
      <c r="V59" s="20">
        <f>IF(OR($K59="",$U59=""),"",$K59-$U59)</f>
        <v/>
      </c>
      <c r="W59" s="21">
        <f>IFERROR(IF(ISBLANK(INDIRECT("'"&amp;$Q$2&amp;"'!O"&amp;ROW())),"",INDIRECT("'"&amp;$Q$2&amp;"'!O"&amp;ROW())),"")</f>
        <v/>
      </c>
      <c r="X59" s="21">
        <f>IF(OR($O59="",$W59=""),"",$O59-$W59)</f>
        <v/>
      </c>
      <c r="Y59" s="2" t="n"/>
      <c r="Z59" s="2" t="n"/>
    </row>
    <row r="60" ht="14.25" customHeight="1" s="58">
      <c r="A60" s="12" t="inlineStr">
        <is>
          <t>Telegram</t>
        </is>
      </c>
      <c r="B60" s="12" t="inlineStr">
        <is>
          <t>Салехард</t>
        </is>
      </c>
      <c r="C60" s="13" t="n">
        <v>97</v>
      </c>
      <c r="D60" s="13" t="n">
        <v>48843</v>
      </c>
      <c r="E60" s="13">
        <f>IF($D60="","",IFERROR(IF(ISBLANK(INDIRECT("'"&amp;$Q$2&amp;"'!D"&amp;ROW())),"",INDIRECT("'"&amp;$Q$2&amp;"'!D"&amp;ROW())),""))</f>
        <v/>
      </c>
      <c r="F60" s="15" t="n"/>
      <c r="G60" s="16" t="n"/>
      <c r="H60" s="13" t="n">
        <v>202</v>
      </c>
      <c r="I60" s="13">
        <f>IF($H60="","",IFERROR(IF(ISBLANK(INDIRECT("'"&amp;$Q$2&amp;"'!H"&amp;ROW())),"",INDIRECT("'"&amp;$Q$2&amp;"'!H"&amp;ROW())),""))</f>
        <v/>
      </c>
      <c r="J60" s="15" t="n"/>
      <c r="K60" s="16" t="n"/>
      <c r="L60" s="13">
        <f>IFERROR(D60/C60,"")</f>
        <v/>
      </c>
      <c r="M60" s="13">
        <f>IFERROR(H60/D60*1000,"")</f>
        <v/>
      </c>
      <c r="N60" s="13" t="n">
        <v>10486</v>
      </c>
      <c r="O60" s="15" t="n">
        <v>-42</v>
      </c>
      <c r="P60" s="2" t="n"/>
      <c r="Q60" s="2" t="n"/>
      <c r="R60" s="2" t="n"/>
      <c r="S60" s="18">
        <f>IFERROR(IF(ISBLANK(INDIRECT("'"&amp;$Q$2&amp;"'!G"&amp;ROW())),"",INDIRECT("'"&amp;$Q$2&amp;"'!G"&amp;ROW())),"")</f>
        <v/>
      </c>
      <c r="T60" s="20">
        <f>IF(OR($G60="",$S60=""),"",$G60-$S60)</f>
        <v/>
      </c>
      <c r="U60" s="18">
        <f>IFERROR(IF(ISBLANK(INDIRECT("'"&amp;$Q$2&amp;"'!K"&amp;ROW())),"",INDIRECT("'"&amp;$Q$2&amp;"'!K"&amp;ROW())),"")</f>
        <v/>
      </c>
      <c r="V60" s="20">
        <f>IF(OR($K60="",$U60=""),"",$K60-$U60)</f>
        <v/>
      </c>
      <c r="W60" s="21">
        <f>IFERROR(IF(ISBLANK(INDIRECT("'"&amp;$Q$2&amp;"'!O"&amp;ROW())),"",INDIRECT("'"&amp;$Q$2&amp;"'!O"&amp;ROW())),"")</f>
        <v/>
      </c>
      <c r="X60" s="21">
        <f>IF(OR($O60="",$W60=""),"",$O60-$W60)</f>
        <v/>
      </c>
      <c r="Y60" s="2" t="n"/>
      <c r="Z60" s="2" t="n"/>
    </row>
    <row r="61" ht="14.25" customHeight="1" s="58">
      <c r="A61" s="12" t="inlineStr">
        <is>
          <t>Telegram</t>
        </is>
      </c>
      <c r="B61" s="12" t="inlineStr">
        <is>
          <t>Приуралье</t>
        </is>
      </c>
      <c r="C61" s="13" t="n">
        <v>95</v>
      </c>
      <c r="D61" s="13" t="n">
        <v>13697</v>
      </c>
      <c r="E61" s="13">
        <f>IF($D61="","",IFERROR(IF(ISBLANK(INDIRECT("'"&amp;$Q$2&amp;"'!D"&amp;ROW())),"",INDIRECT("'"&amp;$Q$2&amp;"'!D"&amp;ROW())),""))</f>
        <v/>
      </c>
      <c r="F61" s="15" t="n"/>
      <c r="G61" s="16" t="n"/>
      <c r="H61" s="13" t="n">
        <v>21</v>
      </c>
      <c r="I61" s="13">
        <f>IF($H61="","",IFERROR(IF(ISBLANK(INDIRECT("'"&amp;$Q$2&amp;"'!H"&amp;ROW())),"",INDIRECT("'"&amp;$Q$2&amp;"'!H"&amp;ROW())),""))</f>
        <v/>
      </c>
      <c r="J61" s="15" t="n"/>
      <c r="K61" s="16" t="n"/>
      <c r="L61" s="13">
        <f>IFERROR(D61/C61,"")</f>
        <v/>
      </c>
      <c r="M61" s="13">
        <f>IFERROR(H61/D61*1000,"")</f>
        <v/>
      </c>
      <c r="N61" s="13" t="n">
        <v>2319</v>
      </c>
      <c r="O61" s="15" t="n">
        <v>-22</v>
      </c>
      <c r="P61" s="2" t="n"/>
      <c r="Q61" s="2" t="n"/>
      <c r="R61" s="2" t="n"/>
      <c r="S61" s="18">
        <f>IFERROR(IF(ISBLANK(INDIRECT("'"&amp;$Q$2&amp;"'!G"&amp;ROW())),"",INDIRECT("'"&amp;$Q$2&amp;"'!G"&amp;ROW())),"")</f>
        <v/>
      </c>
      <c r="T61" s="20">
        <f>IF(OR($G61="",$S61=""),"",$G61-$S61)</f>
        <v/>
      </c>
      <c r="U61" s="18">
        <f>IFERROR(IF(ISBLANK(INDIRECT("'"&amp;$Q$2&amp;"'!K"&amp;ROW())),"",INDIRECT("'"&amp;$Q$2&amp;"'!K"&amp;ROW())),"")</f>
        <v/>
      </c>
      <c r="V61" s="20">
        <f>IF(OR($K61="",$U61=""),"",$K61-$U61)</f>
        <v/>
      </c>
      <c r="W61" s="21">
        <f>IFERROR(IF(ISBLANK(INDIRECT("'"&amp;$Q$2&amp;"'!O"&amp;ROW())),"",INDIRECT("'"&amp;$Q$2&amp;"'!O"&amp;ROW())),"")</f>
        <v/>
      </c>
      <c r="X61" s="21">
        <f>IF(OR($O61="",$W61=""),"",$O61-$W61)</f>
        <v/>
      </c>
      <c r="Y61" s="2" t="n"/>
      <c r="Z61" s="2" t="n"/>
    </row>
    <row r="62" ht="14.25" customHeight="1" s="58">
      <c r="A62" s="12" t="inlineStr">
        <is>
          <t>Telegram</t>
        </is>
      </c>
      <c r="B62" s="12" t="inlineStr">
        <is>
          <t>Лабытнанги</t>
        </is>
      </c>
      <c r="C62" s="13" t="n">
        <v>61</v>
      </c>
      <c r="D62" s="13" t="n">
        <v>4841</v>
      </c>
      <c r="E62" s="13">
        <f>IF($D62="","",IFERROR(IF(ISBLANK(INDIRECT("'"&amp;$Q$2&amp;"'!D"&amp;ROW())),"",INDIRECT("'"&amp;$Q$2&amp;"'!D"&amp;ROW())),""))</f>
        <v/>
      </c>
      <c r="F62" s="15" t="n"/>
      <c r="G62" s="16" t="n"/>
      <c r="H62" s="13" t="n">
        <v>42</v>
      </c>
      <c r="I62" s="13">
        <f>IF($H62="","",IFERROR(IF(ISBLANK(INDIRECT("'"&amp;$Q$2&amp;"'!H"&amp;ROW())),"",INDIRECT("'"&amp;$Q$2&amp;"'!H"&amp;ROW())),""))</f>
        <v/>
      </c>
      <c r="J62" s="15" t="n"/>
      <c r="K62" s="16" t="n"/>
      <c r="L62" s="13">
        <f>IFERROR(D62/C62,"")</f>
        <v/>
      </c>
      <c r="M62" s="13">
        <f>IFERROR(H62/D62*1000,"")</f>
        <v/>
      </c>
      <c r="N62" s="13" t="n">
        <v>1381</v>
      </c>
      <c r="O62" s="15" t="n">
        <v>-9</v>
      </c>
      <c r="P62" s="2" t="n"/>
      <c r="Q62" s="2" t="n"/>
      <c r="R62" s="2" t="n"/>
      <c r="S62" s="18">
        <f>IFERROR(IF(ISBLANK(INDIRECT("'"&amp;$Q$2&amp;"'!G"&amp;ROW())),"",INDIRECT("'"&amp;$Q$2&amp;"'!G"&amp;ROW())),"")</f>
        <v/>
      </c>
      <c r="T62" s="20">
        <f>IF(OR($G62="",$S62=""),"",$G62-$S62)</f>
        <v/>
      </c>
      <c r="U62" s="18">
        <f>IFERROR(IF(ISBLANK(INDIRECT("'"&amp;$Q$2&amp;"'!K"&amp;ROW())),"",INDIRECT("'"&amp;$Q$2&amp;"'!K"&amp;ROW())),"")</f>
        <v/>
      </c>
      <c r="V62" s="20">
        <f>IF(OR($K62="",$U62=""),"",$K62-$U62)</f>
        <v/>
      </c>
      <c r="W62" s="21">
        <f>IFERROR(IF(ISBLANK(INDIRECT("'"&amp;$Q$2&amp;"'!O"&amp;ROW())),"",INDIRECT("'"&amp;$Q$2&amp;"'!O"&amp;ROW())),"")</f>
        <v/>
      </c>
      <c r="X62" s="21">
        <f>IF(OR($O62="",$W62=""),"",$O62-$W62)</f>
        <v/>
      </c>
      <c r="Y62" s="2" t="n"/>
      <c r="Z62" s="2" t="n"/>
    </row>
    <row r="63" ht="14.25" customHeight="1" s="58">
      <c r="A63" s="12" t="inlineStr">
        <is>
          <t>Telegram</t>
        </is>
      </c>
      <c r="B63" s="12" t="inlineStr">
        <is>
          <t>Пуровский</t>
        </is>
      </c>
      <c r="C63" s="13" t="n">
        <v>53</v>
      </c>
      <c r="D63" s="13" t="n">
        <v>19888</v>
      </c>
      <c r="E63" s="13">
        <f>IF($D63="","",IFERROR(IF(ISBLANK(INDIRECT("'"&amp;$Q$2&amp;"'!D"&amp;ROW())),"",INDIRECT("'"&amp;$Q$2&amp;"'!D"&amp;ROW())),""))</f>
        <v/>
      </c>
      <c r="F63" s="15" t="n"/>
      <c r="G63" s="16" t="n"/>
      <c r="H63" s="13" t="n">
        <v>82</v>
      </c>
      <c r="I63" s="13">
        <f>IF($H63="","",IFERROR(IF(ISBLANK(INDIRECT("'"&amp;$Q$2&amp;"'!H"&amp;ROW())),"",INDIRECT("'"&amp;$Q$2&amp;"'!H"&amp;ROW())),""))</f>
        <v/>
      </c>
      <c r="J63" s="15" t="n"/>
      <c r="K63" s="16" t="n"/>
      <c r="L63" s="13">
        <f>IFERROR(D63/C63,"")</f>
        <v/>
      </c>
      <c r="M63" s="13">
        <f>IFERROR(H63/D63*1000,"")</f>
        <v/>
      </c>
      <c r="N63" s="13" t="n">
        <v>5686</v>
      </c>
      <c r="O63" s="15" t="n">
        <v>-75</v>
      </c>
      <c r="P63" s="2" t="n"/>
      <c r="Q63" s="2" t="n"/>
      <c r="R63" s="2" t="n"/>
      <c r="S63" s="18">
        <f>IFERROR(IF(ISBLANK(INDIRECT("'"&amp;$Q$2&amp;"'!G"&amp;ROW())),"",INDIRECT("'"&amp;$Q$2&amp;"'!G"&amp;ROW())),"")</f>
        <v/>
      </c>
      <c r="T63" s="20">
        <f>IF(OR($G63="",$S63=""),"",$G63-$S63)</f>
        <v/>
      </c>
      <c r="U63" s="18">
        <f>IFERROR(IF(ISBLANK(INDIRECT("'"&amp;$Q$2&amp;"'!K"&amp;ROW())),"",INDIRECT("'"&amp;$Q$2&amp;"'!K"&amp;ROW())),"")</f>
        <v/>
      </c>
      <c r="V63" s="20">
        <f>IF(OR($K63="",$U63=""),"",$K63-$U63)</f>
        <v/>
      </c>
      <c r="W63" s="21">
        <f>IFERROR(IF(ISBLANK(INDIRECT("'"&amp;$Q$2&amp;"'!O"&amp;ROW())),"",INDIRECT("'"&amp;$Q$2&amp;"'!O"&amp;ROW())),"")</f>
        <v/>
      </c>
      <c r="X63" s="21">
        <f>IF(OR($O63="",$W63=""),"",$O63-$W63)</f>
        <v/>
      </c>
      <c r="Y63" s="2" t="n"/>
      <c r="Z63" s="2" t="n"/>
    </row>
    <row r="64" ht="14.25" customHeight="1" s="58">
      <c r="A64" s="12" t="inlineStr">
        <is>
          <t>Telegram</t>
        </is>
      </c>
      <c r="B64" s="12" t="inlineStr">
        <is>
          <t>Тазовский</t>
        </is>
      </c>
      <c r="C64" s="13" t="n">
        <v>47</v>
      </c>
      <c r="D64" s="13" t="n">
        <v>4988</v>
      </c>
      <c r="E64" s="13">
        <f>IF($D64="","",IFERROR(IF(ISBLANK(INDIRECT("'"&amp;$Q$2&amp;"'!D"&amp;ROW())),"",INDIRECT("'"&amp;$Q$2&amp;"'!D"&amp;ROW())),""))</f>
        <v/>
      </c>
      <c r="F64" s="15" t="n"/>
      <c r="G64" s="16" t="n"/>
      <c r="H64" s="13" t="n">
        <v>11</v>
      </c>
      <c r="I64" s="13">
        <f>IF($H64="","",IFERROR(IF(ISBLANK(INDIRECT("'"&amp;$Q$2&amp;"'!H"&amp;ROW())),"",INDIRECT("'"&amp;$Q$2&amp;"'!H"&amp;ROW())),""))</f>
        <v/>
      </c>
      <c r="J64" s="15" t="n"/>
      <c r="K64" s="16" t="n"/>
      <c r="L64" s="13">
        <f>IFERROR(D64/C64,"")</f>
        <v/>
      </c>
      <c r="M64" s="13">
        <f>IFERROR(H64/D64*1000,"")</f>
        <v/>
      </c>
      <c r="N64" s="13" t="n">
        <v>1828</v>
      </c>
      <c r="O64" s="15" t="n">
        <v>-22</v>
      </c>
      <c r="P64" s="2" t="n"/>
      <c r="Q64" s="2" t="n"/>
      <c r="R64" s="2" t="n"/>
      <c r="S64" s="18">
        <f>IFERROR(IF(ISBLANK(INDIRECT("'"&amp;$Q$2&amp;"'!G"&amp;ROW())),"",INDIRECT("'"&amp;$Q$2&amp;"'!G"&amp;ROW())),"")</f>
        <v/>
      </c>
      <c r="T64" s="20">
        <f>IF(OR($G64="",$S64=""),"",$G64-$S64)</f>
        <v/>
      </c>
      <c r="U64" s="18">
        <f>IFERROR(IF(ISBLANK(INDIRECT("'"&amp;$Q$2&amp;"'!K"&amp;ROW())),"",INDIRECT("'"&amp;$Q$2&amp;"'!K"&amp;ROW())),"")</f>
        <v/>
      </c>
      <c r="V64" s="20">
        <f>IF(OR($K64="",$U64=""),"",$K64-$U64)</f>
        <v/>
      </c>
      <c r="W64" s="21">
        <f>IFERROR(IF(ISBLANK(INDIRECT("'"&amp;$Q$2&amp;"'!O"&amp;ROW())),"",INDIRECT("'"&amp;$Q$2&amp;"'!O"&amp;ROW())),"")</f>
        <v/>
      </c>
      <c r="X64" s="21">
        <f>IF(OR($O64="",$W64=""),"",$O64-$W64)</f>
        <v/>
      </c>
      <c r="Y64" s="2" t="n"/>
      <c r="Z64" s="2" t="n"/>
    </row>
    <row r="65" ht="14.25" customHeight="1" s="58">
      <c r="A65" s="12" t="inlineStr">
        <is>
          <t>Telegram</t>
        </is>
      </c>
      <c r="B65" s="12" t="inlineStr">
        <is>
          <t>Красноселькуп</t>
        </is>
      </c>
      <c r="C65" s="13" t="n">
        <v>32</v>
      </c>
      <c r="D65" s="13" t="n">
        <v>2643</v>
      </c>
      <c r="E65" s="13">
        <f>IF($D65="","",IFERROR(IF(ISBLANK(INDIRECT("'"&amp;$Q$2&amp;"'!D"&amp;ROW())),"",INDIRECT("'"&amp;$Q$2&amp;"'!D"&amp;ROW())),""))</f>
        <v/>
      </c>
      <c r="F65" s="15" t="n"/>
      <c r="G65" s="16" t="n"/>
      <c r="H65" s="13" t="n">
        <v>17</v>
      </c>
      <c r="I65" s="13">
        <f>IF($H65="","",IFERROR(IF(ISBLANK(INDIRECT("'"&amp;$Q$2&amp;"'!H"&amp;ROW())),"",INDIRECT("'"&amp;$Q$2&amp;"'!H"&amp;ROW())),""))</f>
        <v/>
      </c>
      <c r="J65" s="15" t="n"/>
      <c r="K65" s="16" t="n"/>
      <c r="L65" s="13">
        <f>IFERROR(D65/C65,"")</f>
        <v/>
      </c>
      <c r="M65" s="13">
        <f>IFERROR(H65/D65*1000,"")</f>
        <v/>
      </c>
      <c r="N65" s="13" t="n">
        <v>875</v>
      </c>
      <c r="O65" s="15" t="n">
        <v>-8</v>
      </c>
      <c r="P65" s="2" t="n"/>
      <c r="Q65" s="2" t="n"/>
      <c r="R65" s="2" t="n"/>
      <c r="S65" s="18">
        <f>IFERROR(IF(ISBLANK(INDIRECT("'"&amp;$Q$2&amp;"'!G"&amp;ROW())),"",INDIRECT("'"&amp;$Q$2&amp;"'!G"&amp;ROW())),"")</f>
        <v/>
      </c>
      <c r="T65" s="20">
        <f>IF(OR($G65="",$S65=""),"",$G65-$S65)</f>
        <v/>
      </c>
      <c r="U65" s="18">
        <f>IFERROR(IF(ISBLANK(INDIRECT("'"&amp;$Q$2&amp;"'!K"&amp;ROW())),"",INDIRECT("'"&amp;$Q$2&amp;"'!K"&amp;ROW())),"")</f>
        <v/>
      </c>
      <c r="V65" s="20">
        <f>IF(OR($K65="",$U65=""),"",$K65-$U65)</f>
        <v/>
      </c>
      <c r="W65" s="21">
        <f>IFERROR(IF(ISBLANK(INDIRECT("'"&amp;$Q$2&amp;"'!O"&amp;ROW())),"",INDIRECT("'"&amp;$Q$2&amp;"'!O"&amp;ROW())),"")</f>
        <v/>
      </c>
      <c r="X65" s="21">
        <f>IF(OR($O65="",$W65=""),"",$O65-$W65)</f>
        <v/>
      </c>
      <c r="Y65" s="2" t="n"/>
      <c r="Z65" s="2" t="n"/>
    </row>
    <row r="66" ht="14.25" customHeight="1" s="58">
      <c r="A66" s="12" t="inlineStr">
        <is>
          <t>Telegram</t>
        </is>
      </c>
      <c r="B66" s="12" t="inlineStr">
        <is>
          <t>Ямальский</t>
        </is>
      </c>
      <c r="C66" s="13" t="n">
        <v>52</v>
      </c>
      <c r="D66" s="13" t="n">
        <v>3485</v>
      </c>
      <c r="E66" s="13">
        <f>IF($D66="","",IFERROR(IF(ISBLANK(INDIRECT("'"&amp;$Q$2&amp;"'!D"&amp;ROW())),"",INDIRECT("'"&amp;$Q$2&amp;"'!D"&amp;ROW())),""))</f>
        <v/>
      </c>
      <c r="F66" s="15" t="n"/>
      <c r="G66" s="16" t="n"/>
      <c r="H66" s="13" t="n">
        <v>5</v>
      </c>
      <c r="I66" s="13">
        <f>IF($H66="","",IFERROR(IF(ISBLANK(INDIRECT("'"&amp;$Q$2&amp;"'!H"&amp;ROW())),"",INDIRECT("'"&amp;$Q$2&amp;"'!H"&amp;ROW())),""))</f>
        <v/>
      </c>
      <c r="J66" s="15" t="n"/>
      <c r="K66" s="16" t="n"/>
      <c r="L66" s="13">
        <f>IFERROR(D66/C66,"")</f>
        <v/>
      </c>
      <c r="M66" s="13">
        <f>IFERROR(H66/D66*1000,"")</f>
        <v/>
      </c>
      <c r="N66" s="13" t="n">
        <v>863</v>
      </c>
      <c r="O66" s="15" t="n">
        <v>-17</v>
      </c>
      <c r="P66" s="2" t="n"/>
      <c r="Q66" s="2" t="n"/>
      <c r="R66" s="2" t="n"/>
      <c r="S66" s="18">
        <f>IFERROR(IF(ISBLANK(INDIRECT("'"&amp;$Q$2&amp;"'!G"&amp;ROW())),"",INDIRECT("'"&amp;$Q$2&amp;"'!G"&amp;ROW())),"")</f>
        <v/>
      </c>
      <c r="T66" s="20">
        <f>IF(OR($G66="",$S66=""),"",$G66-$S66)</f>
        <v/>
      </c>
      <c r="U66" s="18">
        <f>IFERROR(IF(ISBLANK(INDIRECT("'"&amp;$Q$2&amp;"'!K"&amp;ROW())),"",INDIRECT("'"&amp;$Q$2&amp;"'!K"&amp;ROW())),"")</f>
        <v/>
      </c>
      <c r="V66" s="20">
        <f>IF(OR($K66="",$U66=""),"",$K66-$U66)</f>
        <v/>
      </c>
      <c r="W66" s="21">
        <f>IFERROR(IF(ISBLANK(INDIRECT("'"&amp;$Q$2&amp;"'!O"&amp;ROW())),"",INDIRECT("'"&amp;$Q$2&amp;"'!O"&amp;ROW())),"")</f>
        <v/>
      </c>
      <c r="X66" s="21">
        <f>IF(OR($O66="",$W66=""),"",$O66-$W66)</f>
        <v/>
      </c>
      <c r="Y66" s="2" t="n"/>
      <c r="Z66" s="2" t="n"/>
    </row>
    <row r="67" ht="14.25" customHeight="1" s="58">
      <c r="A67" s="12" t="inlineStr">
        <is>
          <t>Telegram</t>
        </is>
      </c>
      <c r="B67" s="12" t="inlineStr">
        <is>
          <t>Шурышкарский</t>
        </is>
      </c>
      <c r="C67" s="13" t="n">
        <v>54</v>
      </c>
      <c r="D67" s="13" t="n">
        <v>6149</v>
      </c>
      <c r="E67" s="13">
        <f>IF($D67="","",IFERROR(IF(ISBLANK(INDIRECT("'"&amp;$Q$2&amp;"'!D"&amp;ROW())),"",INDIRECT("'"&amp;$Q$2&amp;"'!D"&amp;ROW())),""))</f>
        <v/>
      </c>
      <c r="F67" s="15" t="n"/>
      <c r="G67" s="16" t="n"/>
      <c r="H67" s="13" t="n">
        <v>34</v>
      </c>
      <c r="I67" s="13">
        <f>IF($H67="","",IFERROR(IF(ISBLANK(INDIRECT("'"&amp;$Q$2&amp;"'!H"&amp;ROW())),"",INDIRECT("'"&amp;$Q$2&amp;"'!H"&amp;ROW())),""))</f>
        <v/>
      </c>
      <c r="J67" s="15" t="n"/>
      <c r="K67" s="16" t="n"/>
      <c r="L67" s="13">
        <f>IFERROR(D67/C67,"")</f>
        <v/>
      </c>
      <c r="M67" s="13">
        <f>IFERROR(H67/D67*1000,"")</f>
        <v/>
      </c>
      <c r="N67" s="13" t="n">
        <v>1179</v>
      </c>
      <c r="O67" s="15" t="n"/>
      <c r="P67" s="2" t="n"/>
      <c r="Q67" s="2" t="n"/>
      <c r="R67" s="2" t="n"/>
      <c r="S67" s="18">
        <f>IFERROR(IF(ISBLANK(INDIRECT("'"&amp;$Q$2&amp;"'!G"&amp;ROW())),"",INDIRECT("'"&amp;$Q$2&amp;"'!G"&amp;ROW())),"")</f>
        <v/>
      </c>
      <c r="T67" s="20">
        <f>IF(OR($G67="",$S67=""),"",$G67-$S67)</f>
        <v/>
      </c>
      <c r="U67" s="18">
        <f>IFERROR(IF(ISBLANK(INDIRECT("'"&amp;$Q$2&amp;"'!K"&amp;ROW())),"",INDIRECT("'"&amp;$Q$2&amp;"'!K"&amp;ROW())),"")</f>
        <v/>
      </c>
      <c r="V67" s="20">
        <f>IF(OR($K67="",$U67=""),"",$K67-$U67)</f>
        <v/>
      </c>
      <c r="W67" s="21">
        <f>IFERROR(IF(ISBLANK(INDIRECT("'"&amp;$Q$2&amp;"'!O"&amp;ROW())),"",INDIRECT("'"&amp;$Q$2&amp;"'!O"&amp;ROW())),"")</f>
        <v/>
      </c>
      <c r="X67" s="21">
        <f>IF(OR($O67="",$W67=""),"",$O67-$W67)</f>
        <v/>
      </c>
      <c r="Y67" s="2" t="n"/>
      <c r="Z67" s="2" t="n"/>
    </row>
    <row r="68" ht="14.25" customHeight="1" s="58">
      <c r="A68" s="12" t="inlineStr">
        <is>
          <t>Telegram</t>
        </is>
      </c>
      <c r="B68" s="12" t="inlineStr">
        <is>
          <t>Муравленко</t>
        </is>
      </c>
      <c r="C68" s="13" t="n">
        <v>65</v>
      </c>
      <c r="D68" s="13" t="n">
        <v>19814</v>
      </c>
      <c r="E68" s="13">
        <f>IF($D68="","",IFERROR(IF(ISBLANK(INDIRECT("'"&amp;$Q$2&amp;"'!D"&amp;ROW())),"",INDIRECT("'"&amp;$Q$2&amp;"'!D"&amp;ROW())),""))</f>
        <v/>
      </c>
      <c r="F68" s="15" t="n"/>
      <c r="G68" s="16" t="n"/>
      <c r="H68" s="13" t="n">
        <v>71</v>
      </c>
      <c r="I68" s="13">
        <f>IF($H68="","",IFERROR(IF(ISBLANK(INDIRECT("'"&amp;$Q$2&amp;"'!H"&amp;ROW())),"",INDIRECT("'"&amp;$Q$2&amp;"'!H"&amp;ROW())),""))</f>
        <v/>
      </c>
      <c r="J68" s="15" t="n"/>
      <c r="K68" s="16" t="n"/>
      <c r="L68" s="13">
        <f>IFERROR(D68/C68,"")</f>
        <v/>
      </c>
      <c r="M68" s="13">
        <f>IFERROR(H68/D68*1000,"")</f>
        <v/>
      </c>
      <c r="N68" s="13" t="n">
        <v>4425</v>
      </c>
      <c r="O68" s="15" t="n">
        <v>-46</v>
      </c>
      <c r="P68" s="2" t="n"/>
      <c r="Q68" s="2" t="n"/>
      <c r="R68" s="2" t="n"/>
      <c r="S68" s="18">
        <f>IFERROR(IF(ISBLANK(INDIRECT("'"&amp;$Q$2&amp;"'!G"&amp;ROW())),"",INDIRECT("'"&amp;$Q$2&amp;"'!G"&amp;ROW())),"")</f>
        <v/>
      </c>
      <c r="T68" s="20">
        <f>IF(OR($G68="",$S68=""),"",$G68-$S68)</f>
        <v/>
      </c>
      <c r="U68" s="18">
        <f>IFERROR(IF(ISBLANK(INDIRECT("'"&amp;$Q$2&amp;"'!K"&amp;ROW())),"",INDIRECT("'"&amp;$Q$2&amp;"'!K"&amp;ROW())),"")</f>
        <v/>
      </c>
      <c r="V68" s="20">
        <f>IF(OR($K68="",$U68=""),"",$K68-$U68)</f>
        <v/>
      </c>
      <c r="W68" s="21">
        <f>IFERROR(IF(ISBLANK(INDIRECT("'"&amp;$Q$2&amp;"'!O"&amp;ROW())),"",INDIRECT("'"&amp;$Q$2&amp;"'!O"&amp;ROW())),"")</f>
        <v/>
      </c>
      <c r="X68" s="21">
        <f>IF(OR($O68="",$W68=""),"",$O68-$W68)</f>
        <v/>
      </c>
      <c r="Y68" s="2" t="n"/>
      <c r="Z68" s="2" t="n"/>
    </row>
    <row r="69" ht="14.25" customHeight="1" s="58">
      <c r="A69" s="12" t="inlineStr">
        <is>
          <t>Telegram</t>
        </is>
      </c>
      <c r="B69" s="12" t="inlineStr">
        <is>
          <t>Губкинский</t>
        </is>
      </c>
      <c r="C69" s="13" t="n">
        <v>116</v>
      </c>
      <c r="D69" s="13" t="n">
        <v>55540</v>
      </c>
      <c r="E69" s="13">
        <f>IF($D69="","",IFERROR(IF(ISBLANK(INDIRECT("'"&amp;$Q$2&amp;"'!D"&amp;ROW())),"",INDIRECT("'"&amp;$Q$2&amp;"'!D"&amp;ROW())),""))</f>
        <v/>
      </c>
      <c r="F69" s="15" t="n"/>
      <c r="G69" s="16" t="n"/>
      <c r="H69" s="13" t="n">
        <v>432</v>
      </c>
      <c r="I69" s="13">
        <f>IF($H69="","",IFERROR(IF(ISBLANK(INDIRECT("'"&amp;$Q$2&amp;"'!H"&amp;ROW())),"",INDIRECT("'"&amp;$Q$2&amp;"'!H"&amp;ROW())),""))</f>
        <v/>
      </c>
      <c r="J69" s="15" t="n"/>
      <c r="K69" s="16" t="n"/>
      <c r="L69" s="13">
        <f>IFERROR(D69/C69,"")</f>
        <v/>
      </c>
      <c r="M69" s="13">
        <f>IFERROR(H69/D69*1000,"")</f>
        <v/>
      </c>
      <c r="N69" s="13" t="n">
        <v>5570</v>
      </c>
      <c r="O69" s="15" t="n">
        <v>-122</v>
      </c>
      <c r="P69" s="2" t="n"/>
      <c r="Q69" s="2" t="n"/>
      <c r="R69" s="2" t="n"/>
      <c r="S69" s="18">
        <f>IFERROR(IF(ISBLANK(INDIRECT("'"&amp;$Q$2&amp;"'!G"&amp;ROW())),"",INDIRECT("'"&amp;$Q$2&amp;"'!G"&amp;ROW())),"")</f>
        <v/>
      </c>
      <c r="T69" s="20">
        <f>IF(OR($G69="",$S69=""),"",$G69-$S69)</f>
        <v/>
      </c>
      <c r="U69" s="18">
        <f>IFERROR(IF(ISBLANK(INDIRECT("'"&amp;$Q$2&amp;"'!K"&amp;ROW())),"",INDIRECT("'"&amp;$Q$2&amp;"'!K"&amp;ROW())),"")</f>
        <v/>
      </c>
      <c r="V69" s="20">
        <f>IF(OR($K69="",$U69=""),"",$K69-$U69)</f>
        <v/>
      </c>
      <c r="W69" s="21">
        <f>IFERROR(IF(ISBLANK(INDIRECT("'"&amp;$Q$2&amp;"'!O"&amp;ROW())),"",INDIRECT("'"&amp;$Q$2&amp;"'!O"&amp;ROW())),"")</f>
        <v/>
      </c>
      <c r="X69" s="21">
        <f>IF(OR($O69="",$W69=""),"",$O69-$W69)</f>
        <v/>
      </c>
      <c r="Y69" s="2" t="n"/>
      <c r="Z69" s="2" t="n"/>
    </row>
    <row r="70" ht="14.25" customHeight="1" s="58">
      <c r="A70" s="12" t="inlineStr">
        <is>
          <t>Telegram</t>
        </is>
      </c>
      <c r="B70" s="12" t="inlineStr">
        <is>
          <t>МК-Ямал</t>
        </is>
      </c>
      <c r="C70" s="13" t="n">
        <v>232</v>
      </c>
      <c r="D70" s="13" t="n">
        <v>3586</v>
      </c>
      <c r="E70" s="13">
        <f>IF($D70="","",IFERROR(IF(ISBLANK(INDIRECT("'"&amp;$Q$2&amp;"'!D"&amp;ROW())),"",INDIRECT("'"&amp;$Q$2&amp;"'!D"&amp;ROW())),""))</f>
        <v/>
      </c>
      <c r="F70" s="15" t="n"/>
      <c r="G70" s="16" t="n"/>
      <c r="H70" s="13" t="n">
        <v>2</v>
      </c>
      <c r="I70" s="13">
        <f>IF($H70="","",IFERROR(IF(ISBLANK(INDIRECT("'"&amp;$Q$2&amp;"'!H"&amp;ROW())),"",INDIRECT("'"&amp;$Q$2&amp;"'!H"&amp;ROW())),""))</f>
        <v/>
      </c>
      <c r="J70" s="15" t="n"/>
      <c r="K70" s="16" t="n"/>
      <c r="L70" s="13">
        <f>IFERROR(D70/C70,"")</f>
        <v/>
      </c>
      <c r="M70" s="13">
        <f>IFERROR(H70/D70*1000,"")</f>
        <v/>
      </c>
      <c r="N70" s="13" t="n">
        <v>694</v>
      </c>
      <c r="O70" s="15" t="n">
        <v>-3</v>
      </c>
      <c r="P70" s="2" t="n"/>
      <c r="Q70" s="2" t="n"/>
      <c r="R70" s="2" t="n"/>
      <c r="S70" s="18">
        <f>IFERROR(IF(ISBLANK(INDIRECT("'"&amp;$Q$2&amp;"'!G"&amp;ROW())),"",INDIRECT("'"&amp;$Q$2&amp;"'!G"&amp;ROW())),"")</f>
        <v/>
      </c>
      <c r="T70" s="20">
        <f>IF(OR($G70="",$S70=""),"",$G70-$S70)</f>
        <v/>
      </c>
      <c r="U70" s="18">
        <f>IFERROR(IF(ISBLANK(INDIRECT("'"&amp;$Q$2&amp;"'!K"&amp;ROW())),"",INDIRECT("'"&amp;$Q$2&amp;"'!K"&amp;ROW())),"")</f>
        <v/>
      </c>
      <c r="V70" s="20">
        <f>IF(OR($K70="",$U70=""),"",$K70-$U70)</f>
        <v/>
      </c>
      <c r="W70" s="21">
        <f>IFERROR(IF(ISBLANK(INDIRECT("'"&amp;$Q$2&amp;"'!O"&amp;ROW())),"",INDIRECT("'"&amp;$Q$2&amp;"'!O"&amp;ROW())),"")</f>
        <v/>
      </c>
      <c r="X70" s="21">
        <f>IF(OR($O70="",$W70=""),"",$O70-$W70)</f>
        <v/>
      </c>
      <c r="Y70" s="2" t="n"/>
      <c r="Z70" s="2" t="n"/>
    </row>
    <row r="71" ht="14.25" customHeight="1" s="58">
      <c r="A71" s="12" t="inlineStr">
        <is>
          <t>Telegram</t>
        </is>
      </c>
      <c r="B71" s="12" t="inlineStr">
        <is>
          <t>Не олени</t>
        </is>
      </c>
      <c r="C71" s="13" t="n">
        <v>21</v>
      </c>
      <c r="D71" s="13" t="n">
        <v>7230</v>
      </c>
      <c r="E71" s="13">
        <f>IF($D71="","",IFERROR(IF(ISBLANK(INDIRECT("'"&amp;$Q$2&amp;"'!D"&amp;ROW())),"",INDIRECT("'"&amp;$Q$2&amp;"'!D"&amp;ROW())),""))</f>
        <v/>
      </c>
      <c r="F71" s="15" t="n"/>
      <c r="G71" s="16" t="n"/>
      <c r="H71" s="13" t="n">
        <v>540</v>
      </c>
      <c r="I71" s="13">
        <f>IF($H71="","",IFERROR(IF(ISBLANK(INDIRECT("'"&amp;$Q$2&amp;"'!H"&amp;ROW())),"",INDIRECT("'"&amp;$Q$2&amp;"'!H"&amp;ROW())),""))</f>
        <v/>
      </c>
      <c r="J71" s="15" t="n"/>
      <c r="K71" s="16" t="n"/>
      <c r="L71" s="13">
        <f>IFERROR(D71/C71,"")</f>
        <v/>
      </c>
      <c r="M71" s="13">
        <f>IFERROR(H71/D71*1000,"")</f>
        <v/>
      </c>
      <c r="N71" s="13" t="n">
        <v>2506</v>
      </c>
      <c r="O71" s="15" t="n">
        <v>2</v>
      </c>
      <c r="P71" s="2" t="n"/>
      <c r="Q71" s="2" t="n"/>
      <c r="R71" s="2" t="n"/>
      <c r="S71" s="18">
        <f>IFERROR(IF(ISBLANK(INDIRECT("'"&amp;$Q$2&amp;"'!G"&amp;ROW())),"",INDIRECT("'"&amp;$Q$2&amp;"'!G"&amp;ROW())),"")</f>
        <v/>
      </c>
      <c r="T71" s="20">
        <f>IF(OR($G71="",$S71=""),"",$G71-$S71)</f>
        <v/>
      </c>
      <c r="U71" s="18">
        <f>IFERROR(IF(ISBLANK(INDIRECT("'"&amp;$Q$2&amp;"'!K"&amp;ROW())),"",INDIRECT("'"&amp;$Q$2&amp;"'!K"&amp;ROW())),"")</f>
        <v/>
      </c>
      <c r="V71" s="20">
        <f>IF(OR($K71="",$U71=""),"",$K71-$U71)</f>
        <v/>
      </c>
      <c r="W71" s="21">
        <f>IFERROR(IF(ISBLANK(INDIRECT("'"&amp;$Q$2&amp;"'!O"&amp;ROW())),"",INDIRECT("'"&amp;$Q$2&amp;"'!O"&amp;ROW())),"")</f>
        <v/>
      </c>
      <c r="X71" s="21">
        <f>IF(OR($O71="",$W71=""),"",$O71-$W71)</f>
        <v/>
      </c>
      <c r="Y71" s="2" t="n"/>
      <c r="Z71" s="2" t="n"/>
    </row>
    <row r="72" ht="14.25" customHeight="1" s="58">
      <c r="A72" s="12" t="inlineStr">
        <is>
          <t>Telegram</t>
        </is>
      </c>
      <c r="B72" s="12" t="inlineStr">
        <is>
          <t>Ямальский меридиан</t>
        </is>
      </c>
      <c r="C72" s="13" t="n">
        <v>7</v>
      </c>
      <c r="D72" s="13" t="n">
        <v>164</v>
      </c>
      <c r="E72" s="13">
        <f>IF($D72="","",IFERROR(IF(ISBLANK(INDIRECT("'"&amp;$Q$2&amp;"'!D"&amp;ROW())),"",INDIRECT("'"&amp;$Q$2&amp;"'!D"&amp;ROW())),""))</f>
        <v/>
      </c>
      <c r="F72" s="15" t="n"/>
      <c r="G72" s="16" t="n"/>
      <c r="H72" s="13" t="n">
        <v>24</v>
      </c>
      <c r="I72" s="13">
        <f>IF($H72="","",IFERROR(IF(ISBLANK(INDIRECT("'"&amp;$Q$2&amp;"'!H"&amp;ROW())),"",INDIRECT("'"&amp;$Q$2&amp;"'!H"&amp;ROW())),""))</f>
        <v/>
      </c>
      <c r="J72" s="15" t="n"/>
      <c r="K72" s="16" t="n"/>
      <c r="L72" s="13">
        <f>IFERROR(D72/C72,"")</f>
        <v/>
      </c>
      <c r="M72" s="13">
        <f>IFERROR(H72/D72*1000,"")</f>
        <v/>
      </c>
      <c r="N72" s="13" t="n">
        <v>172</v>
      </c>
      <c r="O72" s="15" t="n">
        <v>2</v>
      </c>
      <c r="P72" s="2" t="n"/>
      <c r="Q72" s="2" t="n"/>
      <c r="R72" s="2" t="n"/>
      <c r="S72" s="18">
        <f>IFERROR(IF(ISBLANK(INDIRECT("'"&amp;$Q$2&amp;"'!G"&amp;ROW())),"",INDIRECT("'"&amp;$Q$2&amp;"'!G"&amp;ROW())),"")</f>
        <v/>
      </c>
      <c r="T72" s="20">
        <f>IF(OR($G72="",$S72=""),"",$G72-$S72)</f>
        <v/>
      </c>
      <c r="U72" s="18">
        <f>IFERROR(IF(ISBLANK(INDIRECT("'"&amp;$Q$2&amp;"'!K"&amp;ROW())),"",INDIRECT("'"&amp;$Q$2&amp;"'!K"&amp;ROW())),"")</f>
        <v/>
      </c>
      <c r="V72" s="20">
        <f>IF(OR($K72="",$U72=""),"",$K72-$U72)</f>
        <v/>
      </c>
      <c r="W72" s="21">
        <f>IFERROR(IF(ISBLANK(INDIRECT("'"&amp;$Q$2&amp;"'!O"&amp;ROW())),"",INDIRECT("'"&amp;$Q$2&amp;"'!O"&amp;ROW())),"")</f>
        <v/>
      </c>
      <c r="X72" s="21">
        <f>IF(OR($O72="",$W72=""),"",$O72-$W72)</f>
        <v/>
      </c>
      <c r="Y72" s="2" t="n"/>
      <c r="Z72" s="2" t="n"/>
    </row>
    <row r="73" ht="14.25" customHeight="1" s="58">
      <c r="A73" s="12" t="inlineStr">
        <is>
          <t>Telegram</t>
        </is>
      </c>
      <c r="B73" s="12" t="inlineStr">
        <is>
          <t>Морошка</t>
        </is>
      </c>
      <c r="C73" s="13" t="n">
        <v>5</v>
      </c>
      <c r="D73" s="13" t="n">
        <v>1147</v>
      </c>
      <c r="E73" s="13">
        <f>IF($D73="","",IFERROR(IF(ISBLANK(INDIRECT("'"&amp;$Q$2&amp;"'!D"&amp;ROW())),"",INDIRECT("'"&amp;$Q$2&amp;"'!D"&amp;ROW())),""))</f>
        <v/>
      </c>
      <c r="F73" s="15" t="n"/>
      <c r="G73" s="16" t="n"/>
      <c r="H73" s="13" t="n">
        <v>36</v>
      </c>
      <c r="I73" s="13">
        <f>IF($H73="","",IFERROR(IF(ISBLANK(INDIRECT("'"&amp;$Q$2&amp;"'!H"&amp;ROW())),"",INDIRECT("'"&amp;$Q$2&amp;"'!H"&amp;ROW())),""))</f>
        <v/>
      </c>
      <c r="J73" s="15" t="n"/>
      <c r="K73" s="16" t="n"/>
      <c r="L73" s="13">
        <f>IFERROR(D73/C73,"")</f>
        <v/>
      </c>
      <c r="M73" s="13">
        <f>IFERROR(H73/D73*1000,"")</f>
        <v/>
      </c>
      <c r="N73" s="13" t="n">
        <v>49</v>
      </c>
      <c r="O73" s="15" t="n"/>
      <c r="P73" s="2" t="n"/>
      <c r="Q73" s="2" t="n"/>
      <c r="R73" s="2" t="n"/>
      <c r="S73" s="18">
        <f>IFERROR(IF(ISBLANK(INDIRECT("'"&amp;$Q$2&amp;"'!G"&amp;ROW())),"",INDIRECT("'"&amp;$Q$2&amp;"'!G"&amp;ROW())),"")</f>
        <v/>
      </c>
      <c r="T73" s="20">
        <f>IF(OR($G73="",$S73=""),"",$G73-$S73)</f>
        <v/>
      </c>
      <c r="U73" s="18">
        <f>IFERROR(IF(ISBLANK(INDIRECT("'"&amp;$Q$2&amp;"'!K"&amp;ROW())),"",INDIRECT("'"&amp;$Q$2&amp;"'!K"&amp;ROW())),"")</f>
        <v/>
      </c>
      <c r="V73" s="20">
        <f>IF(OR($K73="",$U73=""),"",$K73-$U73)</f>
        <v/>
      </c>
      <c r="W73" s="21">
        <f>IFERROR(IF(ISBLANK(INDIRECT("'"&amp;$Q$2&amp;"'!O"&amp;ROW())),"",INDIRECT("'"&amp;$Q$2&amp;"'!O"&amp;ROW())),"")</f>
        <v/>
      </c>
      <c r="X73" s="21">
        <f>IF(OR($O73="",$W73=""),"",$O73-$W73)</f>
        <v/>
      </c>
      <c r="Y73" s="2" t="n"/>
      <c r="Z73" s="2" t="n"/>
    </row>
    <row r="74" ht="14.25" customHeight="1" s="58">
      <c r="A74" s="25" t="n"/>
      <c r="B74" s="25" t="inlineStr">
        <is>
          <t>Итого Telegram</t>
        </is>
      </c>
      <c r="C74" s="26">
        <f>SUM(C52:C73)</f>
        <v/>
      </c>
      <c r="D74" s="26">
        <f>SUM(D52:D73)</f>
        <v/>
      </c>
      <c r="E74" s="26">
        <f>SUM(E52:E73)</f>
        <v/>
      </c>
      <c r="F74" s="27">
        <f>SUM(F52:F73)</f>
        <v/>
      </c>
      <c r="G74" s="28">
        <f>IF(C74=0,"",IFERROR(F74/E74,""))</f>
        <v/>
      </c>
      <c r="H74" s="26">
        <f>SUM(H52:H73)</f>
        <v/>
      </c>
      <c r="I74" s="26">
        <f>SUM(I52:I73)</f>
        <v/>
      </c>
      <c r="J74" s="27">
        <f>SUM(J52:J73)</f>
        <v/>
      </c>
      <c r="K74" s="28">
        <f>IF(C74=0,"",IFERROR(J74/I74,""))</f>
        <v/>
      </c>
      <c r="L74" s="26">
        <f>IFERROR(D74/C74,"")</f>
        <v/>
      </c>
      <c r="M74" s="26">
        <f>IFERROR(H74/D74*1000,"")</f>
        <v/>
      </c>
      <c r="N74" s="26">
        <f>SUM(N52:N73)</f>
        <v/>
      </c>
      <c r="O74" s="27">
        <f>SUM(O52:O73)</f>
        <v/>
      </c>
      <c r="P74" s="2" t="n"/>
      <c r="Q74" s="2" t="n"/>
      <c r="R74" s="2" t="n"/>
      <c r="S74" s="29">
        <f>IFERROR(IF(ISBLANK(INDIRECT("'"&amp;$Q$2&amp;"'!G"&amp;ROW())),"",INDIRECT("'"&amp;$Q$2&amp;"'!G"&amp;ROW())),"")</f>
        <v/>
      </c>
      <c r="T74" s="30">
        <f>IF(OR($G74="",$S74=""),"",$G74-$S74)</f>
        <v/>
      </c>
      <c r="U74" s="29">
        <f>IFERROR(IF(ISBLANK(INDIRECT("'"&amp;$Q$2&amp;"'!K"&amp;ROW())),"",INDIRECT("'"&amp;$Q$2&amp;"'!K"&amp;ROW())),"")</f>
        <v/>
      </c>
      <c r="V74" s="30">
        <f>IF(OR($K74="",$U74=""),"",$K74-$U74)</f>
        <v/>
      </c>
      <c r="W74" s="31">
        <f>IFERROR(IF(ISBLANK(INDIRECT("'"&amp;$Q$2&amp;"'!O"&amp;ROW())),"",INDIRECT("'"&amp;$Q$2&amp;"'!O"&amp;ROW())),"")</f>
        <v/>
      </c>
      <c r="X74" s="31">
        <f>IF(OR(C74=0,$O74="",$W74=""),"",$O74-$W74)</f>
        <v/>
      </c>
      <c r="Y74" s="2" t="n"/>
      <c r="Z74" s="2" t="n"/>
    </row>
    <row r="75" ht="14.25" customHeight="1" s="58">
      <c r="A75" s="12" t="inlineStr">
        <is>
          <t>МАКС</t>
        </is>
      </c>
      <c r="B75" s="12" t="inlineStr">
        <is>
          <t>Ямал-Медиа</t>
        </is>
      </c>
      <c r="C75" s="13" t="n">
        <v>149</v>
      </c>
      <c r="D75" s="13" t="n">
        <v>141488</v>
      </c>
      <c r="E75" s="13">
        <f>IF($D75="","",IFERROR(IF(ISBLANK(INDIRECT("'"&amp;$Q$2&amp;"'!D"&amp;ROW())),"",INDIRECT("'"&amp;$Q$2&amp;"'!D"&amp;ROW())),""))</f>
        <v/>
      </c>
      <c r="F75" s="15" t="n"/>
      <c r="G75" s="16" t="n"/>
      <c r="H75" s="13" t="n"/>
      <c r="I75" s="13">
        <f>IF($H75="","",IFERROR(IF(ISBLANK(INDIRECT("'"&amp;$Q$2&amp;"'!H"&amp;ROW())),"",INDIRECT("'"&amp;$Q$2&amp;"'!H"&amp;ROW())),""))</f>
        <v/>
      </c>
      <c r="J75" s="15" t="n"/>
      <c r="K75" s="16" t="n"/>
      <c r="L75" s="13">
        <f>IFERROR(D75/C75,"")</f>
        <v/>
      </c>
      <c r="M75" s="13">
        <f>IFERROR(H75/D75*1000,"")</f>
        <v/>
      </c>
      <c r="N75" s="13" t="n">
        <v>4135</v>
      </c>
      <c r="O75" s="15" t="n">
        <v>18</v>
      </c>
      <c r="P75" s="2" t="n"/>
      <c r="Q75" s="2" t="n"/>
      <c r="R75" s="2" t="n"/>
      <c r="S75" s="18">
        <f>IFERROR(IF(ISBLANK(INDIRECT("'"&amp;$Q$2&amp;"'!G"&amp;ROW())),"",INDIRECT("'"&amp;$Q$2&amp;"'!G"&amp;ROW())),"")</f>
        <v/>
      </c>
      <c r="T75" s="20">
        <f>IF(OR($G75="",$S75=""),"",$G75-$S75)</f>
        <v/>
      </c>
      <c r="U75" s="18">
        <f>IFERROR(IF(ISBLANK(INDIRECT("'"&amp;$Q$2&amp;"'!K"&amp;ROW())),"",INDIRECT("'"&amp;$Q$2&amp;"'!K"&amp;ROW())),"")</f>
        <v/>
      </c>
      <c r="V75" s="20">
        <f>IF(OR($K75="",$U75=""),"",$K75-$U75)</f>
        <v/>
      </c>
      <c r="W75" s="21">
        <f>IFERROR(IF(ISBLANK(INDIRECT("'"&amp;$Q$2&amp;"'!O"&amp;ROW())),"",INDIRECT("'"&amp;$Q$2&amp;"'!O"&amp;ROW())),"")</f>
        <v/>
      </c>
      <c r="X75" s="21">
        <f>IF(OR($O75="",$W75=""),"",$O75-$W75)</f>
        <v/>
      </c>
      <c r="Y75" s="2" t="n"/>
      <c r="Z75" s="2" t="n"/>
    </row>
    <row r="76" ht="14.25" customHeight="1" s="58">
      <c r="A76" s="12" t="inlineStr">
        <is>
          <t>МАКС</t>
        </is>
      </c>
      <c r="B76" s="12" t="inlineStr">
        <is>
          <t>Север-Пресс</t>
        </is>
      </c>
      <c r="C76" s="13" t="n">
        <v>189</v>
      </c>
      <c r="D76" s="13" t="n">
        <v>68887</v>
      </c>
      <c r="E76" s="13">
        <f>IF($D76="","",IFERROR(IF(ISBLANK(INDIRECT("'"&amp;$Q$2&amp;"'!D"&amp;ROW())),"",INDIRECT("'"&amp;$Q$2&amp;"'!D"&amp;ROW())),""))</f>
        <v/>
      </c>
      <c r="F76" s="15" t="n"/>
      <c r="G76" s="16" t="n"/>
      <c r="H76" s="13" t="n"/>
      <c r="I76" s="13">
        <f>IF($H76="","",IFERROR(IF(ISBLANK(INDIRECT("'"&amp;$Q$2&amp;"'!H"&amp;ROW())),"",INDIRECT("'"&amp;$Q$2&amp;"'!H"&amp;ROW())),""))</f>
        <v/>
      </c>
      <c r="J76" s="15" t="n"/>
      <c r="K76" s="16" t="n"/>
      <c r="L76" s="13">
        <f>IFERROR(D76/C76,"")</f>
        <v/>
      </c>
      <c r="M76" s="13">
        <f>IFERROR(H76/D76*1000,"")</f>
        <v/>
      </c>
      <c r="N76" s="13" t="n">
        <v>2199</v>
      </c>
      <c r="O76" s="15" t="n">
        <v>-1</v>
      </c>
      <c r="P76" s="2" t="n"/>
      <c r="Q76" s="2" t="n"/>
      <c r="R76" s="2" t="n"/>
      <c r="S76" s="18">
        <f>IFERROR(IF(ISBLANK(INDIRECT("'"&amp;$Q$2&amp;"'!G"&amp;ROW())),"",INDIRECT("'"&amp;$Q$2&amp;"'!G"&amp;ROW())),"")</f>
        <v/>
      </c>
      <c r="T76" s="20">
        <f>IF(OR($G76="",$S76=""),"",$G76-$S76)</f>
        <v/>
      </c>
      <c r="U76" s="18">
        <f>IFERROR(IF(ISBLANK(INDIRECT("'"&amp;$Q$2&amp;"'!K"&amp;ROW())),"",INDIRECT("'"&amp;$Q$2&amp;"'!K"&amp;ROW())),"")</f>
        <v/>
      </c>
      <c r="V76" s="20">
        <f>IF(OR($K76="",$U76=""),"",$K76-$U76)</f>
        <v/>
      </c>
      <c r="W76" s="21">
        <f>IFERROR(IF(ISBLANK(INDIRECT("'"&amp;$Q$2&amp;"'!O"&amp;ROW())),"",INDIRECT("'"&amp;$Q$2&amp;"'!O"&amp;ROW())),"")</f>
        <v/>
      </c>
      <c r="X76" s="21">
        <f>IF(OR($O76="",$W76=""),"",$O76-$W76)</f>
        <v/>
      </c>
      <c r="Y76" s="2" t="n"/>
      <c r="Z76" s="2" t="n"/>
    </row>
    <row r="77" ht="14.25" customHeight="1" s="58">
      <c r="A77" s="12" t="inlineStr">
        <is>
          <t>МАКС</t>
        </is>
      </c>
      <c r="B77" s="12" t="inlineStr">
        <is>
          <t>Красный Север</t>
        </is>
      </c>
      <c r="C77" s="13" t="n">
        <v>86</v>
      </c>
      <c r="D77" s="13" t="n">
        <v>6444</v>
      </c>
      <c r="E77" s="13">
        <f>IF($D77="","",IFERROR(IF(ISBLANK(INDIRECT("'"&amp;$Q$2&amp;"'!D"&amp;ROW())),"",INDIRECT("'"&amp;$Q$2&amp;"'!D"&amp;ROW())),""))</f>
        <v/>
      </c>
      <c r="F77" s="15" t="n"/>
      <c r="G77" s="16" t="n"/>
      <c r="H77" s="13" t="n"/>
      <c r="I77" s="13">
        <f>IF($H77="","",IFERROR(IF(ISBLANK(INDIRECT("'"&amp;$Q$2&amp;"'!H"&amp;ROW())),"",INDIRECT("'"&amp;$Q$2&amp;"'!H"&amp;ROW())),""))</f>
        <v/>
      </c>
      <c r="J77" s="15" t="n"/>
      <c r="K77" s="16" t="n"/>
      <c r="L77" s="13">
        <f>IFERROR(D77/C77,"")</f>
        <v/>
      </c>
      <c r="M77" s="13">
        <f>IFERROR(H77/D77*1000,"")</f>
        <v/>
      </c>
      <c r="N77" s="13" t="n">
        <v>263</v>
      </c>
      <c r="O77" s="15" t="n">
        <v>5</v>
      </c>
      <c r="P77" s="2" t="n"/>
      <c r="Q77" s="2" t="n"/>
      <c r="R77" s="2" t="n"/>
      <c r="S77" s="18">
        <f>IFERROR(IF(ISBLANK(INDIRECT("'"&amp;$Q$2&amp;"'!G"&amp;ROW())),"",INDIRECT("'"&amp;$Q$2&amp;"'!G"&amp;ROW())),"")</f>
        <v/>
      </c>
      <c r="T77" s="20">
        <f>IF(OR($G77="",$S77=""),"",$G77-$S77)</f>
        <v/>
      </c>
      <c r="U77" s="18">
        <f>IFERROR(IF(ISBLANK(INDIRECT("'"&amp;$Q$2&amp;"'!K"&amp;ROW())),"",INDIRECT("'"&amp;$Q$2&amp;"'!K"&amp;ROW())),"")</f>
        <v/>
      </c>
      <c r="V77" s="20">
        <f>IF(OR($K77="",$U77=""),"",$K77-$U77)</f>
        <v/>
      </c>
      <c r="W77" s="21">
        <f>IFERROR(IF(ISBLANK(INDIRECT("'"&amp;$Q$2&amp;"'!O"&amp;ROW())),"",INDIRECT("'"&amp;$Q$2&amp;"'!O"&amp;ROW())),"")</f>
        <v/>
      </c>
      <c r="X77" s="21">
        <f>IF(OR($O77="",$W77=""),"",$O77-$W77)</f>
        <v/>
      </c>
      <c r="Y77" s="2" t="n"/>
      <c r="Z77" s="2" t="n"/>
    </row>
    <row r="78" ht="14.25" customHeight="1" s="58">
      <c r="A78" s="12" t="inlineStr">
        <is>
          <t>МАКС</t>
        </is>
      </c>
      <c r="B78" s="12" t="inlineStr">
        <is>
          <t>СМП</t>
        </is>
      </c>
      <c r="C78" s="13" t="n">
        <v>8</v>
      </c>
      <c r="D78" s="13" t="n">
        <v>810</v>
      </c>
      <c r="E78" s="13">
        <f>IF($D78="","",IFERROR(IF(ISBLANK(INDIRECT("'"&amp;$Q$2&amp;"'!D"&amp;ROW())),"",INDIRECT("'"&amp;$Q$2&amp;"'!D"&amp;ROW())),""))</f>
        <v/>
      </c>
      <c r="F78" s="15" t="n"/>
      <c r="G78" s="16" t="n"/>
      <c r="H78" s="13" t="n"/>
      <c r="I78" s="13">
        <f>IF($H78="","",IFERROR(IF(ISBLANK(INDIRECT("'"&amp;$Q$2&amp;"'!H"&amp;ROW())),"",INDIRECT("'"&amp;$Q$2&amp;"'!H"&amp;ROW())),""))</f>
        <v/>
      </c>
      <c r="J78" s="15" t="n"/>
      <c r="K78" s="16" t="n"/>
      <c r="L78" s="13">
        <f>IFERROR(D78/C78,"")</f>
        <v/>
      </c>
      <c r="M78" s="13">
        <f>IFERROR(H78/D78*1000,"")</f>
        <v/>
      </c>
      <c r="N78" s="13" t="n">
        <v>185</v>
      </c>
      <c r="O78" s="15" t="n">
        <v>4</v>
      </c>
      <c r="P78" s="2" t="n"/>
      <c r="Q78" s="2" t="n"/>
      <c r="R78" s="2" t="n"/>
      <c r="S78" s="18">
        <f>IFERROR(IF(ISBLANK(INDIRECT("'"&amp;$Q$2&amp;"'!G"&amp;ROW())),"",INDIRECT("'"&amp;$Q$2&amp;"'!G"&amp;ROW())),"")</f>
        <v/>
      </c>
      <c r="T78" s="20">
        <f>IF(OR($G78="",$S78=""),"",$G78-$S78)</f>
        <v/>
      </c>
      <c r="U78" s="18">
        <f>IFERROR(IF(ISBLANK(INDIRECT("'"&amp;$Q$2&amp;"'!K"&amp;ROW())),"",INDIRECT("'"&amp;$Q$2&amp;"'!K"&amp;ROW())),"")</f>
        <v/>
      </c>
      <c r="V78" s="20">
        <f>IF(OR($K78="",$U78=""),"",$K78-$U78)</f>
        <v/>
      </c>
      <c r="W78" s="21">
        <f>IFERROR(IF(ISBLANK(INDIRECT("'"&amp;$Q$2&amp;"'!O"&amp;ROW())),"",INDIRECT("'"&amp;$Q$2&amp;"'!O"&amp;ROW())),"")</f>
        <v/>
      </c>
      <c r="X78" s="21">
        <f>IF(OR($O78="",$W78=""),"",$O78-$W78)</f>
        <v/>
      </c>
      <c r="Y78" s="2" t="n"/>
      <c r="Z78" s="2" t="n"/>
    </row>
    <row r="79" ht="14.25" customHeight="1" s="58">
      <c r="A79" s="12" t="inlineStr">
        <is>
          <t>МАКС</t>
        </is>
      </c>
      <c r="B79" s="12" t="inlineStr">
        <is>
          <t>СШХ</t>
        </is>
      </c>
      <c r="C79" s="13" t="n">
        <v>7</v>
      </c>
      <c r="D79" s="13" t="n">
        <v>156</v>
      </c>
      <c r="E79" s="13">
        <f>IF($D79="","",IFERROR(IF(ISBLANK(INDIRECT("'"&amp;$Q$2&amp;"'!D"&amp;ROW())),"",INDIRECT("'"&amp;$Q$2&amp;"'!D"&amp;ROW())),""))</f>
        <v/>
      </c>
      <c r="F79" s="15" t="n"/>
      <c r="G79" s="16" t="n"/>
      <c r="H79" s="13" t="n"/>
      <c r="I79" s="13">
        <f>IF($H79="","",IFERROR(IF(ISBLANK(INDIRECT("'"&amp;$Q$2&amp;"'!H"&amp;ROW())),"",INDIRECT("'"&amp;$Q$2&amp;"'!H"&amp;ROW())),""))</f>
        <v/>
      </c>
      <c r="J79" s="15" t="n"/>
      <c r="K79" s="16" t="n"/>
      <c r="L79" s="13">
        <f>IFERROR(D79/C79,"")</f>
        <v/>
      </c>
      <c r="M79" s="13">
        <f>IFERROR(H79/D79*1000,"")</f>
        <v/>
      </c>
      <c r="N79" s="13" t="n">
        <v>35</v>
      </c>
      <c r="O79" s="15" t="n">
        <v>2</v>
      </c>
      <c r="P79" s="2" t="n"/>
      <c r="Q79" s="2" t="n"/>
      <c r="R79" s="2" t="n"/>
      <c r="S79" s="18">
        <f>IFERROR(IF(ISBLANK(INDIRECT("'"&amp;$Q$2&amp;"'!G"&amp;ROW())),"",INDIRECT("'"&amp;$Q$2&amp;"'!G"&amp;ROW())),"")</f>
        <v/>
      </c>
      <c r="T79" s="20">
        <f>IF(OR($G79="",$S79=""),"",$G79-$S79)</f>
        <v/>
      </c>
      <c r="U79" s="18">
        <f>IFERROR(IF(ISBLANK(INDIRECT("'"&amp;$Q$2&amp;"'!K"&amp;ROW())),"",INDIRECT("'"&amp;$Q$2&amp;"'!K"&amp;ROW())),"")</f>
        <v/>
      </c>
      <c r="V79" s="20">
        <f>IF(OR($K79="",$U79=""),"",$K79-$U79)</f>
        <v/>
      </c>
      <c r="W79" s="21">
        <f>IFERROR(IF(ISBLANK(INDIRECT("'"&amp;$Q$2&amp;"'!O"&amp;ROW())),"",INDIRECT("'"&amp;$Q$2&amp;"'!O"&amp;ROW())),"")</f>
        <v/>
      </c>
      <c r="X79" s="21">
        <f>IF(OR($O79="",$W79=""),"",$O79-$W79)</f>
        <v/>
      </c>
      <c r="Y79" s="2" t="n"/>
      <c r="Z79" s="2" t="n"/>
    </row>
    <row r="80" ht="14.25" customHeight="1" s="58">
      <c r="A80" s="12" t="inlineStr">
        <is>
          <t>МАКС</t>
        </is>
      </c>
      <c r="B80" s="12" t="inlineStr">
        <is>
          <t>Новый Уренгой</t>
        </is>
      </c>
      <c r="C80" s="13" t="n">
        <v>96</v>
      </c>
      <c r="D80" s="13" t="n">
        <v>141883</v>
      </c>
      <c r="E80" s="13">
        <f>IF($D80="","",IFERROR(IF(ISBLANK(INDIRECT("'"&amp;$Q$2&amp;"'!D"&amp;ROW())),"",INDIRECT("'"&amp;$Q$2&amp;"'!D"&amp;ROW())),""))</f>
        <v/>
      </c>
      <c r="F80" s="15" t="n"/>
      <c r="G80" s="16" t="n"/>
      <c r="H80" s="13" t="n"/>
      <c r="I80" s="13">
        <f>IF($H80="","",IFERROR(IF(ISBLANK(INDIRECT("'"&amp;$Q$2&amp;"'!H"&amp;ROW())),"",INDIRECT("'"&amp;$Q$2&amp;"'!H"&amp;ROW())),""))</f>
        <v/>
      </c>
      <c r="J80" s="15" t="n"/>
      <c r="K80" s="16" t="n"/>
      <c r="L80" s="13">
        <f>IFERROR(D80/C80,"")</f>
        <v/>
      </c>
      <c r="M80" s="13">
        <f>IFERROR(H80/D80*1000,"")</f>
        <v/>
      </c>
      <c r="N80" s="13" t="n">
        <v>3774</v>
      </c>
      <c r="O80" s="15" t="n">
        <v>51</v>
      </c>
      <c r="P80" s="2" t="n"/>
      <c r="Q80" s="2" t="n"/>
      <c r="R80" s="2" t="n"/>
      <c r="S80" s="18">
        <f>IFERROR(IF(ISBLANK(INDIRECT("'"&amp;$Q$2&amp;"'!G"&amp;ROW())),"",INDIRECT("'"&amp;$Q$2&amp;"'!G"&amp;ROW())),"")</f>
        <v/>
      </c>
      <c r="T80" s="20">
        <f>IF(OR($G80="",$S80=""),"",$G80-$S80)</f>
        <v/>
      </c>
      <c r="U80" s="18">
        <f>IFERROR(IF(ISBLANK(INDIRECT("'"&amp;$Q$2&amp;"'!K"&amp;ROW())),"",INDIRECT("'"&amp;$Q$2&amp;"'!K"&amp;ROW())),"")</f>
        <v/>
      </c>
      <c r="V80" s="20">
        <f>IF(OR($K80="",$U80=""),"",$K80-$U80)</f>
        <v/>
      </c>
      <c r="W80" s="21">
        <f>IFERROR(IF(ISBLANK(INDIRECT("'"&amp;$Q$2&amp;"'!O"&amp;ROW())),"",INDIRECT("'"&amp;$Q$2&amp;"'!O"&amp;ROW())),"")</f>
        <v/>
      </c>
      <c r="X80" s="21">
        <f>IF(OR($O80="",$W80=""),"",$O80-$W80)</f>
        <v/>
      </c>
      <c r="Y80" s="2" t="n"/>
      <c r="Z80" s="2" t="n"/>
    </row>
    <row r="81" ht="14.25" customHeight="1" s="58">
      <c r="A81" s="12" t="inlineStr">
        <is>
          <t>МАКС</t>
        </is>
      </c>
      <c r="B81" s="12" t="inlineStr">
        <is>
          <t>Надым</t>
        </is>
      </c>
      <c r="C81" s="13" t="n">
        <v>94</v>
      </c>
      <c r="D81" s="13" t="n">
        <v>70716</v>
      </c>
      <c r="E81" s="13">
        <f>IF($D81="","",IFERROR(IF(ISBLANK(INDIRECT("'"&amp;$Q$2&amp;"'!D"&amp;ROW())),"",INDIRECT("'"&amp;$Q$2&amp;"'!D"&amp;ROW())),""))</f>
        <v/>
      </c>
      <c r="F81" s="15" t="n"/>
      <c r="G81" s="16" t="n"/>
      <c r="H81" s="13" t="n"/>
      <c r="I81" s="13">
        <f>IF($H81="","",IFERROR(IF(ISBLANK(INDIRECT("'"&amp;$Q$2&amp;"'!H"&amp;ROW())),"",INDIRECT("'"&amp;$Q$2&amp;"'!H"&amp;ROW())),""))</f>
        <v/>
      </c>
      <c r="J81" s="15" t="n"/>
      <c r="K81" s="16" t="n"/>
      <c r="L81" s="13">
        <f>IFERROR(D81/C81,"")</f>
        <v/>
      </c>
      <c r="M81" s="13">
        <f>IFERROR(H81/D81*1000,"")</f>
        <v/>
      </c>
      <c r="N81" s="13" t="n">
        <v>1953</v>
      </c>
      <c r="O81" s="15" t="n">
        <v>8</v>
      </c>
      <c r="P81" s="2" t="n"/>
      <c r="Q81" s="2" t="n"/>
      <c r="R81" s="2" t="n"/>
      <c r="S81" s="18">
        <f>IFERROR(IF(ISBLANK(INDIRECT("'"&amp;$Q$2&amp;"'!G"&amp;ROW())),"",INDIRECT("'"&amp;$Q$2&amp;"'!G"&amp;ROW())),"")</f>
        <v/>
      </c>
      <c r="T81" s="20">
        <f>IF(OR($G81="",$S81=""),"",$G81-$S81)</f>
        <v/>
      </c>
      <c r="U81" s="18">
        <f>IFERROR(IF(ISBLANK(INDIRECT("'"&amp;$Q$2&amp;"'!K"&amp;ROW())),"",INDIRECT("'"&amp;$Q$2&amp;"'!K"&amp;ROW())),"")</f>
        <v/>
      </c>
      <c r="V81" s="20">
        <f>IF(OR($K81="",$U81=""),"",$K81-$U81)</f>
        <v/>
      </c>
      <c r="W81" s="21">
        <f>IFERROR(IF(ISBLANK(INDIRECT("'"&amp;$Q$2&amp;"'!O"&amp;ROW())),"",INDIRECT("'"&amp;$Q$2&amp;"'!O"&amp;ROW())),"")</f>
        <v/>
      </c>
      <c r="X81" s="21">
        <f>IF(OR($O81="",$W81=""),"",$O81-$W81)</f>
        <v/>
      </c>
      <c r="Y81" s="2" t="n"/>
      <c r="Z81" s="2" t="n"/>
    </row>
    <row r="82" ht="14.25" customHeight="1" s="58">
      <c r="A82" s="12" t="inlineStr">
        <is>
          <t>МАКС</t>
        </is>
      </c>
      <c r="B82" s="12" t="inlineStr">
        <is>
          <t>Ноябрьск</t>
        </is>
      </c>
      <c r="C82" s="13" t="n">
        <v>87</v>
      </c>
      <c r="D82" s="13" t="n">
        <v>134691</v>
      </c>
      <c r="E82" s="13">
        <f>IF($D82="","",IFERROR(IF(ISBLANK(INDIRECT("'"&amp;$Q$2&amp;"'!D"&amp;ROW())),"",INDIRECT("'"&amp;$Q$2&amp;"'!D"&amp;ROW())),""))</f>
        <v/>
      </c>
      <c r="F82" s="15" t="n"/>
      <c r="G82" s="16" t="n"/>
      <c r="H82" s="13" t="n"/>
      <c r="I82" s="13">
        <f>IF($H82="","",IFERROR(IF(ISBLANK(INDIRECT("'"&amp;$Q$2&amp;"'!H"&amp;ROW())),"",INDIRECT("'"&amp;$Q$2&amp;"'!H"&amp;ROW())),""))</f>
        <v/>
      </c>
      <c r="J82" s="15" t="n"/>
      <c r="K82" s="16" t="n"/>
      <c r="L82" s="13">
        <f>IFERROR(D82/C82,"")</f>
        <v/>
      </c>
      <c r="M82" s="13">
        <f>IFERROR(H82/D82*1000,"")</f>
        <v/>
      </c>
      <c r="N82" s="13" t="n">
        <v>3509</v>
      </c>
      <c r="O82" s="15" t="n">
        <v>51</v>
      </c>
      <c r="P82" s="2" t="n"/>
      <c r="Q82" s="2" t="n"/>
      <c r="R82" s="2" t="n"/>
      <c r="S82" s="18">
        <f>IFERROR(IF(ISBLANK(INDIRECT("'"&amp;$Q$2&amp;"'!G"&amp;ROW())),"",INDIRECT("'"&amp;$Q$2&amp;"'!G"&amp;ROW())),"")</f>
        <v/>
      </c>
      <c r="T82" s="20">
        <f>IF(OR($G82="",$S82=""),"",$G82-$S82)</f>
        <v/>
      </c>
      <c r="U82" s="18">
        <f>IFERROR(IF(ISBLANK(INDIRECT("'"&amp;$Q$2&amp;"'!K"&amp;ROW())),"",INDIRECT("'"&amp;$Q$2&amp;"'!K"&amp;ROW())),"")</f>
        <v/>
      </c>
      <c r="V82" s="20">
        <f>IF(OR($K82="",$U82=""),"",$K82-$U82)</f>
        <v/>
      </c>
      <c r="W82" s="21">
        <f>IFERROR(IF(ISBLANK(INDIRECT("'"&amp;$Q$2&amp;"'!O"&amp;ROW())),"",INDIRECT("'"&amp;$Q$2&amp;"'!O"&amp;ROW())),"")</f>
        <v/>
      </c>
      <c r="X82" s="21">
        <f>IF(OR($O82="",$W82=""),"",$O82-$W82)</f>
        <v/>
      </c>
      <c r="Y82" s="2" t="n"/>
      <c r="Z82" s="2" t="n"/>
    </row>
    <row r="83" ht="14.25" customHeight="1" s="58">
      <c r="A83" s="12" t="inlineStr">
        <is>
          <t>МАКС</t>
        </is>
      </c>
      <c r="B83" s="12" t="inlineStr">
        <is>
          <t>Салехард</t>
        </is>
      </c>
      <c r="C83" s="13" t="n">
        <v>96</v>
      </c>
      <c r="D83" s="13" t="n">
        <v>56512</v>
      </c>
      <c r="E83" s="13">
        <f>IF($D83="","",IFERROR(IF(ISBLANK(INDIRECT("'"&amp;$Q$2&amp;"'!D"&amp;ROW())),"",INDIRECT("'"&amp;$Q$2&amp;"'!D"&amp;ROW())),""))</f>
        <v/>
      </c>
      <c r="F83" s="15" t="n"/>
      <c r="G83" s="16" t="n"/>
      <c r="H83" s="13" t="n"/>
      <c r="I83" s="13">
        <f>IF($H83="","",IFERROR(IF(ISBLANK(INDIRECT("'"&amp;$Q$2&amp;"'!H"&amp;ROW())),"",INDIRECT("'"&amp;$Q$2&amp;"'!H"&amp;ROW())),""))</f>
        <v/>
      </c>
      <c r="J83" s="15" t="n"/>
      <c r="K83" s="16" t="n"/>
      <c r="L83" s="13">
        <f>IFERROR(D83/C83,"")</f>
        <v/>
      </c>
      <c r="M83" s="13">
        <f>IFERROR(H83/D83*1000,"")</f>
        <v/>
      </c>
      <c r="N83" s="13" t="n">
        <v>1519</v>
      </c>
      <c r="O83" s="15" t="n">
        <v>28</v>
      </c>
      <c r="P83" s="2" t="n"/>
      <c r="Q83" s="2" t="n"/>
      <c r="R83" s="2" t="n"/>
      <c r="S83" s="18">
        <f>IFERROR(IF(ISBLANK(INDIRECT("'"&amp;$Q$2&amp;"'!G"&amp;ROW())),"",INDIRECT("'"&amp;$Q$2&amp;"'!G"&amp;ROW())),"")</f>
        <v/>
      </c>
      <c r="T83" s="20">
        <f>IF(OR($G83="",$S83=""),"",$G83-$S83)</f>
        <v/>
      </c>
      <c r="U83" s="18">
        <f>IFERROR(IF(ISBLANK(INDIRECT("'"&amp;$Q$2&amp;"'!K"&amp;ROW())),"",INDIRECT("'"&amp;$Q$2&amp;"'!K"&amp;ROW())),"")</f>
        <v/>
      </c>
      <c r="V83" s="20">
        <f>IF(OR($K83="",$U83=""),"",$K83-$U83)</f>
        <v/>
      </c>
      <c r="W83" s="21">
        <f>IFERROR(IF(ISBLANK(INDIRECT("'"&amp;$Q$2&amp;"'!O"&amp;ROW())),"",INDIRECT("'"&amp;$Q$2&amp;"'!O"&amp;ROW())),"")</f>
        <v/>
      </c>
      <c r="X83" s="21">
        <f>IF(OR($O83="",$W83=""),"",$O83-$W83)</f>
        <v/>
      </c>
      <c r="Y83" s="2" t="n"/>
      <c r="Z83" s="2" t="n"/>
    </row>
    <row r="84" ht="14.25" customHeight="1" s="58">
      <c r="A84" s="12" t="inlineStr">
        <is>
          <t>МАКС</t>
        </is>
      </c>
      <c r="B84" s="12" t="inlineStr">
        <is>
          <t>Приуралье</t>
        </is>
      </c>
      <c r="C84" s="13" t="n">
        <v>102</v>
      </c>
      <c r="D84" s="13" t="n">
        <v>24217</v>
      </c>
      <c r="E84" s="13">
        <f>IF($D84="","",IFERROR(IF(ISBLANK(INDIRECT("'"&amp;$Q$2&amp;"'!D"&amp;ROW())),"",INDIRECT("'"&amp;$Q$2&amp;"'!D"&amp;ROW())),""))</f>
        <v/>
      </c>
      <c r="F84" s="15" t="n"/>
      <c r="G84" s="16" t="n"/>
      <c r="H84" s="13" t="n"/>
      <c r="I84" s="13">
        <f>IF($H84="","",IFERROR(IF(ISBLANK(INDIRECT("'"&amp;$Q$2&amp;"'!H"&amp;ROW())),"",INDIRECT("'"&amp;$Q$2&amp;"'!H"&amp;ROW())),""))</f>
        <v/>
      </c>
      <c r="J84" s="15" t="n"/>
      <c r="K84" s="16" t="n"/>
      <c r="L84" s="13">
        <f>IFERROR(D84/C84,"")</f>
        <v/>
      </c>
      <c r="M84" s="13">
        <f>IFERROR(H84/D84*1000,"")</f>
        <v/>
      </c>
      <c r="N84" s="13" t="n">
        <v>718</v>
      </c>
      <c r="O84" s="15" t="n">
        <v>9</v>
      </c>
      <c r="P84" s="2" t="n"/>
      <c r="Q84" s="2" t="n"/>
      <c r="R84" s="2" t="n"/>
      <c r="S84" s="18">
        <f>IFERROR(IF(ISBLANK(INDIRECT("'"&amp;$Q$2&amp;"'!G"&amp;ROW())),"",INDIRECT("'"&amp;$Q$2&amp;"'!G"&amp;ROW())),"")</f>
        <v/>
      </c>
      <c r="T84" s="20">
        <f>IF(OR($G84="",$S84=""),"",$G84-$S84)</f>
        <v/>
      </c>
      <c r="U84" s="18">
        <f>IFERROR(IF(ISBLANK(INDIRECT("'"&amp;$Q$2&amp;"'!K"&amp;ROW())),"",INDIRECT("'"&amp;$Q$2&amp;"'!K"&amp;ROW())),"")</f>
        <v/>
      </c>
      <c r="V84" s="20">
        <f>IF(OR($K84="",$U84=""),"",$K84-$U84)</f>
        <v/>
      </c>
      <c r="W84" s="21">
        <f>IFERROR(IF(ISBLANK(INDIRECT("'"&amp;$Q$2&amp;"'!O"&amp;ROW())),"",INDIRECT("'"&amp;$Q$2&amp;"'!O"&amp;ROW())),"")</f>
        <v/>
      </c>
      <c r="X84" s="21">
        <f>IF(OR($O84="",$W84=""),"",$O84-$W84)</f>
        <v/>
      </c>
      <c r="Y84" s="2" t="n"/>
      <c r="Z84" s="2" t="n"/>
    </row>
    <row r="85" ht="14.25" customHeight="1" s="58">
      <c r="A85" s="12" t="inlineStr">
        <is>
          <t>МАКС</t>
        </is>
      </c>
      <c r="B85" s="12" t="inlineStr">
        <is>
          <t>Лабытнанги</t>
        </is>
      </c>
      <c r="C85" s="13" t="n">
        <v>63</v>
      </c>
      <c r="D85" s="13" t="n">
        <v>7988</v>
      </c>
      <c r="E85" s="13">
        <f>IF($D85="","",IFERROR(IF(ISBLANK(INDIRECT("'"&amp;$Q$2&amp;"'!D"&amp;ROW())),"",INDIRECT("'"&amp;$Q$2&amp;"'!D"&amp;ROW())),""))</f>
        <v/>
      </c>
      <c r="F85" s="15" t="n"/>
      <c r="G85" s="16" t="n"/>
      <c r="H85" s="13" t="n"/>
      <c r="I85" s="13">
        <f>IF($H85="","",IFERROR(IF(ISBLANK(INDIRECT("'"&amp;$Q$2&amp;"'!H"&amp;ROW())),"",INDIRECT("'"&amp;$Q$2&amp;"'!H"&amp;ROW())),""))</f>
        <v/>
      </c>
      <c r="J85" s="15" t="n"/>
      <c r="K85" s="16" t="n"/>
      <c r="L85" s="13">
        <f>IFERROR(D85/C85,"")</f>
        <v/>
      </c>
      <c r="M85" s="13">
        <f>IFERROR(H85/D85*1000,"")</f>
        <v/>
      </c>
      <c r="N85" s="13" t="n">
        <v>257</v>
      </c>
      <c r="O85" s="15" t="n">
        <v>4</v>
      </c>
      <c r="P85" s="2" t="n"/>
      <c r="Q85" s="2" t="n"/>
      <c r="R85" s="2" t="n"/>
      <c r="S85" s="18">
        <f>IFERROR(IF(ISBLANK(INDIRECT("'"&amp;$Q$2&amp;"'!G"&amp;ROW())),"",INDIRECT("'"&amp;$Q$2&amp;"'!G"&amp;ROW())),"")</f>
        <v/>
      </c>
      <c r="T85" s="20">
        <f>IF(OR($G85="",$S85=""),"",$G85-$S85)</f>
        <v/>
      </c>
      <c r="U85" s="18">
        <f>IFERROR(IF(ISBLANK(INDIRECT("'"&amp;$Q$2&amp;"'!K"&amp;ROW())),"",INDIRECT("'"&amp;$Q$2&amp;"'!K"&amp;ROW())),"")</f>
        <v/>
      </c>
      <c r="V85" s="20">
        <f>IF(OR($K85="",$U85=""),"",$K85-$U85)</f>
        <v/>
      </c>
      <c r="W85" s="21">
        <f>IFERROR(IF(ISBLANK(INDIRECT("'"&amp;$Q$2&amp;"'!O"&amp;ROW())),"",INDIRECT("'"&amp;$Q$2&amp;"'!O"&amp;ROW())),"")</f>
        <v/>
      </c>
      <c r="X85" s="21">
        <f>IF(OR($O85="",$W85=""),"",$O85-$W85)</f>
        <v/>
      </c>
      <c r="Y85" s="2" t="n"/>
      <c r="Z85" s="2" t="n"/>
    </row>
    <row r="86" ht="14.25" customHeight="1" s="58">
      <c r="A86" s="12" t="inlineStr">
        <is>
          <t>МАКС</t>
        </is>
      </c>
      <c r="B86" s="12" t="inlineStr">
        <is>
          <t>Пуровский</t>
        </is>
      </c>
      <c r="C86" s="13" t="n">
        <v>52</v>
      </c>
      <c r="D86" s="13" t="n">
        <v>45339</v>
      </c>
      <c r="E86" s="13">
        <f>IF($D86="","",IFERROR(IF(ISBLANK(INDIRECT("'"&amp;$Q$2&amp;"'!D"&amp;ROW())),"",INDIRECT("'"&amp;$Q$2&amp;"'!D"&amp;ROW())),""))</f>
        <v/>
      </c>
      <c r="F86" s="15" t="n"/>
      <c r="G86" s="16" t="n"/>
      <c r="H86" s="13" t="n"/>
      <c r="I86" s="13">
        <f>IF($H86="","",IFERROR(IF(ISBLANK(INDIRECT("'"&amp;$Q$2&amp;"'!H"&amp;ROW())),"",INDIRECT("'"&amp;$Q$2&amp;"'!H"&amp;ROW())),""))</f>
        <v/>
      </c>
      <c r="J86" s="15" t="n"/>
      <c r="K86" s="16" t="n"/>
      <c r="L86" s="13">
        <f>IFERROR(D86/C86,"")</f>
        <v/>
      </c>
      <c r="M86" s="13">
        <f>IFERROR(H86/D86*1000,"")</f>
        <v/>
      </c>
      <c r="N86" s="13" t="n">
        <v>1838</v>
      </c>
      <c r="O86" s="15" t="n">
        <v>4</v>
      </c>
      <c r="P86" s="2" t="n"/>
      <c r="Q86" s="2" t="n"/>
      <c r="R86" s="2" t="n"/>
      <c r="S86" s="18">
        <f>IFERROR(IF(ISBLANK(INDIRECT("'"&amp;$Q$2&amp;"'!G"&amp;ROW())),"",INDIRECT("'"&amp;$Q$2&amp;"'!G"&amp;ROW())),"")</f>
        <v/>
      </c>
      <c r="T86" s="20">
        <f>IF(OR($G86="",$S86=""),"",$G86-$S86)</f>
        <v/>
      </c>
      <c r="U86" s="18">
        <f>IFERROR(IF(ISBLANK(INDIRECT("'"&amp;$Q$2&amp;"'!K"&amp;ROW())),"",INDIRECT("'"&amp;$Q$2&amp;"'!K"&amp;ROW())),"")</f>
        <v/>
      </c>
      <c r="V86" s="20">
        <f>IF(OR($K86="",$U86=""),"",$K86-$U86)</f>
        <v/>
      </c>
      <c r="W86" s="21">
        <f>IFERROR(IF(ISBLANK(INDIRECT("'"&amp;$Q$2&amp;"'!O"&amp;ROW())),"",INDIRECT("'"&amp;$Q$2&amp;"'!O"&amp;ROW())),"")</f>
        <v/>
      </c>
      <c r="X86" s="21">
        <f>IF(OR($O86="",$W86=""),"",$O86-$W86)</f>
        <v/>
      </c>
      <c r="Y86" s="2" t="n"/>
      <c r="Z86" s="2" t="n"/>
    </row>
    <row r="87" ht="14.25" customHeight="1" s="58">
      <c r="A87" s="12" t="inlineStr">
        <is>
          <t>МАКС</t>
        </is>
      </c>
      <c r="B87" s="12" t="inlineStr">
        <is>
          <t>Тазовский</t>
        </is>
      </c>
      <c r="C87" s="13" t="n">
        <v>49</v>
      </c>
      <c r="D87" s="13" t="n">
        <v>10293</v>
      </c>
      <c r="E87" s="13">
        <f>IF($D87="","",IFERROR(IF(ISBLANK(INDIRECT("'"&amp;$Q$2&amp;"'!D"&amp;ROW())),"",INDIRECT("'"&amp;$Q$2&amp;"'!D"&amp;ROW())),""))</f>
        <v/>
      </c>
      <c r="F87" s="15" t="n"/>
      <c r="G87" s="16" t="n"/>
      <c r="H87" s="13" t="n"/>
      <c r="I87" s="13">
        <f>IF($H87="","",IFERROR(IF(ISBLANK(INDIRECT("'"&amp;$Q$2&amp;"'!H"&amp;ROW())),"",INDIRECT("'"&amp;$Q$2&amp;"'!H"&amp;ROW())),""))</f>
        <v/>
      </c>
      <c r="J87" s="15" t="n"/>
      <c r="K87" s="16" t="n"/>
      <c r="L87" s="13">
        <f>IFERROR(D87/C87,"")</f>
        <v/>
      </c>
      <c r="M87" s="13">
        <f>IFERROR(H87/D87*1000,"")</f>
        <v/>
      </c>
      <c r="N87" s="13" t="n">
        <v>475</v>
      </c>
      <c r="O87" s="15" t="n">
        <v>13</v>
      </c>
      <c r="P87" s="2" t="n"/>
      <c r="Q87" s="2" t="n"/>
      <c r="R87" s="2" t="n"/>
      <c r="S87" s="18">
        <f>IFERROR(IF(ISBLANK(INDIRECT("'"&amp;$Q$2&amp;"'!G"&amp;ROW())),"",INDIRECT("'"&amp;$Q$2&amp;"'!G"&amp;ROW())),"")</f>
        <v/>
      </c>
      <c r="T87" s="20">
        <f>IF(OR($G87="",$S87=""),"",$G87-$S87)</f>
        <v/>
      </c>
      <c r="U87" s="18">
        <f>IFERROR(IF(ISBLANK(INDIRECT("'"&amp;$Q$2&amp;"'!K"&amp;ROW())),"",INDIRECT("'"&amp;$Q$2&amp;"'!K"&amp;ROW())),"")</f>
        <v/>
      </c>
      <c r="V87" s="20">
        <f>IF(OR($K87="",$U87=""),"",$K87-$U87)</f>
        <v/>
      </c>
      <c r="W87" s="21">
        <f>IFERROR(IF(ISBLANK(INDIRECT("'"&amp;$Q$2&amp;"'!O"&amp;ROW())),"",INDIRECT("'"&amp;$Q$2&amp;"'!O"&amp;ROW())),"")</f>
        <v/>
      </c>
      <c r="X87" s="21">
        <f>IF(OR($O87="",$W87=""),"",$O87-$W87)</f>
        <v/>
      </c>
      <c r="Y87" s="2" t="n"/>
      <c r="Z87" s="2" t="n"/>
    </row>
    <row r="88" ht="14.25" customHeight="1" s="58">
      <c r="A88" s="12" t="inlineStr">
        <is>
          <t>МАКС</t>
        </is>
      </c>
      <c r="B88" s="12" t="inlineStr">
        <is>
          <t>Красноселькуп</t>
        </is>
      </c>
      <c r="C88" s="13" t="n">
        <v>30</v>
      </c>
      <c r="D88" s="13" t="n">
        <v>6253</v>
      </c>
      <c r="E88" s="13">
        <f>IF($D88="","",IFERROR(IF(ISBLANK(INDIRECT("'"&amp;$Q$2&amp;"'!D"&amp;ROW())),"",INDIRECT("'"&amp;$Q$2&amp;"'!D"&amp;ROW())),""))</f>
        <v/>
      </c>
      <c r="F88" s="15" t="n"/>
      <c r="G88" s="16" t="n"/>
      <c r="H88" s="13" t="n"/>
      <c r="I88" s="13">
        <f>IF($H88="","",IFERROR(IF(ISBLANK(INDIRECT("'"&amp;$Q$2&amp;"'!H"&amp;ROW())),"",INDIRECT("'"&amp;$Q$2&amp;"'!H"&amp;ROW())),""))</f>
        <v/>
      </c>
      <c r="J88" s="15" t="n"/>
      <c r="K88" s="16" t="n"/>
      <c r="L88" s="13">
        <f>IFERROR(D88/C88,"")</f>
        <v/>
      </c>
      <c r="M88" s="13">
        <f>IFERROR(H88/D88*1000,"")</f>
        <v/>
      </c>
      <c r="N88" s="13" t="n">
        <v>402</v>
      </c>
      <c r="O88" s="15" t="n">
        <v>6</v>
      </c>
      <c r="P88" s="2" t="n"/>
      <c r="Q88" s="2" t="n"/>
      <c r="R88" s="2" t="n"/>
      <c r="S88" s="18">
        <f>IFERROR(IF(ISBLANK(INDIRECT("'"&amp;$Q$2&amp;"'!G"&amp;ROW())),"",INDIRECT("'"&amp;$Q$2&amp;"'!G"&amp;ROW())),"")</f>
        <v/>
      </c>
      <c r="T88" s="20">
        <f>IF(OR($G88="",$S88=""),"",$G88-$S88)</f>
        <v/>
      </c>
      <c r="U88" s="18">
        <f>IFERROR(IF(ISBLANK(INDIRECT("'"&amp;$Q$2&amp;"'!K"&amp;ROW())),"",INDIRECT("'"&amp;$Q$2&amp;"'!K"&amp;ROW())),"")</f>
        <v/>
      </c>
      <c r="V88" s="20">
        <f>IF(OR($K88="",$U88=""),"",$K88-$U88)</f>
        <v/>
      </c>
      <c r="W88" s="21">
        <f>IFERROR(IF(ISBLANK(INDIRECT("'"&amp;$Q$2&amp;"'!O"&amp;ROW())),"",INDIRECT("'"&amp;$Q$2&amp;"'!O"&amp;ROW())),"")</f>
        <v/>
      </c>
      <c r="X88" s="21">
        <f>IF(OR($O88="",$W88=""),"",$O88-$W88)</f>
        <v/>
      </c>
      <c r="Y88" s="2" t="n"/>
      <c r="Z88" s="2" t="n"/>
    </row>
    <row r="89" ht="14.25" customHeight="1" s="58">
      <c r="A89" s="12" t="inlineStr">
        <is>
          <t>МАКС</t>
        </is>
      </c>
      <c r="B89" s="12" t="inlineStr">
        <is>
          <t>Ямальский</t>
        </is>
      </c>
      <c r="C89" s="13" t="n">
        <v>54</v>
      </c>
      <c r="D89" s="13" t="n">
        <v>9659</v>
      </c>
      <c r="E89" s="13">
        <f>IF($D89="","",IFERROR(IF(ISBLANK(INDIRECT("'"&amp;$Q$2&amp;"'!D"&amp;ROW())),"",INDIRECT("'"&amp;$Q$2&amp;"'!D"&amp;ROW())),""))</f>
        <v/>
      </c>
      <c r="F89" s="15" t="n"/>
      <c r="G89" s="16" t="n"/>
      <c r="H89" s="13" t="n"/>
      <c r="I89" s="13">
        <f>IF($H89="","",IFERROR(IF(ISBLANK(INDIRECT("'"&amp;$Q$2&amp;"'!H"&amp;ROW())),"",INDIRECT("'"&amp;$Q$2&amp;"'!H"&amp;ROW())),""))</f>
        <v/>
      </c>
      <c r="J89" s="15" t="n"/>
      <c r="K89" s="16" t="n"/>
      <c r="L89" s="13">
        <f>IFERROR(D89/C89,"")</f>
        <v/>
      </c>
      <c r="M89" s="13">
        <f>IFERROR(H89/D89*1000,"")</f>
        <v/>
      </c>
      <c r="N89" s="13" t="n">
        <v>441</v>
      </c>
      <c r="O89" s="15" t="n">
        <v>2</v>
      </c>
      <c r="P89" s="2" t="n"/>
      <c r="Q89" s="2" t="n"/>
      <c r="R89" s="2" t="n"/>
      <c r="S89" s="18">
        <f>IFERROR(IF(ISBLANK(INDIRECT("'"&amp;$Q$2&amp;"'!G"&amp;ROW())),"",INDIRECT("'"&amp;$Q$2&amp;"'!G"&amp;ROW())),"")</f>
        <v/>
      </c>
      <c r="T89" s="20">
        <f>IF(OR($G89="",$S89=""),"",$G89-$S89)</f>
        <v/>
      </c>
      <c r="U89" s="18">
        <f>IFERROR(IF(ISBLANK(INDIRECT("'"&amp;$Q$2&amp;"'!K"&amp;ROW())),"",INDIRECT("'"&amp;$Q$2&amp;"'!K"&amp;ROW())),"")</f>
        <v/>
      </c>
      <c r="V89" s="20">
        <f>IF(OR($K89="",$U89=""),"",$K89-$U89)</f>
        <v/>
      </c>
      <c r="W89" s="21">
        <f>IFERROR(IF(ISBLANK(INDIRECT("'"&amp;$Q$2&amp;"'!O"&amp;ROW())),"",INDIRECT("'"&amp;$Q$2&amp;"'!O"&amp;ROW())),"")</f>
        <v/>
      </c>
      <c r="X89" s="21">
        <f>IF(OR($O89="",$W89=""),"",$O89-$W89)</f>
        <v/>
      </c>
      <c r="Y89" s="2" t="n"/>
      <c r="Z89" s="2" t="n"/>
    </row>
    <row r="90" ht="14.25" customHeight="1" s="58">
      <c r="A90" s="12" t="inlineStr">
        <is>
          <t>МАКС</t>
        </is>
      </c>
      <c r="B90" s="12" t="inlineStr">
        <is>
          <t>Шурышкарский</t>
        </is>
      </c>
      <c r="C90" s="13" t="n">
        <v>58</v>
      </c>
      <c r="D90" s="13" t="n">
        <v>29380</v>
      </c>
      <c r="E90" s="13">
        <f>IF($D90="","",IFERROR(IF(ISBLANK(INDIRECT("'"&amp;$Q$2&amp;"'!D"&amp;ROW())),"",INDIRECT("'"&amp;$Q$2&amp;"'!D"&amp;ROW())),""))</f>
        <v/>
      </c>
      <c r="F90" s="15" t="n"/>
      <c r="G90" s="16" t="n"/>
      <c r="H90" s="13" t="n"/>
      <c r="I90" s="13">
        <f>IF($H90="","",IFERROR(IF(ISBLANK(INDIRECT("'"&amp;$Q$2&amp;"'!H"&amp;ROW())),"",INDIRECT("'"&amp;$Q$2&amp;"'!H"&amp;ROW())),""))</f>
        <v/>
      </c>
      <c r="J90" s="15" t="n"/>
      <c r="K90" s="16" t="n"/>
      <c r="L90" s="13">
        <f>IFERROR(D90/C90,"")</f>
        <v/>
      </c>
      <c r="M90" s="13">
        <f>IFERROR(H90/D90*1000,"")</f>
        <v/>
      </c>
      <c r="N90" s="13" t="n">
        <v>1441</v>
      </c>
      <c r="O90" s="15" t="n">
        <v>6</v>
      </c>
      <c r="P90" s="2" t="n"/>
      <c r="Q90" s="2" t="n"/>
      <c r="R90" s="2" t="n"/>
      <c r="S90" s="18">
        <f>IFERROR(IF(ISBLANK(INDIRECT("'"&amp;$Q$2&amp;"'!G"&amp;ROW())),"",INDIRECT("'"&amp;$Q$2&amp;"'!G"&amp;ROW())),"")</f>
        <v/>
      </c>
      <c r="T90" s="20">
        <f>IF(OR($G90="",$S90=""),"",$G90-$S90)</f>
        <v/>
      </c>
      <c r="U90" s="18">
        <f>IFERROR(IF(ISBLANK(INDIRECT("'"&amp;$Q$2&amp;"'!K"&amp;ROW())),"",INDIRECT("'"&amp;$Q$2&amp;"'!K"&amp;ROW())),"")</f>
        <v/>
      </c>
      <c r="V90" s="20">
        <f>IF(OR($K90="",$U90=""),"",$K90-$U90)</f>
        <v/>
      </c>
      <c r="W90" s="21">
        <f>IFERROR(IF(ISBLANK(INDIRECT("'"&amp;$Q$2&amp;"'!O"&amp;ROW())),"",INDIRECT("'"&amp;$Q$2&amp;"'!O"&amp;ROW())),"")</f>
        <v/>
      </c>
      <c r="X90" s="21">
        <f>IF(OR($O90="",$W90=""),"",$O90-$W90)</f>
        <v/>
      </c>
      <c r="Y90" s="2" t="n"/>
      <c r="Z90" s="2" t="n"/>
    </row>
    <row r="91" ht="14.25" customHeight="1" s="58">
      <c r="A91" s="12" t="inlineStr">
        <is>
          <t>МАКС</t>
        </is>
      </c>
      <c r="B91" s="12" t="inlineStr">
        <is>
          <t>Муравленко</t>
        </is>
      </c>
      <c r="C91" s="13" t="n">
        <v>63</v>
      </c>
      <c r="D91" s="13" t="n">
        <v>69350</v>
      </c>
      <c r="E91" s="13">
        <f>IF($D91="","",IFERROR(IF(ISBLANK(INDIRECT("'"&amp;$Q$2&amp;"'!D"&amp;ROW())),"",INDIRECT("'"&amp;$Q$2&amp;"'!D"&amp;ROW())),""))</f>
        <v/>
      </c>
      <c r="F91" s="15" t="n"/>
      <c r="G91" s="16" t="n"/>
      <c r="H91" s="13" t="n"/>
      <c r="I91" s="13">
        <f>IF($H91="","",IFERROR(IF(ISBLANK(INDIRECT("'"&amp;$Q$2&amp;"'!H"&amp;ROW())),"",INDIRECT("'"&amp;$Q$2&amp;"'!H"&amp;ROW())),""))</f>
        <v/>
      </c>
      <c r="J91" s="15" t="n"/>
      <c r="K91" s="16" t="n"/>
      <c r="L91" s="13">
        <f>IFERROR(D91/C91,"")</f>
        <v/>
      </c>
      <c r="M91" s="13">
        <f>IFERROR(H91/D91*1000,"")</f>
        <v/>
      </c>
      <c r="N91" s="13" t="n">
        <v>2209</v>
      </c>
      <c r="O91" s="15" t="n">
        <v>62</v>
      </c>
      <c r="P91" s="2" t="n"/>
      <c r="Q91" s="2" t="n"/>
      <c r="R91" s="2" t="n"/>
      <c r="S91" s="18">
        <f>IFERROR(IF(ISBLANK(INDIRECT("'"&amp;$Q$2&amp;"'!G"&amp;ROW())),"",INDIRECT("'"&amp;$Q$2&amp;"'!G"&amp;ROW())),"")</f>
        <v/>
      </c>
      <c r="T91" s="20">
        <f>IF(OR($G91="",$S91=""),"",$G91-$S91)</f>
        <v/>
      </c>
      <c r="U91" s="18">
        <f>IFERROR(IF(ISBLANK(INDIRECT("'"&amp;$Q$2&amp;"'!K"&amp;ROW())),"",INDIRECT("'"&amp;$Q$2&amp;"'!K"&amp;ROW())),"")</f>
        <v/>
      </c>
      <c r="V91" s="20">
        <f>IF(OR($K91="",$U91=""),"",$K91-$U91)</f>
        <v/>
      </c>
      <c r="W91" s="21">
        <f>IFERROR(IF(ISBLANK(INDIRECT("'"&amp;$Q$2&amp;"'!O"&amp;ROW())),"",INDIRECT("'"&amp;$Q$2&amp;"'!O"&amp;ROW())),"")</f>
        <v/>
      </c>
      <c r="X91" s="21">
        <f>IF(OR($O91="",$W91=""),"",$O91-$W91)</f>
        <v/>
      </c>
      <c r="Y91" s="2" t="n"/>
      <c r="Z91" s="2" t="n"/>
    </row>
    <row r="92" ht="14.25" customHeight="1" s="58">
      <c r="A92" s="12" t="inlineStr">
        <is>
          <t>МАКС</t>
        </is>
      </c>
      <c r="B92" s="12" t="inlineStr">
        <is>
          <t>Губкинский</t>
        </is>
      </c>
      <c r="C92" s="13" t="n">
        <v>114</v>
      </c>
      <c r="D92" s="13" t="n">
        <v>47993</v>
      </c>
      <c r="E92" s="13">
        <f>IF($D92="","",IFERROR(IF(ISBLANK(INDIRECT("'"&amp;$Q$2&amp;"'!D"&amp;ROW())),"",INDIRECT("'"&amp;$Q$2&amp;"'!D"&amp;ROW())),""))</f>
        <v/>
      </c>
      <c r="F92" s="15" t="n"/>
      <c r="G92" s="16" t="n"/>
      <c r="H92" s="13" t="n"/>
      <c r="I92" s="13">
        <f>IF($H92="","",IFERROR(IF(ISBLANK(INDIRECT("'"&amp;$Q$2&amp;"'!H"&amp;ROW())),"",INDIRECT("'"&amp;$Q$2&amp;"'!H"&amp;ROW())),""))</f>
        <v/>
      </c>
      <c r="J92" s="15" t="n"/>
      <c r="K92" s="16" t="n"/>
      <c r="L92" s="13">
        <f>IFERROR(D92/C92,"")</f>
        <v/>
      </c>
      <c r="M92" s="13">
        <f>IFERROR(H92/D92*1000,"")</f>
        <v/>
      </c>
      <c r="N92" s="13" t="n">
        <v>1010</v>
      </c>
      <c r="O92" s="15" t="n">
        <v>201</v>
      </c>
      <c r="P92" s="2" t="n"/>
      <c r="Q92" s="2" t="n"/>
      <c r="R92" s="2" t="n"/>
      <c r="S92" s="18">
        <f>IFERROR(IF(ISBLANK(INDIRECT("'"&amp;$Q$2&amp;"'!G"&amp;ROW())),"",INDIRECT("'"&amp;$Q$2&amp;"'!G"&amp;ROW())),"")</f>
        <v/>
      </c>
      <c r="T92" s="20">
        <f>IF(OR($G92="",$S92=""),"",$G92-$S92)</f>
        <v/>
      </c>
      <c r="U92" s="18">
        <f>IFERROR(IF(ISBLANK(INDIRECT("'"&amp;$Q$2&amp;"'!K"&amp;ROW())),"",INDIRECT("'"&amp;$Q$2&amp;"'!K"&amp;ROW())),"")</f>
        <v/>
      </c>
      <c r="V92" s="20">
        <f>IF(OR($K92="",$U92=""),"",$K92-$U92)</f>
        <v/>
      </c>
      <c r="W92" s="21">
        <f>IFERROR(IF(ISBLANK(INDIRECT("'"&amp;$Q$2&amp;"'!O"&amp;ROW())),"",INDIRECT("'"&amp;$Q$2&amp;"'!O"&amp;ROW())),"")</f>
        <v/>
      </c>
      <c r="X92" s="21">
        <f>IF(OR($O92="",$W92=""),"",$O92-$W92)</f>
        <v/>
      </c>
      <c r="Y92" s="2" t="n"/>
      <c r="Z92" s="2" t="n"/>
    </row>
    <row r="93" ht="14.25" customHeight="1" s="58">
      <c r="A93" s="12" t="inlineStr">
        <is>
          <t>МАКС</t>
        </is>
      </c>
      <c r="B93" s="12" t="inlineStr">
        <is>
          <t>Не олени</t>
        </is>
      </c>
      <c r="C93" s="13" t="n">
        <v>21</v>
      </c>
      <c r="D93" s="13" t="n">
        <v>10005</v>
      </c>
      <c r="E93" s="13">
        <f>IF($D93="","",IFERROR(IF(ISBLANK(INDIRECT("'"&amp;$Q$2&amp;"'!D"&amp;ROW())),"",INDIRECT("'"&amp;$Q$2&amp;"'!D"&amp;ROW())),""))</f>
        <v/>
      </c>
      <c r="F93" s="15" t="n"/>
      <c r="G93" s="16" t="n"/>
      <c r="H93" s="13" t="n"/>
      <c r="I93" s="13">
        <f>IF($H93="","",IFERROR(IF(ISBLANK(INDIRECT("'"&amp;$Q$2&amp;"'!H"&amp;ROW())),"",INDIRECT("'"&amp;$Q$2&amp;"'!H"&amp;ROW())),""))</f>
        <v/>
      </c>
      <c r="J93" s="15" t="n"/>
      <c r="K93" s="16" t="n"/>
      <c r="L93" s="13">
        <f>IFERROR(D93/C93,"")</f>
        <v/>
      </c>
      <c r="M93" s="13">
        <f>IFERROR(H93/D93*1000,"")</f>
        <v/>
      </c>
      <c r="N93" s="13" t="n">
        <v>1331</v>
      </c>
      <c r="O93" s="15" t="n">
        <v>1</v>
      </c>
      <c r="P93" s="2" t="n"/>
      <c r="Q93" s="2" t="n"/>
      <c r="R93" s="2" t="n"/>
      <c r="S93" s="18">
        <f>IFERROR(IF(ISBLANK(INDIRECT("'"&amp;$Q$2&amp;"'!G"&amp;ROW())),"",INDIRECT("'"&amp;$Q$2&amp;"'!G"&amp;ROW())),"")</f>
        <v/>
      </c>
      <c r="T93" s="20">
        <f>IF(OR($G93="",$S93=""),"",$G93-$S93)</f>
        <v/>
      </c>
      <c r="U93" s="18">
        <f>IFERROR(IF(ISBLANK(INDIRECT("'"&amp;$Q$2&amp;"'!K"&amp;ROW())),"",INDIRECT("'"&amp;$Q$2&amp;"'!K"&amp;ROW())),"")</f>
        <v/>
      </c>
      <c r="V93" s="20">
        <f>IF(OR($K93="",$U93=""),"",$K93-$U93)</f>
        <v/>
      </c>
      <c r="W93" s="21">
        <f>IFERROR(IF(ISBLANK(INDIRECT("'"&amp;$Q$2&amp;"'!O"&amp;ROW())),"",INDIRECT("'"&amp;$Q$2&amp;"'!O"&amp;ROW())),"")</f>
        <v/>
      </c>
      <c r="X93" s="21">
        <f>IF(OR($O93="",$W93=""),"",$O93-$W93)</f>
        <v/>
      </c>
      <c r="Y93" s="2" t="n"/>
      <c r="Z93" s="2" t="n"/>
    </row>
    <row r="94" ht="14.25" customHeight="1" s="58">
      <c r="A94" s="12" t="inlineStr">
        <is>
          <t>МАКС</t>
        </is>
      </c>
      <c r="B94" s="12" t="inlineStr">
        <is>
          <t>Ямальский меридиан</t>
        </is>
      </c>
      <c r="C94" s="13" t="n">
        <v>7</v>
      </c>
      <c r="D94" s="13" t="n">
        <v>794</v>
      </c>
      <c r="E94" s="13">
        <f>IF($D94="","",IFERROR(IF(ISBLANK(INDIRECT("'"&amp;$Q$2&amp;"'!D"&amp;ROW())),"",INDIRECT("'"&amp;$Q$2&amp;"'!D"&amp;ROW())),""))</f>
        <v/>
      </c>
      <c r="F94" s="15" t="n"/>
      <c r="G94" s="16" t="n"/>
      <c r="H94" s="13" t="n"/>
      <c r="I94" s="13">
        <f>IF($H94="","",IFERROR(IF(ISBLANK(INDIRECT("'"&amp;$Q$2&amp;"'!H"&amp;ROW())),"",INDIRECT("'"&amp;$Q$2&amp;"'!H"&amp;ROW())),""))</f>
        <v/>
      </c>
      <c r="J94" s="15" t="n"/>
      <c r="K94" s="16" t="n"/>
      <c r="L94" s="13">
        <f>IFERROR(D94/C94,"")</f>
        <v/>
      </c>
      <c r="M94" s="13">
        <f>IFERROR(H94/D94*1000,"")</f>
        <v/>
      </c>
      <c r="N94" s="13" t="n">
        <v>226</v>
      </c>
      <c r="O94" s="15" t="n">
        <v>3</v>
      </c>
      <c r="P94" s="2" t="n"/>
      <c r="Q94" s="2" t="n"/>
      <c r="R94" s="2" t="n"/>
      <c r="S94" s="18">
        <f>IFERROR(IF(ISBLANK(INDIRECT("'"&amp;$Q$2&amp;"'!G"&amp;ROW())),"",INDIRECT("'"&amp;$Q$2&amp;"'!G"&amp;ROW())),"")</f>
        <v/>
      </c>
      <c r="T94" s="20">
        <f>IF(OR($G94="",$S94=""),"",$G94-$S94)</f>
        <v/>
      </c>
      <c r="U94" s="18">
        <f>IFERROR(IF(ISBLANK(INDIRECT("'"&amp;$Q$2&amp;"'!K"&amp;ROW())),"",INDIRECT("'"&amp;$Q$2&amp;"'!K"&amp;ROW())),"")</f>
        <v/>
      </c>
      <c r="V94" s="20">
        <f>IF(OR($K94="",$U94=""),"",$K94-$U94)</f>
        <v/>
      </c>
      <c r="W94" s="21">
        <f>IFERROR(IF(ISBLANK(INDIRECT("'"&amp;$Q$2&amp;"'!O"&amp;ROW())),"",INDIRECT("'"&amp;$Q$2&amp;"'!O"&amp;ROW())),"")</f>
        <v/>
      </c>
      <c r="X94" s="21">
        <f>IF(OR($O94="",$W94=""),"",$O94-$W94)</f>
        <v/>
      </c>
      <c r="Y94" s="2" t="n"/>
      <c r="Z94" s="2" t="n"/>
    </row>
    <row r="95" ht="14.25" customHeight="1" s="58">
      <c r="A95" s="12" t="inlineStr">
        <is>
          <t>МАКС</t>
        </is>
      </c>
      <c r="B95" s="12" t="inlineStr">
        <is>
          <t>Морошка</t>
        </is>
      </c>
      <c r="C95" s="13" t="n">
        <v>5</v>
      </c>
      <c r="D95" s="13" t="n">
        <v>1952</v>
      </c>
      <c r="E95" s="13">
        <f>IF($D95="","",IFERROR(IF(ISBLANK(INDIRECT("'"&amp;$Q$2&amp;"'!D"&amp;ROW())),"",INDIRECT("'"&amp;$Q$2&amp;"'!D"&amp;ROW())),""))</f>
        <v/>
      </c>
      <c r="F95" s="15" t="n"/>
      <c r="G95" s="16" t="n"/>
      <c r="H95" s="13" t="n"/>
      <c r="I95" s="13">
        <f>IF($H95="","",IFERROR(IF(ISBLANK(INDIRECT("'"&amp;$Q$2&amp;"'!H"&amp;ROW())),"",INDIRECT("'"&amp;$Q$2&amp;"'!H"&amp;ROW())),""))</f>
        <v/>
      </c>
      <c r="J95" s="15" t="n"/>
      <c r="K95" s="16" t="n"/>
      <c r="L95" s="13">
        <f>IFERROR(D95/C95,"")</f>
        <v/>
      </c>
      <c r="M95" s="13">
        <f>IFERROR(H95/D95*1000,"")</f>
        <v/>
      </c>
      <c r="N95" s="13" t="n">
        <v>248</v>
      </c>
      <c r="O95" s="15" t="n">
        <v>5</v>
      </c>
      <c r="P95" s="2" t="n"/>
      <c r="Q95" s="2" t="n"/>
      <c r="R95" s="2" t="n"/>
      <c r="S95" s="18">
        <f>IFERROR(IF(ISBLANK(INDIRECT("'"&amp;$Q$2&amp;"'!G"&amp;ROW())),"",INDIRECT("'"&amp;$Q$2&amp;"'!G"&amp;ROW())),"")</f>
        <v/>
      </c>
      <c r="T95" s="20">
        <f>IF(OR($G95="",$S95=""),"",$G95-$S95)</f>
        <v/>
      </c>
      <c r="U95" s="18">
        <f>IFERROR(IF(ISBLANK(INDIRECT("'"&amp;$Q$2&amp;"'!K"&amp;ROW())),"",INDIRECT("'"&amp;$Q$2&amp;"'!K"&amp;ROW())),"")</f>
        <v/>
      </c>
      <c r="V95" s="20">
        <f>IF(OR($K95="",$U95=""),"",$K95-$U95)</f>
        <v/>
      </c>
      <c r="W95" s="21">
        <f>IFERROR(IF(ISBLANK(INDIRECT("'"&amp;$Q$2&amp;"'!O"&amp;ROW())),"",INDIRECT("'"&amp;$Q$2&amp;"'!O"&amp;ROW())),"")</f>
        <v/>
      </c>
      <c r="X95" s="21">
        <f>IF(OR($O95="",$W95=""),"",$O95-$W95)</f>
        <v/>
      </c>
      <c r="Y95" s="2" t="n"/>
      <c r="Z95" s="2" t="n"/>
    </row>
    <row r="96" ht="14.25" customHeight="1" s="58">
      <c r="A96" s="25" t="n"/>
      <c r="B96" s="25" t="inlineStr">
        <is>
          <t>Итого МАКС</t>
        </is>
      </c>
      <c r="C96" s="26">
        <f>SUM(C75:C95)</f>
        <v/>
      </c>
      <c r="D96" s="26">
        <f>SUM(D75:D95)</f>
        <v/>
      </c>
      <c r="E96" s="26">
        <f>SUM(E75:E95)</f>
        <v/>
      </c>
      <c r="F96" s="27">
        <f>SUM(F75:F95)</f>
        <v/>
      </c>
      <c r="G96" s="28">
        <f>IF(C96=0,"",IFERROR(F96/E96,""))</f>
        <v/>
      </c>
      <c r="H96" s="26">
        <f>SUM(H75:H95)</f>
        <v/>
      </c>
      <c r="I96" s="26">
        <f>SUM(I75:I95)</f>
        <v/>
      </c>
      <c r="J96" s="27">
        <f>SUM(J75:J95)</f>
        <v/>
      </c>
      <c r="K96" s="28">
        <f>IF(C96=0,"",IFERROR(J96/I96,""))</f>
        <v/>
      </c>
      <c r="L96" s="26">
        <f>IFERROR(D96/C96,"")</f>
        <v/>
      </c>
      <c r="M96" s="26">
        <f>IFERROR(H96/D96*1000,"")</f>
        <v/>
      </c>
      <c r="N96" s="26">
        <f>SUM(N75:N95)</f>
        <v/>
      </c>
      <c r="O96" s="27">
        <f>SUM(O75:O95)</f>
        <v/>
      </c>
      <c r="P96" s="2" t="n"/>
      <c r="Q96" s="2" t="n"/>
      <c r="R96" s="2" t="n"/>
      <c r="S96" s="29">
        <f>IFERROR(IF(ISBLANK(INDIRECT("'"&amp;$Q$2&amp;"'!G"&amp;ROW())),"",INDIRECT("'"&amp;$Q$2&amp;"'!G"&amp;ROW())),"")</f>
        <v/>
      </c>
      <c r="T96" s="30">
        <f>IF(OR($G96="",$S96=""),"",$G96-$S96)</f>
        <v/>
      </c>
      <c r="U96" s="29">
        <f>IFERROR(IF(ISBLANK(INDIRECT("'"&amp;$Q$2&amp;"'!K"&amp;ROW())),"",INDIRECT("'"&amp;$Q$2&amp;"'!K"&amp;ROW())),"")</f>
        <v/>
      </c>
      <c r="V96" s="30">
        <f>IF(OR($K96="",$U96=""),"",$K96-$U96)</f>
        <v/>
      </c>
      <c r="W96" s="31">
        <f>IFERROR(IF(ISBLANK(INDIRECT("'"&amp;$Q$2&amp;"'!O"&amp;ROW())),"",INDIRECT("'"&amp;$Q$2&amp;"'!O"&amp;ROW())),"")</f>
        <v/>
      </c>
      <c r="X96" s="31">
        <f>IF(OR(C96=0,$O96="",$W96=""),"",$O96-$W96)</f>
        <v/>
      </c>
      <c r="Y96" s="2" t="n"/>
      <c r="Z96" s="2" t="n"/>
    </row>
    <row r="97" ht="14.25" customHeight="1" s="58">
      <c r="A97" s="39" t="n"/>
      <c r="B97" s="39" t="inlineStr">
        <is>
          <t>ИТОГО по холдингу</t>
        </is>
      </c>
      <c r="C97" s="40">
        <f>C30+C51+C74+C96</f>
        <v/>
      </c>
      <c r="D97" s="40">
        <f>D30+D51+D74+D96</f>
        <v/>
      </c>
      <c r="E97" s="40">
        <f>E30+E51+E74+E96</f>
        <v/>
      </c>
      <c r="F97" s="41">
        <f>F30+F51+F74+F96</f>
        <v/>
      </c>
      <c r="G97" s="42">
        <f>IF(OR(C30=0,C51=0,C74=0,C96=0),"",IFERROR(F97/E97,""))</f>
        <v/>
      </c>
      <c r="H97" s="40">
        <f>H30+H51+H74+H96</f>
        <v/>
      </c>
      <c r="I97" s="40">
        <f>I30+I51+I74+I96</f>
        <v/>
      </c>
      <c r="J97" s="41">
        <f>J30+J51+J74+J96</f>
        <v/>
      </c>
      <c r="K97" s="42">
        <f>IF(OR(C30=0,C51=0,C74=0,C96=0),"",IFERROR(J97/I97,""))</f>
        <v/>
      </c>
      <c r="L97" s="40">
        <f>IFERROR(D97/C97,"")</f>
        <v/>
      </c>
      <c r="M97" s="40">
        <f>IFERROR(H97/D97*1000,"")</f>
        <v/>
      </c>
      <c r="N97" s="40">
        <f>N30+N51+N74+N96</f>
        <v/>
      </c>
      <c r="O97" s="41">
        <f>O30+O51+O74+O96</f>
        <v/>
      </c>
      <c r="P97" s="2" t="n"/>
      <c r="Q97" s="2" t="n"/>
      <c r="R97" s="2" t="n"/>
      <c r="S97" s="29">
        <f>IFERROR(IF(ISBLANK(INDIRECT("'"&amp;$Q$2&amp;"'!G"&amp;ROW())),"",INDIRECT("'"&amp;$Q$2&amp;"'!G"&amp;ROW())),"")</f>
        <v/>
      </c>
      <c r="T97" s="30">
        <f>IF(OR($G97="",$S97=""),"",$G97-$S97)</f>
        <v/>
      </c>
      <c r="U97" s="29">
        <f>IFERROR(IF(ISBLANK(INDIRECT("'"&amp;$Q$2&amp;"'!K"&amp;ROW())),"",INDIRECT("'"&amp;$Q$2&amp;"'!K"&amp;ROW())),"")</f>
        <v/>
      </c>
      <c r="V97" s="30">
        <f>IF(OR($K97="",$U97=""),"",$K97-$U97)</f>
        <v/>
      </c>
      <c r="W97" s="31">
        <f>IFERROR(IF(ISBLANK(INDIRECT("'"&amp;$Q$2&amp;"'!O"&amp;ROW())),"",INDIRECT("'"&amp;$Q$2&amp;"'!O"&amp;ROW())),"")</f>
        <v/>
      </c>
      <c r="X97" s="31">
        <f>IF(OR(C30=0,C51=0,C74=0,C96=0),"",$O97-$W97)</f>
        <v/>
      </c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autoFilter ref="A2:O96"/>
  <conditionalFormatting sqref="G3:G97">
    <cfRule type="expression" priority="1" dxfId="3" stopIfTrue="1">
      <formula>AND(ISNUMBER(G3),G3&gt;=0.2)</formula>
    </cfRule>
    <cfRule type="expression" priority="2" dxfId="2" stopIfTrue="1">
      <formula>AND(ISNUMBER(G3),G3&lt;=-0.2)</formula>
    </cfRule>
    <cfRule type="expression" priority="3" dxfId="1" stopIfTrue="1">
      <formula>AND(ISNUMBER(G3),G3&gt;0)</formula>
    </cfRule>
    <cfRule type="expression" priority="4" dxfId="0" stopIfTrue="1">
      <formula>AND(ISNUMBER(G3),G3&lt;0)</formula>
    </cfRule>
  </conditionalFormatting>
  <conditionalFormatting sqref="K3:K97">
    <cfRule type="expression" priority="5" dxfId="3" stopIfTrue="1">
      <formula>AND(ISNUMBER(K3),K3&gt;=0.2)</formula>
    </cfRule>
    <cfRule type="expression" priority="6" dxfId="2" stopIfTrue="1">
      <formula>AND(ISNUMBER(K3),K3&lt;=-0.2)</formula>
    </cfRule>
    <cfRule type="expression" priority="7" dxfId="1" stopIfTrue="1">
      <formula>AND(ISNUMBER(K3),K3&gt;0)</formula>
    </cfRule>
    <cfRule type="expression" priority="8" dxfId="0" stopIfTrue="1">
      <formula>AND(ISNUMBER(K3),K3&lt;0)</formula>
    </cfRule>
  </conditionalFormatting>
  <conditionalFormatting sqref="T3:T97">
    <cfRule type="expression" priority="9" dxfId="3" stopIfTrue="1">
      <formula>AND(ISNUMBER(T3),T3&gt;=0.2)</formula>
    </cfRule>
    <cfRule type="expression" priority="10" dxfId="2" stopIfTrue="1">
      <formula>AND(ISNUMBER(T3),T3&lt;=-0.2)</formula>
    </cfRule>
    <cfRule type="expression" priority="11" dxfId="1" stopIfTrue="1">
      <formula>AND(ISNUMBER(T3),T3&gt;0)</formula>
    </cfRule>
    <cfRule type="expression" priority="12" dxfId="0" stopIfTrue="1">
      <formula>AND(ISNUMBER(T3),T3&lt;0)</formula>
    </cfRule>
  </conditionalFormatting>
  <conditionalFormatting sqref="V3:V97">
    <cfRule type="expression" priority="13" dxfId="3" stopIfTrue="1">
      <formula>AND(ISNUMBER(V3),V3&gt;=0.2)</formula>
    </cfRule>
    <cfRule type="expression" priority="14" dxfId="2" stopIfTrue="1">
      <formula>AND(ISNUMBER(V3),V3&lt;=-0.2)</formula>
    </cfRule>
    <cfRule type="expression" priority="15" dxfId="1" stopIfTrue="1">
      <formula>AND(ISNUMBER(V3),V3&gt;0)</formula>
    </cfRule>
    <cfRule type="expression" priority="16" dxfId="0" stopIfTrue="1">
      <formula>AND(ISNUMBER(V3),V3&lt;0)</formula>
    </cfRule>
  </conditionalFormatting>
  <conditionalFormatting sqref="F3:F97">
    <cfRule type="expression" priority="17" dxfId="1" stopIfTrue="1">
      <formula>AND(ISNUMBER(F3),F3&gt;0)</formula>
    </cfRule>
    <cfRule type="expression" priority="18" dxfId="0" stopIfTrue="1">
      <formula>AND(ISNUMBER(F3),F3&lt;0)</formula>
    </cfRule>
  </conditionalFormatting>
  <conditionalFormatting sqref="J3:J97">
    <cfRule type="expression" priority="19" dxfId="1" stopIfTrue="1">
      <formula>AND(ISNUMBER(J3),J3&gt;0)</formula>
    </cfRule>
    <cfRule type="expression" priority="20" dxfId="0" stopIfTrue="1">
      <formula>AND(ISNUMBER(J3),J3&lt;0)</formula>
    </cfRule>
  </conditionalFormatting>
  <conditionalFormatting sqref="O3:O97">
    <cfRule type="expression" priority="21" dxfId="1" stopIfTrue="1">
      <formula>AND(ISNUMBER(O3),O3&gt;0)</formula>
    </cfRule>
    <cfRule type="expression" priority="22" dxfId="0" stopIfTrue="1">
      <formula>AND(ISNUMBER(O3),O3&lt;0)</formula>
    </cfRule>
  </conditionalFormatting>
  <conditionalFormatting sqref="X3:X97">
    <cfRule type="expression" priority="23" dxfId="1" stopIfTrue="1">
      <formula>AND(ISNUMBER(X3),X3&gt;0)</formula>
    </cfRule>
    <cfRule type="expression" priority="24" dxfId="0" stopIfTrue="1">
      <formula>AND(ISNUMBER(X3),X3&lt;0)</formula>
    </cfRule>
  </conditionalFormatting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2" sqref="F22"/>
    </sheetView>
  </sheetViews>
  <sheetFormatPr baseColWidth="8" defaultColWidth="14.3984375" defaultRowHeight="15" customHeight="1"/>
  <cols>
    <col width="24" customWidth="1" style="58" min="1" max="1"/>
    <col width="11" customWidth="1" style="58" min="2" max="2"/>
    <col width="10" customWidth="1" style="58" min="3" max="4"/>
    <col width="11" customWidth="1" style="58" min="5" max="5"/>
    <col width="12" customWidth="1" style="58" min="6" max="7"/>
    <col width="10" customWidth="1" style="58" min="8" max="8"/>
    <col width="9" customWidth="1" style="58" min="9" max="10"/>
    <col width="10" customWidth="1" style="58" min="11" max="11"/>
    <col width="11" customWidth="1" style="58" min="12" max="12"/>
    <col width="12" customWidth="1" style="58" min="13" max="13"/>
    <col width="11" customWidth="1" style="58" min="14" max="14"/>
    <col width="14" customWidth="1" style="58" min="15" max="15"/>
  </cols>
  <sheetData>
    <row r="1" ht="17.25" customHeight="1" s="58">
      <c r="A1" s="1" t="inlineStr">
        <is>
          <t>Сравнение редакций по всем площадкам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58">
      <c r="A2" s="8" t="inlineStr">
        <is>
          <t>Неделя берётся из ячеек B2 и B3 листа «Сводка». «—» — у редакции нет аккаунта на этой площадке.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58">
      <c r="A3" s="22" t="inlineStr">
        <is>
          <t>Пока блок площадки не заполнен, Δ % здесь занижен: читать после того, как приедут ВК, ОК и ТГ.</t>
        </is>
      </c>
      <c r="B3" s="57" t="inlineStr">
        <is>
          <t>Просмотры</t>
        </is>
      </c>
      <c r="H3" s="57" t="inlineStr">
        <is>
          <t>Лайки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7.5" customHeight="1" s="58">
      <c r="A4" s="5" t="inlineStr">
        <is>
          <t>Редакция</t>
        </is>
      </c>
      <c r="B4" s="5" t="inlineStr">
        <is>
          <t>ВК</t>
        </is>
      </c>
      <c r="C4" s="5" t="inlineStr">
        <is>
          <t>ОК</t>
        </is>
      </c>
      <c r="D4" s="5" t="inlineStr">
        <is>
          <t>ТГ</t>
        </is>
      </c>
      <c r="E4" s="5" t="inlineStr">
        <is>
          <t>МАКС</t>
        </is>
      </c>
      <c r="F4" s="5" t="inlineStr">
        <is>
          <t>Итого</t>
        </is>
      </c>
      <c r="G4" s="5" t="inlineStr">
        <is>
          <t>Δ % к пред.</t>
        </is>
      </c>
      <c r="H4" s="5" t="inlineStr">
        <is>
          <t>ВК</t>
        </is>
      </c>
      <c r="I4" s="5" t="inlineStr">
        <is>
          <t>ОК</t>
        </is>
      </c>
      <c r="J4" s="5" t="inlineStr">
        <is>
          <t>ТГ</t>
        </is>
      </c>
      <c r="K4" s="5" t="inlineStr">
        <is>
          <t>МАКС</t>
        </is>
      </c>
      <c r="L4" s="5" t="inlineStr">
        <is>
          <t>Итого</t>
        </is>
      </c>
      <c r="M4" s="5" t="inlineStr">
        <is>
          <t>Δ % к пред.</t>
        </is>
      </c>
      <c r="N4" s="5" t="inlineStr">
        <is>
          <t>Публикаций</t>
        </is>
      </c>
      <c r="O4" s="5" t="inlineStr">
        <is>
          <t>Лайков на 1000
просмотров</t>
        </is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58">
      <c r="A5" s="43" t="inlineStr">
        <is>
          <t>Головные</t>
        </is>
      </c>
      <c r="B5" s="44" t="n"/>
      <c r="C5" s="44" t="n"/>
      <c r="D5" s="44" t="n"/>
      <c r="E5" s="44" t="n"/>
      <c r="F5" s="44" t="n"/>
      <c r="G5" s="45" t="n"/>
      <c r="H5" s="44" t="n"/>
      <c r="I5" s="44" t="n"/>
      <c r="J5" s="44" t="n"/>
      <c r="K5" s="44" t="n"/>
      <c r="L5" s="44" t="n"/>
      <c r="M5" s="45" t="n"/>
      <c r="N5" s="44" t="n"/>
      <c r="O5" s="46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 s="58">
      <c r="A6" s="12" t="inlineStr">
        <is>
          <t>Ямал-Медиа</t>
        </is>
      </c>
      <c r="B6" s="13">
        <f t="array" ref="B6">IF(INDIRECT("'"&amp;Сводка!$B$2&amp;"'!D3")="","—",INDIRECT("'"&amp;Сводка!$B$2&amp;"'!D3"))</f>
        <v/>
      </c>
      <c r="C6" s="13">
        <f t="array" ref="C6">IF(INDIRECT("'"&amp;Сводка!$B$2&amp;"'!D31")="","—",INDIRECT("'"&amp;Сводка!$B$2&amp;"'!D31"))</f>
        <v/>
      </c>
      <c r="D6" s="13">
        <f t="array" ref="D6">IF(INDIRECT("'"&amp;Сводка!$B$2&amp;"'!D52")="","—",INDIRECT("'"&amp;Сводка!$B$2&amp;"'!D52"))</f>
        <v/>
      </c>
      <c r="E6" s="13">
        <f t="array" ref="E6">IF(INDIRECT("'"&amp;Сводка!$B$2&amp;"'!D75")="","—",INDIRECT("'"&amp;Сводка!$B$2&amp;"'!D75"))</f>
        <v/>
      </c>
      <c r="F6" s="13">
        <f t="array" ref="F6">N(INDIRECT("'"&amp;Сводка!$B$2&amp;"'!D3"))+N(INDIRECT("'"&amp;Сводка!$B$2&amp;"'!D31"))+N(INDIRECT("'"&amp;Сводка!$B$2&amp;"'!D52"))+N(INDIRECT("'"&amp;Сводка!$B$2&amp;"'!D75"))</f>
        <v/>
      </c>
      <c r="G6" s="16">
        <f t="array" ref="G6">IFERROR(F6/(N(INDIRECT("'"&amp;Сводка!$B$3&amp;"'!D3"))+N(INDIRECT("'"&amp;Сводка!$B$3&amp;"'!D31"))+N(INDIRECT("'"&amp;Сводка!$B$3&amp;"'!D52"))+N(INDIRECT("'"&amp;Сводка!$B$3&amp;"'!D75")))-1,"")</f>
        <v/>
      </c>
      <c r="H6" s="13">
        <f t="array" ref="H6">IF(INDIRECT("'"&amp;Сводка!$B$2&amp;"'!H3")="","—",INDIRECT("'"&amp;Сводка!$B$2&amp;"'!H3"))</f>
        <v/>
      </c>
      <c r="I6" s="13">
        <f t="array" ref="I6">IF(INDIRECT("'"&amp;Сводка!$B$2&amp;"'!H31")="","—",INDIRECT("'"&amp;Сводка!$B$2&amp;"'!H31"))</f>
        <v/>
      </c>
      <c r="J6" s="13">
        <f t="array" ref="J6">IF(INDIRECT("'"&amp;Сводка!$B$2&amp;"'!H52")="","—",INDIRECT("'"&amp;Сводка!$B$2&amp;"'!H52"))</f>
        <v/>
      </c>
      <c r="K6" s="13">
        <f t="array" ref="K6">IF(INDIRECT("'"&amp;Сводка!$B$2&amp;"'!H75")="","—",INDIRECT("'"&amp;Сводка!$B$2&amp;"'!H75"))</f>
        <v/>
      </c>
      <c r="L6" s="13">
        <f t="array" ref="L6">N(INDIRECT("'"&amp;Сводка!$B$2&amp;"'!H3"))+N(INDIRECT("'"&amp;Сводка!$B$2&amp;"'!H31"))+N(INDIRECT("'"&amp;Сводка!$B$2&amp;"'!H52"))+N(INDIRECT("'"&amp;Сводка!$B$2&amp;"'!H75"))</f>
        <v/>
      </c>
      <c r="M6" s="16">
        <f t="array" ref="M6">IFERROR(L6/(N(INDIRECT("'"&amp;Сводка!$B$3&amp;"'!H3"))+N(INDIRECT("'"&amp;Сводка!$B$3&amp;"'!H31"))+N(INDIRECT("'"&amp;Сводка!$B$3&amp;"'!H52"))+N(INDIRECT("'"&amp;Сводка!$B$3&amp;"'!H75")))-1,"")</f>
        <v/>
      </c>
      <c r="N6" s="13">
        <f t="array" ref="N6">N(INDIRECT("'"&amp;Сводка!$B$2&amp;"'!C3"))+N(INDIRECT("'"&amp;Сводка!$B$2&amp;"'!C31"))+N(INDIRECT("'"&amp;Сводка!$B$2&amp;"'!C52"))+N(INDIRECT("'"&amp;Сводка!$B$2&amp;"'!C75"))</f>
        <v/>
      </c>
      <c r="O6" s="47">
        <f>IFERROR(L6/F6*1000,"")</f>
        <v/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58">
      <c r="A7" s="12" t="inlineStr">
        <is>
          <t>Север-Пресс</t>
        </is>
      </c>
      <c r="B7" s="13">
        <f t="array" ref="B7">IF(INDIRECT("'"&amp;Сводка!$B$2&amp;"'!D4")="","—",INDIRECT("'"&amp;Сводка!$B$2&amp;"'!D4"))</f>
        <v/>
      </c>
      <c r="C7" s="13">
        <f t="array" ref="C7">IF(INDIRECT("'"&amp;Сводка!$B$2&amp;"'!D32")="","—",INDIRECT("'"&amp;Сводка!$B$2&amp;"'!D32"))</f>
        <v/>
      </c>
      <c r="D7" s="13">
        <f t="array" ref="D7">IF(INDIRECT("'"&amp;Сводка!$B$2&amp;"'!D53")="","—",INDIRECT("'"&amp;Сводка!$B$2&amp;"'!D53"))</f>
        <v/>
      </c>
      <c r="E7" s="13">
        <f t="array" ref="E7">IF(INDIRECT("'"&amp;Сводка!$B$2&amp;"'!D76")="","—",INDIRECT("'"&amp;Сводка!$B$2&amp;"'!D76"))</f>
        <v/>
      </c>
      <c r="F7" s="13">
        <f t="array" ref="F7">N(INDIRECT("'"&amp;Сводка!$B$2&amp;"'!D4"))+N(INDIRECT("'"&amp;Сводка!$B$2&amp;"'!D32"))+N(INDIRECT("'"&amp;Сводка!$B$2&amp;"'!D53"))+N(INDIRECT("'"&amp;Сводка!$B$2&amp;"'!D76"))</f>
        <v/>
      </c>
      <c r="G7" s="16">
        <f t="array" ref="G7">IFERROR(F7/(N(INDIRECT("'"&amp;Сводка!$B$3&amp;"'!D4"))+N(INDIRECT("'"&amp;Сводка!$B$3&amp;"'!D32"))+N(INDIRECT("'"&amp;Сводка!$B$3&amp;"'!D53"))+N(INDIRECT("'"&amp;Сводка!$B$3&amp;"'!D76")))-1,"")</f>
        <v/>
      </c>
      <c r="H7" s="13">
        <f t="array" ref="H7">IF(INDIRECT("'"&amp;Сводка!$B$2&amp;"'!H4")="","—",INDIRECT("'"&amp;Сводка!$B$2&amp;"'!H4"))</f>
        <v/>
      </c>
      <c r="I7" s="13">
        <f t="array" ref="I7">IF(INDIRECT("'"&amp;Сводка!$B$2&amp;"'!H32")="","—",INDIRECT("'"&amp;Сводка!$B$2&amp;"'!H32"))</f>
        <v/>
      </c>
      <c r="J7" s="13">
        <f t="array" ref="J7">IF(INDIRECT("'"&amp;Сводка!$B$2&amp;"'!H53")="","—",INDIRECT("'"&amp;Сводка!$B$2&amp;"'!H53"))</f>
        <v/>
      </c>
      <c r="K7" s="13">
        <f t="array" ref="K7">IF(INDIRECT("'"&amp;Сводка!$B$2&amp;"'!H76")="","—",INDIRECT("'"&amp;Сводка!$B$2&amp;"'!H76"))</f>
        <v/>
      </c>
      <c r="L7" s="13">
        <f t="array" ref="L7">N(INDIRECT("'"&amp;Сводка!$B$2&amp;"'!H4"))+N(INDIRECT("'"&amp;Сводка!$B$2&amp;"'!H32"))+N(INDIRECT("'"&amp;Сводка!$B$2&amp;"'!H53"))+N(INDIRECT("'"&amp;Сводка!$B$2&amp;"'!H76"))</f>
        <v/>
      </c>
      <c r="M7" s="16">
        <f t="array" ref="M7">IFERROR(L7/(N(INDIRECT("'"&amp;Сводка!$B$3&amp;"'!H4"))+N(INDIRECT("'"&amp;Сводка!$B$3&amp;"'!H32"))+N(INDIRECT("'"&amp;Сводка!$B$3&amp;"'!H53"))+N(INDIRECT("'"&amp;Сводка!$B$3&amp;"'!H76")))-1,"")</f>
        <v/>
      </c>
      <c r="N7" s="13">
        <f t="array" ref="N7">N(INDIRECT("'"&amp;Сводка!$B$2&amp;"'!C4"))+N(INDIRECT("'"&amp;Сводка!$B$2&amp;"'!C32"))+N(INDIRECT("'"&amp;Сводка!$B$2&amp;"'!C53"))+N(INDIRECT("'"&amp;Сводка!$B$2&amp;"'!C76"))</f>
        <v/>
      </c>
      <c r="O7" s="47">
        <f>IFERROR(L7/F7*1000,"")</f>
        <v/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58">
      <c r="A8" s="12" t="inlineStr">
        <is>
          <t>Красный Север</t>
        </is>
      </c>
      <c r="B8" s="13">
        <f t="array" ref="B8">IF(INDIRECT("'"&amp;Сводка!$B$2&amp;"'!D6")="","—",INDIRECT("'"&amp;Сводка!$B$2&amp;"'!D6"))</f>
        <v/>
      </c>
      <c r="C8" s="13">
        <f t="array" ref="C8">IF(INDIRECT("'"&amp;Сводка!$B$2&amp;"'!D33")="","—",INDIRECT("'"&amp;Сводка!$B$2&amp;"'!D33"))</f>
        <v/>
      </c>
      <c r="D8" s="13">
        <f t="array" ref="D8">IF(INDIRECT("'"&amp;Сводка!$B$2&amp;"'!D54")="","—",INDIRECT("'"&amp;Сводка!$B$2&amp;"'!D54"))</f>
        <v/>
      </c>
      <c r="E8" s="13">
        <f t="array" ref="E8">IF(INDIRECT("'"&amp;Сводка!$B$2&amp;"'!D77")="","—",INDIRECT("'"&amp;Сводка!$B$2&amp;"'!D77"))</f>
        <v/>
      </c>
      <c r="F8" s="13">
        <f t="array" ref="F8">N(INDIRECT("'"&amp;Сводка!$B$2&amp;"'!D6"))+N(INDIRECT("'"&amp;Сводка!$B$2&amp;"'!D33"))+N(INDIRECT("'"&amp;Сводка!$B$2&amp;"'!D54"))+N(INDIRECT("'"&amp;Сводка!$B$2&amp;"'!D77"))</f>
        <v/>
      </c>
      <c r="G8" s="16">
        <f t="array" ref="G8">IFERROR(F8/(N(INDIRECT("'"&amp;Сводка!$B$3&amp;"'!D6"))+N(INDIRECT("'"&amp;Сводка!$B$3&amp;"'!D33"))+N(INDIRECT("'"&amp;Сводка!$B$3&amp;"'!D54"))+N(INDIRECT("'"&amp;Сводка!$B$3&amp;"'!D77")))-1,"")</f>
        <v/>
      </c>
      <c r="H8" s="13">
        <f t="array" ref="H8">IF(INDIRECT("'"&amp;Сводка!$B$2&amp;"'!H6")="","—",INDIRECT("'"&amp;Сводка!$B$2&amp;"'!H6"))</f>
        <v/>
      </c>
      <c r="I8" s="13">
        <f t="array" ref="I8">IF(INDIRECT("'"&amp;Сводка!$B$2&amp;"'!H33")="","—",INDIRECT("'"&amp;Сводка!$B$2&amp;"'!H33"))</f>
        <v/>
      </c>
      <c r="J8" s="13">
        <f t="array" ref="J8">IF(INDIRECT("'"&amp;Сводка!$B$2&amp;"'!H54")="","—",INDIRECT("'"&amp;Сводка!$B$2&amp;"'!H54"))</f>
        <v/>
      </c>
      <c r="K8" s="13">
        <f t="array" ref="K8">IF(INDIRECT("'"&amp;Сводка!$B$2&amp;"'!H77")="","—",INDIRECT("'"&amp;Сводка!$B$2&amp;"'!H77"))</f>
        <v/>
      </c>
      <c r="L8" s="13">
        <f t="array" ref="L8">N(INDIRECT("'"&amp;Сводка!$B$2&amp;"'!H6"))+N(INDIRECT("'"&amp;Сводка!$B$2&amp;"'!H33"))+N(INDIRECT("'"&amp;Сводка!$B$2&amp;"'!H54"))+N(INDIRECT("'"&amp;Сводка!$B$2&amp;"'!H77"))</f>
        <v/>
      </c>
      <c r="M8" s="16">
        <f t="array" ref="M8">IFERROR(L8/(N(INDIRECT("'"&amp;Сводка!$B$3&amp;"'!H6"))+N(INDIRECT("'"&amp;Сводка!$B$3&amp;"'!H33"))+N(INDIRECT("'"&amp;Сводка!$B$3&amp;"'!H54"))+N(INDIRECT("'"&amp;Сводка!$B$3&amp;"'!H77")))-1,"")</f>
        <v/>
      </c>
      <c r="N8" s="13">
        <f t="array" ref="N8">N(INDIRECT("'"&amp;Сводка!$B$2&amp;"'!C6"))+N(INDIRECT("'"&amp;Сводка!$B$2&amp;"'!C33"))+N(INDIRECT("'"&amp;Сводка!$B$2&amp;"'!C54"))+N(INDIRECT("'"&amp;Сводка!$B$2&amp;"'!C77"))</f>
        <v/>
      </c>
      <c r="O8" s="47">
        <f>IFERROR(L8/F8*1000,"")</f>
        <v/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58">
      <c r="A9" s="25" t="inlineStr">
        <is>
          <t>Итого · Головные</t>
        </is>
      </c>
      <c r="B9" s="26">
        <f>SUM(B6:B8)</f>
        <v/>
      </c>
      <c r="C9" s="26">
        <f>SUM(C6:C8)</f>
        <v/>
      </c>
      <c r="D9" s="26">
        <f>SUM(D6:D8)</f>
        <v/>
      </c>
      <c r="E9" s="26">
        <f>SUM(E6:E8)</f>
        <v/>
      </c>
      <c r="F9" s="26">
        <f>SUM(F6:F8)</f>
        <v/>
      </c>
      <c r="G9" s="28">
        <f t="array" ref="G9">IFERROR(F9/(N(INDIRECT("'"&amp;Сводка!$B$3&amp;"'!D3"))+N(INDIRECT("'"&amp;Сводка!$B$3&amp;"'!D31"))+N(INDIRECT("'"&amp;Сводка!$B$3&amp;"'!D52"))+N(INDIRECT("'"&amp;Сводка!$B$3&amp;"'!D75"))+N(INDIRECT("'"&amp;Сводка!$B$3&amp;"'!D4"))+N(INDIRECT("'"&amp;Сводка!$B$3&amp;"'!D32"))+N(INDIRECT("'"&amp;Сводка!$B$3&amp;"'!D53"))+N(INDIRECT("'"&amp;Сводка!$B$3&amp;"'!D76"))+N(INDIRECT("'"&amp;Сводка!$B$3&amp;"'!D6"))+N(INDIRECT("'"&amp;Сводка!$B$3&amp;"'!D33"))+N(INDIRECT("'"&amp;Сводка!$B$3&amp;"'!D54"))+N(INDIRECT("'"&amp;Сводка!$B$3&amp;"'!D77")))-1,"")</f>
        <v/>
      </c>
      <c r="H9" s="26">
        <f>SUM(H6:H8)</f>
        <v/>
      </c>
      <c r="I9" s="26">
        <f>SUM(I6:I8)</f>
        <v/>
      </c>
      <c r="J9" s="26">
        <f>SUM(J6:J8)</f>
        <v/>
      </c>
      <c r="K9" s="26">
        <f>SUM(K6:K8)</f>
        <v/>
      </c>
      <c r="L9" s="26">
        <f>SUM(L6:L8)</f>
        <v/>
      </c>
      <c r="M9" s="28">
        <f t="array" ref="M9">IFERROR(L9/(N(INDIRECT("'"&amp;Сводка!$B$3&amp;"'!H3"))+N(INDIRECT("'"&amp;Сводка!$B$3&amp;"'!H31"))+N(INDIRECT("'"&amp;Сводка!$B$3&amp;"'!H52"))+N(INDIRECT("'"&amp;Сводка!$B$3&amp;"'!H75"))+N(INDIRECT("'"&amp;Сводка!$B$3&amp;"'!H4"))+N(INDIRECT("'"&amp;Сводка!$B$3&amp;"'!H32"))+N(INDIRECT("'"&amp;Сводка!$B$3&amp;"'!H53"))+N(INDIRECT("'"&amp;Сводка!$B$3&amp;"'!H76"))+N(INDIRECT("'"&amp;Сводка!$B$3&amp;"'!H6"))+N(INDIRECT("'"&amp;Сводка!$B$3&amp;"'!H33"))+N(INDIRECT("'"&amp;Сводка!$B$3&amp;"'!H54"))+N(INDIRECT("'"&amp;Сводка!$B$3&amp;"'!H77")))-1,"")</f>
        <v/>
      </c>
      <c r="N9" s="26">
        <f>SUM(N6:N8)</f>
        <v/>
      </c>
      <c r="O9" s="52">
        <f>IFERROR(L9/F9*1000,"")</f>
        <v/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58">
      <c r="A10" s="2" t="n"/>
      <c r="B10" s="53" t="n"/>
      <c r="C10" s="53" t="n"/>
      <c r="D10" s="53" t="n"/>
      <c r="E10" s="53" t="n"/>
      <c r="F10" s="53" t="n"/>
      <c r="G10" s="54" t="n"/>
      <c r="H10" s="53" t="n"/>
      <c r="I10" s="53" t="n"/>
      <c r="J10" s="53" t="n"/>
      <c r="K10" s="53" t="n"/>
      <c r="L10" s="53" t="n"/>
      <c r="M10" s="54" t="n"/>
      <c r="N10" s="53" t="n"/>
      <c r="O10" s="55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 s="58">
      <c r="A11" s="43" t="inlineStr">
        <is>
          <t>Города и районы</t>
        </is>
      </c>
      <c r="B11" s="44" t="n"/>
      <c r="C11" s="44" t="n"/>
      <c r="D11" s="44" t="n"/>
      <c r="E11" s="44" t="n"/>
      <c r="F11" s="44" t="n"/>
      <c r="G11" s="45" t="n"/>
      <c r="H11" s="44" t="n"/>
      <c r="I11" s="44" t="n"/>
      <c r="J11" s="44" t="n"/>
      <c r="K11" s="44" t="n"/>
      <c r="L11" s="44" t="n"/>
      <c r="M11" s="45" t="n"/>
      <c r="N11" s="44" t="n"/>
      <c r="O11" s="46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 s="58">
      <c r="A12" s="12" t="inlineStr">
        <is>
          <t>Новый Уренгой</t>
        </is>
      </c>
      <c r="B12" s="13">
        <f t="array" ref="B12">IF(INDIRECT("'"&amp;Сводка!$B$2&amp;"'!D7")="","—",INDIRECT("'"&amp;Сводка!$B$2&amp;"'!D7"))</f>
        <v/>
      </c>
      <c r="C12" s="13">
        <f t="array" ref="C12">IF(INDIRECT("'"&amp;Сводка!$B$2&amp;"'!D34")="","—",INDIRECT("'"&amp;Сводка!$B$2&amp;"'!D34"))</f>
        <v/>
      </c>
      <c r="D12" s="13">
        <f t="array" ref="D12">IF(INDIRECT("'"&amp;Сводка!$B$2&amp;"'!D57")="","—",INDIRECT("'"&amp;Сводка!$B$2&amp;"'!D57"))</f>
        <v/>
      </c>
      <c r="E12" s="13">
        <f t="array" ref="E12">IF(INDIRECT("'"&amp;Сводка!$B$2&amp;"'!D80")="","—",INDIRECT("'"&amp;Сводка!$B$2&amp;"'!D80"))</f>
        <v/>
      </c>
      <c r="F12" s="13">
        <f t="array" ref="F12">N(INDIRECT("'"&amp;Сводка!$B$2&amp;"'!D7"))+N(INDIRECT("'"&amp;Сводка!$B$2&amp;"'!D34"))+N(INDIRECT("'"&amp;Сводка!$B$2&amp;"'!D57"))+N(INDIRECT("'"&amp;Сводка!$B$2&amp;"'!D80"))</f>
        <v/>
      </c>
      <c r="G12" s="16">
        <f t="array" ref="G12">IFERROR(F12/(N(INDIRECT("'"&amp;Сводка!$B$3&amp;"'!D7"))+N(INDIRECT("'"&amp;Сводка!$B$3&amp;"'!D34"))+N(INDIRECT("'"&amp;Сводка!$B$3&amp;"'!D57"))+N(INDIRECT("'"&amp;Сводка!$B$3&amp;"'!D80")))-1,"")</f>
        <v/>
      </c>
      <c r="H12" s="13">
        <f t="array" ref="H12">IF(INDIRECT("'"&amp;Сводка!$B$2&amp;"'!H7")="","—",INDIRECT("'"&amp;Сводка!$B$2&amp;"'!H7"))</f>
        <v/>
      </c>
      <c r="I12" s="13">
        <f t="array" ref="I12">IF(INDIRECT("'"&amp;Сводка!$B$2&amp;"'!H34")="","—",INDIRECT("'"&amp;Сводка!$B$2&amp;"'!H34"))</f>
        <v/>
      </c>
      <c r="J12" s="13">
        <f t="array" ref="J12">IF(INDIRECT("'"&amp;Сводка!$B$2&amp;"'!H57")="","—",INDIRECT("'"&amp;Сводка!$B$2&amp;"'!H57"))</f>
        <v/>
      </c>
      <c r="K12" s="13">
        <f t="array" ref="K12">IF(INDIRECT("'"&amp;Сводка!$B$2&amp;"'!H80")="","—",INDIRECT("'"&amp;Сводка!$B$2&amp;"'!H80"))</f>
        <v/>
      </c>
      <c r="L12" s="13">
        <f t="array" ref="L12">N(INDIRECT("'"&amp;Сводка!$B$2&amp;"'!H7"))+N(INDIRECT("'"&amp;Сводка!$B$2&amp;"'!H34"))+N(INDIRECT("'"&amp;Сводка!$B$2&amp;"'!H57"))+N(INDIRECT("'"&amp;Сводка!$B$2&amp;"'!H80"))</f>
        <v/>
      </c>
      <c r="M12" s="16">
        <f t="array" ref="M12">IFERROR(L12/(N(INDIRECT("'"&amp;Сводка!$B$3&amp;"'!H7"))+N(INDIRECT("'"&amp;Сводка!$B$3&amp;"'!H34"))+N(INDIRECT("'"&amp;Сводка!$B$3&amp;"'!H57"))+N(INDIRECT("'"&amp;Сводка!$B$3&amp;"'!H80")))-1,"")</f>
        <v/>
      </c>
      <c r="N12" s="13">
        <f t="array" ref="N12">N(INDIRECT("'"&amp;Сводка!$B$2&amp;"'!C7"))+N(INDIRECT("'"&amp;Сводка!$B$2&amp;"'!C34"))+N(INDIRECT("'"&amp;Сводка!$B$2&amp;"'!C57"))+N(INDIRECT("'"&amp;Сводка!$B$2&amp;"'!C80"))</f>
        <v/>
      </c>
      <c r="O12" s="47">
        <f>IFERROR(L12/F12*1000,"")</f>
        <v/>
      </c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58">
      <c r="A13" s="12" t="inlineStr">
        <is>
          <t>Надым</t>
        </is>
      </c>
      <c r="B13" s="13">
        <f t="array" ref="B13">IF(INDIRECT("'"&amp;Сводка!$B$2&amp;"'!D8")="","—",INDIRECT("'"&amp;Сводка!$B$2&amp;"'!D8"))</f>
        <v/>
      </c>
      <c r="C13" s="13">
        <f t="array" ref="C13">IF(INDIRECT("'"&amp;Сводка!$B$2&amp;"'!D35")="","—",INDIRECT("'"&amp;Сводка!$B$2&amp;"'!D35"))</f>
        <v/>
      </c>
      <c r="D13" s="13">
        <f t="array" ref="D13">IF(INDIRECT("'"&amp;Сводка!$B$2&amp;"'!D58")="","—",INDIRECT("'"&amp;Сводка!$B$2&amp;"'!D58"))</f>
        <v/>
      </c>
      <c r="E13" s="13">
        <f t="array" ref="E13">IF(INDIRECT("'"&amp;Сводка!$B$2&amp;"'!D81")="","—",INDIRECT("'"&amp;Сводка!$B$2&amp;"'!D81"))</f>
        <v/>
      </c>
      <c r="F13" s="13">
        <f t="array" ref="F13">N(INDIRECT("'"&amp;Сводка!$B$2&amp;"'!D8"))+N(INDIRECT("'"&amp;Сводка!$B$2&amp;"'!D35"))+N(INDIRECT("'"&amp;Сводка!$B$2&amp;"'!D58"))+N(INDIRECT("'"&amp;Сводка!$B$2&amp;"'!D81"))</f>
        <v/>
      </c>
      <c r="G13" s="16">
        <f t="array" ref="G13">IFERROR(F13/(N(INDIRECT("'"&amp;Сводка!$B$3&amp;"'!D8"))+N(INDIRECT("'"&amp;Сводка!$B$3&amp;"'!D35"))+N(INDIRECT("'"&amp;Сводка!$B$3&amp;"'!D58"))+N(INDIRECT("'"&amp;Сводка!$B$3&amp;"'!D81")))-1,"")</f>
        <v/>
      </c>
      <c r="H13" s="13">
        <f t="array" ref="H13">IF(INDIRECT("'"&amp;Сводка!$B$2&amp;"'!H8")="","—",INDIRECT("'"&amp;Сводка!$B$2&amp;"'!H8"))</f>
        <v/>
      </c>
      <c r="I13" s="13">
        <f t="array" ref="I13">IF(INDIRECT("'"&amp;Сводка!$B$2&amp;"'!H35")="","—",INDIRECT("'"&amp;Сводка!$B$2&amp;"'!H35"))</f>
        <v/>
      </c>
      <c r="J13" s="13">
        <f t="array" ref="J13">IF(INDIRECT("'"&amp;Сводка!$B$2&amp;"'!H58")="","—",INDIRECT("'"&amp;Сводка!$B$2&amp;"'!H58"))</f>
        <v/>
      </c>
      <c r="K13" s="13">
        <f t="array" ref="K13">IF(INDIRECT("'"&amp;Сводка!$B$2&amp;"'!H81")="","—",INDIRECT("'"&amp;Сводка!$B$2&amp;"'!H81"))</f>
        <v/>
      </c>
      <c r="L13" s="13">
        <f t="array" ref="L13">N(INDIRECT("'"&amp;Сводка!$B$2&amp;"'!H8"))+N(INDIRECT("'"&amp;Сводка!$B$2&amp;"'!H35"))+N(INDIRECT("'"&amp;Сводка!$B$2&amp;"'!H58"))+N(INDIRECT("'"&amp;Сводка!$B$2&amp;"'!H81"))</f>
        <v/>
      </c>
      <c r="M13" s="16">
        <f t="array" ref="M13">IFERROR(L13/(N(INDIRECT("'"&amp;Сводка!$B$3&amp;"'!H8"))+N(INDIRECT("'"&amp;Сводка!$B$3&amp;"'!H35"))+N(INDIRECT("'"&amp;Сводка!$B$3&amp;"'!H58"))+N(INDIRECT("'"&amp;Сводка!$B$3&amp;"'!H81")))-1,"")</f>
        <v/>
      </c>
      <c r="N13" s="13">
        <f t="array" ref="N13">N(INDIRECT("'"&amp;Сводка!$B$2&amp;"'!C8"))+N(INDIRECT("'"&amp;Сводка!$B$2&amp;"'!C35"))+N(INDIRECT("'"&amp;Сводка!$B$2&amp;"'!C58"))+N(INDIRECT("'"&amp;Сводка!$B$2&amp;"'!C81"))</f>
        <v/>
      </c>
      <c r="O13" s="47">
        <f>IFERROR(L13/F13*1000,"")</f>
        <v/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 s="58">
      <c r="A14" s="12" t="inlineStr">
        <is>
          <t>Ноябрьск</t>
        </is>
      </c>
      <c r="B14" s="13">
        <f t="array" ref="B14">IF(INDIRECT("'"&amp;Сводка!$B$2&amp;"'!D9")="","—",INDIRECT("'"&amp;Сводка!$B$2&amp;"'!D9"))</f>
        <v/>
      </c>
      <c r="C14" s="13">
        <f t="array" ref="C14">IF(INDIRECT("'"&amp;Сводка!$B$2&amp;"'!D36")="","—",INDIRECT("'"&amp;Сводка!$B$2&amp;"'!D36"))</f>
        <v/>
      </c>
      <c r="D14" s="13">
        <f t="array" ref="D14">IF(INDIRECT("'"&amp;Сводка!$B$2&amp;"'!D59")="","—",INDIRECT("'"&amp;Сводка!$B$2&amp;"'!D59"))</f>
        <v/>
      </c>
      <c r="E14" s="13">
        <f t="array" ref="E14">IF(INDIRECT("'"&amp;Сводка!$B$2&amp;"'!D82")="","—",INDIRECT("'"&amp;Сводка!$B$2&amp;"'!D82"))</f>
        <v/>
      </c>
      <c r="F14" s="13">
        <f t="array" ref="F14">N(INDIRECT("'"&amp;Сводка!$B$2&amp;"'!D9"))+N(INDIRECT("'"&amp;Сводка!$B$2&amp;"'!D36"))+N(INDIRECT("'"&amp;Сводка!$B$2&amp;"'!D59"))+N(INDIRECT("'"&amp;Сводка!$B$2&amp;"'!D82"))</f>
        <v/>
      </c>
      <c r="G14" s="16">
        <f t="array" ref="G14">IFERROR(F14/(N(INDIRECT("'"&amp;Сводка!$B$3&amp;"'!D9"))+N(INDIRECT("'"&amp;Сводка!$B$3&amp;"'!D36"))+N(INDIRECT("'"&amp;Сводка!$B$3&amp;"'!D59"))+N(INDIRECT("'"&amp;Сводка!$B$3&amp;"'!D82")))-1,"")</f>
        <v/>
      </c>
      <c r="H14" s="13">
        <f t="array" ref="H14">IF(INDIRECT("'"&amp;Сводка!$B$2&amp;"'!H9")="","—",INDIRECT("'"&amp;Сводка!$B$2&amp;"'!H9"))</f>
        <v/>
      </c>
      <c r="I14" s="13">
        <f t="array" ref="I14">IF(INDIRECT("'"&amp;Сводка!$B$2&amp;"'!H36")="","—",INDIRECT("'"&amp;Сводка!$B$2&amp;"'!H36"))</f>
        <v/>
      </c>
      <c r="J14" s="13">
        <f t="array" ref="J14">IF(INDIRECT("'"&amp;Сводка!$B$2&amp;"'!H59")="","—",INDIRECT("'"&amp;Сводка!$B$2&amp;"'!H59"))</f>
        <v/>
      </c>
      <c r="K14" s="13">
        <f t="array" ref="K14">IF(INDIRECT("'"&amp;Сводка!$B$2&amp;"'!H82")="","—",INDIRECT("'"&amp;Сводка!$B$2&amp;"'!H82"))</f>
        <v/>
      </c>
      <c r="L14" s="13">
        <f t="array" ref="L14">N(INDIRECT("'"&amp;Сводка!$B$2&amp;"'!H9"))+N(INDIRECT("'"&amp;Сводка!$B$2&amp;"'!H36"))+N(INDIRECT("'"&amp;Сводка!$B$2&amp;"'!H59"))+N(INDIRECT("'"&amp;Сводка!$B$2&amp;"'!H82"))</f>
        <v/>
      </c>
      <c r="M14" s="16">
        <f t="array" ref="M14">IFERROR(L14/(N(INDIRECT("'"&amp;Сводка!$B$3&amp;"'!H9"))+N(INDIRECT("'"&amp;Сводка!$B$3&amp;"'!H36"))+N(INDIRECT("'"&amp;Сводка!$B$3&amp;"'!H59"))+N(INDIRECT("'"&amp;Сводка!$B$3&amp;"'!H82")))-1,"")</f>
        <v/>
      </c>
      <c r="N14" s="13">
        <f t="array" ref="N14">N(INDIRECT("'"&amp;Сводка!$B$2&amp;"'!C9"))+N(INDIRECT("'"&amp;Сводка!$B$2&amp;"'!C36"))+N(INDIRECT("'"&amp;Сводка!$B$2&amp;"'!C59"))+N(INDIRECT("'"&amp;Сводка!$B$2&amp;"'!C82"))</f>
        <v/>
      </c>
      <c r="O14" s="47">
        <f>IFERROR(L14/F14*1000,"")</f>
        <v/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 s="58">
      <c r="A15" s="12" t="inlineStr">
        <is>
          <t>Салехард</t>
        </is>
      </c>
      <c r="B15" s="13">
        <f t="array" ref="B15">IF(INDIRECT("'"&amp;Сводка!$B$2&amp;"'!D10")="","—",INDIRECT("'"&amp;Сводка!$B$2&amp;"'!D10"))</f>
        <v/>
      </c>
      <c r="C15" s="13">
        <f t="array" ref="C15">IF(INDIRECT("'"&amp;Сводка!$B$2&amp;"'!D37")="","—",INDIRECT("'"&amp;Сводка!$B$2&amp;"'!D37"))</f>
        <v/>
      </c>
      <c r="D15" s="13">
        <f t="array" ref="D15">IF(INDIRECT("'"&amp;Сводка!$B$2&amp;"'!D60")="","—",INDIRECT("'"&amp;Сводка!$B$2&amp;"'!D60"))</f>
        <v/>
      </c>
      <c r="E15" s="13">
        <f t="array" ref="E15">IF(INDIRECT("'"&amp;Сводка!$B$2&amp;"'!D83")="","—",INDIRECT("'"&amp;Сводка!$B$2&amp;"'!D83"))</f>
        <v/>
      </c>
      <c r="F15" s="13">
        <f t="array" ref="F15">N(INDIRECT("'"&amp;Сводка!$B$2&amp;"'!D10"))+N(INDIRECT("'"&amp;Сводка!$B$2&amp;"'!D37"))+N(INDIRECT("'"&amp;Сводка!$B$2&amp;"'!D60"))+N(INDIRECT("'"&amp;Сводка!$B$2&amp;"'!D83"))</f>
        <v/>
      </c>
      <c r="G15" s="16">
        <f t="array" ref="G15">IFERROR(F15/(N(INDIRECT("'"&amp;Сводка!$B$3&amp;"'!D10"))+N(INDIRECT("'"&amp;Сводка!$B$3&amp;"'!D37"))+N(INDIRECT("'"&amp;Сводка!$B$3&amp;"'!D60"))+N(INDIRECT("'"&amp;Сводка!$B$3&amp;"'!D83")))-1,"")</f>
        <v/>
      </c>
      <c r="H15" s="13">
        <f t="array" ref="H15">IF(INDIRECT("'"&amp;Сводка!$B$2&amp;"'!H10")="","—",INDIRECT("'"&amp;Сводка!$B$2&amp;"'!H10"))</f>
        <v/>
      </c>
      <c r="I15" s="13">
        <f t="array" ref="I15">IF(INDIRECT("'"&amp;Сводка!$B$2&amp;"'!H37")="","—",INDIRECT("'"&amp;Сводка!$B$2&amp;"'!H37"))</f>
        <v/>
      </c>
      <c r="J15" s="13">
        <f t="array" ref="J15">IF(INDIRECT("'"&amp;Сводка!$B$2&amp;"'!H60")="","—",INDIRECT("'"&amp;Сводка!$B$2&amp;"'!H60"))</f>
        <v/>
      </c>
      <c r="K15" s="13">
        <f t="array" ref="K15">IF(INDIRECT("'"&amp;Сводка!$B$2&amp;"'!H83")="","—",INDIRECT("'"&amp;Сводка!$B$2&amp;"'!H83"))</f>
        <v/>
      </c>
      <c r="L15" s="13">
        <f t="array" ref="L15">N(INDIRECT("'"&amp;Сводка!$B$2&amp;"'!H10"))+N(INDIRECT("'"&amp;Сводка!$B$2&amp;"'!H37"))+N(INDIRECT("'"&amp;Сводка!$B$2&amp;"'!H60"))+N(INDIRECT("'"&amp;Сводка!$B$2&amp;"'!H83"))</f>
        <v/>
      </c>
      <c r="M15" s="16">
        <f t="array" ref="M15">IFERROR(L15/(N(INDIRECT("'"&amp;Сводка!$B$3&amp;"'!H10"))+N(INDIRECT("'"&amp;Сводка!$B$3&amp;"'!H37"))+N(INDIRECT("'"&amp;Сводка!$B$3&amp;"'!H60"))+N(INDIRECT("'"&amp;Сводка!$B$3&amp;"'!H83")))-1,"")</f>
        <v/>
      </c>
      <c r="N15" s="13">
        <f t="array" ref="N15">N(INDIRECT("'"&amp;Сводка!$B$2&amp;"'!C10"))+N(INDIRECT("'"&amp;Сводка!$B$2&amp;"'!C37"))+N(INDIRECT("'"&amp;Сводка!$B$2&amp;"'!C60"))+N(INDIRECT("'"&amp;Сводка!$B$2&amp;"'!C83"))</f>
        <v/>
      </c>
      <c r="O15" s="47">
        <f>IFERROR(L15/F15*1000,"")</f>
        <v/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58">
      <c r="A16" s="12" t="inlineStr">
        <is>
          <t>Приуралье</t>
        </is>
      </c>
      <c r="B16" s="13">
        <f t="array" ref="B16">IF(INDIRECT("'"&amp;Сводка!$B$2&amp;"'!D11")="","—",INDIRECT("'"&amp;Сводка!$B$2&amp;"'!D11"))</f>
        <v/>
      </c>
      <c r="C16" s="13">
        <f t="array" ref="C16">IF(INDIRECT("'"&amp;Сводка!$B$2&amp;"'!D38")="","—",INDIRECT("'"&amp;Сводка!$B$2&amp;"'!D38"))</f>
        <v/>
      </c>
      <c r="D16" s="13">
        <f t="array" ref="D16">IF(INDIRECT("'"&amp;Сводка!$B$2&amp;"'!D61")="","—",INDIRECT("'"&amp;Сводка!$B$2&amp;"'!D61"))</f>
        <v/>
      </c>
      <c r="E16" s="13">
        <f t="array" ref="E16">IF(INDIRECT("'"&amp;Сводка!$B$2&amp;"'!D84")="","—",INDIRECT("'"&amp;Сводка!$B$2&amp;"'!D84"))</f>
        <v/>
      </c>
      <c r="F16" s="13">
        <f t="array" ref="F16">N(INDIRECT("'"&amp;Сводка!$B$2&amp;"'!D11"))+N(INDIRECT("'"&amp;Сводка!$B$2&amp;"'!D38"))+N(INDIRECT("'"&amp;Сводка!$B$2&amp;"'!D61"))+N(INDIRECT("'"&amp;Сводка!$B$2&amp;"'!D84"))</f>
        <v/>
      </c>
      <c r="G16" s="16">
        <f t="array" ref="G16">IFERROR(F16/(N(INDIRECT("'"&amp;Сводка!$B$3&amp;"'!D11"))+N(INDIRECT("'"&amp;Сводка!$B$3&amp;"'!D38"))+N(INDIRECT("'"&amp;Сводка!$B$3&amp;"'!D61"))+N(INDIRECT("'"&amp;Сводка!$B$3&amp;"'!D84")))-1,"")</f>
        <v/>
      </c>
      <c r="H16" s="13">
        <f t="array" ref="H16">IF(INDIRECT("'"&amp;Сводка!$B$2&amp;"'!H11")="","—",INDIRECT("'"&amp;Сводка!$B$2&amp;"'!H11"))</f>
        <v/>
      </c>
      <c r="I16" s="13">
        <f t="array" ref="I16">IF(INDIRECT("'"&amp;Сводка!$B$2&amp;"'!H38")="","—",INDIRECT("'"&amp;Сводка!$B$2&amp;"'!H38"))</f>
        <v/>
      </c>
      <c r="J16" s="13">
        <f t="array" ref="J16">IF(INDIRECT("'"&amp;Сводка!$B$2&amp;"'!H61")="","—",INDIRECT("'"&amp;Сводка!$B$2&amp;"'!H61"))</f>
        <v/>
      </c>
      <c r="K16" s="13">
        <f t="array" ref="K16">IF(INDIRECT("'"&amp;Сводка!$B$2&amp;"'!H84")="","—",INDIRECT("'"&amp;Сводка!$B$2&amp;"'!H84"))</f>
        <v/>
      </c>
      <c r="L16" s="13">
        <f t="array" ref="L16">N(INDIRECT("'"&amp;Сводка!$B$2&amp;"'!H11"))+N(INDIRECT("'"&amp;Сводка!$B$2&amp;"'!H38"))+N(INDIRECT("'"&amp;Сводка!$B$2&amp;"'!H61"))+N(INDIRECT("'"&amp;Сводка!$B$2&amp;"'!H84"))</f>
        <v/>
      </c>
      <c r="M16" s="16">
        <f t="array" ref="M16">IFERROR(L16/(N(INDIRECT("'"&amp;Сводка!$B$3&amp;"'!H11"))+N(INDIRECT("'"&amp;Сводка!$B$3&amp;"'!H38"))+N(INDIRECT("'"&amp;Сводка!$B$3&amp;"'!H61"))+N(INDIRECT("'"&amp;Сводка!$B$3&amp;"'!H84")))-1,"")</f>
        <v/>
      </c>
      <c r="N16" s="13">
        <f t="array" ref="N16">N(INDIRECT("'"&amp;Сводка!$B$2&amp;"'!C11"))+N(INDIRECT("'"&amp;Сводка!$B$2&amp;"'!C38"))+N(INDIRECT("'"&amp;Сводка!$B$2&amp;"'!C61"))+N(INDIRECT("'"&amp;Сводка!$B$2&amp;"'!C84"))</f>
        <v/>
      </c>
      <c r="O16" s="47">
        <f>IFERROR(L16/F16*1000,"")</f>
        <v/>
      </c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58">
      <c r="A17" s="12" t="inlineStr">
        <is>
          <t>Лабытнанги</t>
        </is>
      </c>
      <c r="B17" s="13">
        <f t="array" ref="B17">IF(INDIRECT("'"&amp;Сводка!$B$2&amp;"'!D12")="","—",INDIRECT("'"&amp;Сводка!$B$2&amp;"'!D12"))</f>
        <v/>
      </c>
      <c r="C17" s="13">
        <f t="array" ref="C17">IF(INDIRECT("'"&amp;Сводка!$B$2&amp;"'!D39")="","—",INDIRECT("'"&amp;Сводка!$B$2&amp;"'!D39"))</f>
        <v/>
      </c>
      <c r="D17" s="13">
        <f t="array" ref="D17">IF(INDIRECT("'"&amp;Сводка!$B$2&amp;"'!D62")="","—",INDIRECT("'"&amp;Сводка!$B$2&amp;"'!D62"))</f>
        <v/>
      </c>
      <c r="E17" s="13">
        <f t="array" ref="E17">IF(INDIRECT("'"&amp;Сводка!$B$2&amp;"'!D85")="","—",INDIRECT("'"&amp;Сводка!$B$2&amp;"'!D85"))</f>
        <v/>
      </c>
      <c r="F17" s="13">
        <f t="array" ref="F17">N(INDIRECT("'"&amp;Сводка!$B$2&amp;"'!D12"))+N(INDIRECT("'"&amp;Сводка!$B$2&amp;"'!D39"))+N(INDIRECT("'"&amp;Сводка!$B$2&amp;"'!D62"))+N(INDIRECT("'"&amp;Сводка!$B$2&amp;"'!D85"))</f>
        <v/>
      </c>
      <c r="G17" s="16">
        <f t="array" ref="G17">IFERROR(F17/(N(INDIRECT("'"&amp;Сводка!$B$3&amp;"'!D12"))+N(INDIRECT("'"&amp;Сводка!$B$3&amp;"'!D39"))+N(INDIRECT("'"&amp;Сводка!$B$3&amp;"'!D62"))+N(INDIRECT("'"&amp;Сводка!$B$3&amp;"'!D85")))-1,"")</f>
        <v/>
      </c>
      <c r="H17" s="13">
        <f t="array" ref="H17">IF(INDIRECT("'"&amp;Сводка!$B$2&amp;"'!H12")="","—",INDIRECT("'"&amp;Сводка!$B$2&amp;"'!H12"))</f>
        <v/>
      </c>
      <c r="I17" s="13">
        <f t="array" ref="I17">IF(INDIRECT("'"&amp;Сводка!$B$2&amp;"'!H39")="","—",INDIRECT("'"&amp;Сводка!$B$2&amp;"'!H39"))</f>
        <v/>
      </c>
      <c r="J17" s="13">
        <f t="array" ref="J17">IF(INDIRECT("'"&amp;Сводка!$B$2&amp;"'!H62")="","—",INDIRECT("'"&amp;Сводка!$B$2&amp;"'!H62"))</f>
        <v/>
      </c>
      <c r="K17" s="13">
        <f t="array" ref="K17">IF(INDIRECT("'"&amp;Сводка!$B$2&amp;"'!H85")="","—",INDIRECT("'"&amp;Сводка!$B$2&amp;"'!H85"))</f>
        <v/>
      </c>
      <c r="L17" s="13">
        <f t="array" ref="L17">N(INDIRECT("'"&amp;Сводка!$B$2&amp;"'!H12"))+N(INDIRECT("'"&amp;Сводка!$B$2&amp;"'!H39"))+N(INDIRECT("'"&amp;Сводка!$B$2&amp;"'!H62"))+N(INDIRECT("'"&amp;Сводка!$B$2&amp;"'!H85"))</f>
        <v/>
      </c>
      <c r="M17" s="16">
        <f t="array" ref="M17">IFERROR(L17/(N(INDIRECT("'"&amp;Сводка!$B$3&amp;"'!H12"))+N(INDIRECT("'"&amp;Сводка!$B$3&amp;"'!H39"))+N(INDIRECT("'"&amp;Сводка!$B$3&amp;"'!H62"))+N(INDIRECT("'"&amp;Сводка!$B$3&amp;"'!H85")))-1,"")</f>
        <v/>
      </c>
      <c r="N17" s="13">
        <f t="array" ref="N17">N(INDIRECT("'"&amp;Сводка!$B$2&amp;"'!C12"))+N(INDIRECT("'"&amp;Сводка!$B$2&amp;"'!C39"))+N(INDIRECT("'"&amp;Сводка!$B$2&amp;"'!C62"))+N(INDIRECT("'"&amp;Сводка!$B$2&amp;"'!C85"))</f>
        <v/>
      </c>
      <c r="O17" s="47">
        <f>IFERROR(L17/F17*1000,"")</f>
        <v/>
      </c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58">
      <c r="A18" s="12" t="inlineStr">
        <is>
          <t>Пуровский</t>
        </is>
      </c>
      <c r="B18" s="13">
        <f t="array" ref="B18">IF(INDIRECT("'"&amp;Сводка!$B$2&amp;"'!D13")="","—",INDIRECT("'"&amp;Сводка!$B$2&amp;"'!D13"))</f>
        <v/>
      </c>
      <c r="C18" s="13">
        <f t="array" ref="C18">IF(INDIRECT("'"&amp;Сводка!$B$2&amp;"'!D40")="","—",INDIRECT("'"&amp;Сводка!$B$2&amp;"'!D40"))</f>
        <v/>
      </c>
      <c r="D18" s="13">
        <f t="array" ref="D18">IF(INDIRECT("'"&amp;Сводка!$B$2&amp;"'!D63")="","—",INDIRECT("'"&amp;Сводка!$B$2&amp;"'!D63"))</f>
        <v/>
      </c>
      <c r="E18" s="13">
        <f t="array" ref="E18">IF(INDIRECT("'"&amp;Сводка!$B$2&amp;"'!D86")="","—",INDIRECT("'"&amp;Сводка!$B$2&amp;"'!D86"))</f>
        <v/>
      </c>
      <c r="F18" s="13">
        <f t="array" ref="F18">N(INDIRECT("'"&amp;Сводка!$B$2&amp;"'!D13"))+N(INDIRECT("'"&amp;Сводка!$B$2&amp;"'!D40"))+N(INDIRECT("'"&amp;Сводка!$B$2&amp;"'!D63"))+N(INDIRECT("'"&amp;Сводка!$B$2&amp;"'!D86"))</f>
        <v/>
      </c>
      <c r="G18" s="16">
        <f t="array" ref="G18">IFERROR(F18/(N(INDIRECT("'"&amp;Сводка!$B$3&amp;"'!D13"))+N(INDIRECT("'"&amp;Сводка!$B$3&amp;"'!D40"))+N(INDIRECT("'"&amp;Сводка!$B$3&amp;"'!D63"))+N(INDIRECT("'"&amp;Сводка!$B$3&amp;"'!D86")))-1,"")</f>
        <v/>
      </c>
      <c r="H18" s="13">
        <f t="array" ref="H18">IF(INDIRECT("'"&amp;Сводка!$B$2&amp;"'!H13")="","—",INDIRECT("'"&amp;Сводка!$B$2&amp;"'!H13"))</f>
        <v/>
      </c>
      <c r="I18" s="13">
        <f t="array" ref="I18">IF(INDIRECT("'"&amp;Сводка!$B$2&amp;"'!H40")="","—",INDIRECT("'"&amp;Сводка!$B$2&amp;"'!H40"))</f>
        <v/>
      </c>
      <c r="J18" s="13">
        <f t="array" ref="J18">IF(INDIRECT("'"&amp;Сводка!$B$2&amp;"'!H63")="","—",INDIRECT("'"&amp;Сводка!$B$2&amp;"'!H63"))</f>
        <v/>
      </c>
      <c r="K18" s="13">
        <f t="array" ref="K18">IF(INDIRECT("'"&amp;Сводка!$B$2&amp;"'!H86")="","—",INDIRECT("'"&amp;Сводка!$B$2&amp;"'!H86"))</f>
        <v/>
      </c>
      <c r="L18" s="13">
        <f t="array" ref="L18">N(INDIRECT("'"&amp;Сводка!$B$2&amp;"'!H13"))+N(INDIRECT("'"&amp;Сводка!$B$2&amp;"'!H40"))+N(INDIRECT("'"&amp;Сводка!$B$2&amp;"'!H63"))+N(INDIRECT("'"&amp;Сводка!$B$2&amp;"'!H86"))</f>
        <v/>
      </c>
      <c r="M18" s="16">
        <f t="array" ref="M18">IFERROR(L18/(N(INDIRECT("'"&amp;Сводка!$B$3&amp;"'!H13"))+N(INDIRECT("'"&amp;Сводка!$B$3&amp;"'!H40"))+N(INDIRECT("'"&amp;Сводка!$B$3&amp;"'!H63"))+N(INDIRECT("'"&amp;Сводка!$B$3&amp;"'!H86")))-1,"")</f>
        <v/>
      </c>
      <c r="N18" s="13">
        <f t="array" ref="N18">N(INDIRECT("'"&amp;Сводка!$B$2&amp;"'!C13"))+N(INDIRECT("'"&amp;Сводка!$B$2&amp;"'!C40"))+N(INDIRECT("'"&amp;Сводка!$B$2&amp;"'!C63"))+N(INDIRECT("'"&amp;Сводка!$B$2&amp;"'!C86"))</f>
        <v/>
      </c>
      <c r="O18" s="47">
        <f>IFERROR(L18/F18*1000,"")</f>
        <v/>
      </c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58">
      <c r="A19" s="12" t="inlineStr">
        <is>
          <t>Тазовский</t>
        </is>
      </c>
      <c r="B19" s="13">
        <f t="array" ref="B19">IF(INDIRECT("'"&amp;Сводка!$B$2&amp;"'!D14")="","—",INDIRECT("'"&amp;Сводка!$B$2&amp;"'!D14"))</f>
        <v/>
      </c>
      <c r="C19" s="13">
        <f t="array" ref="C19">IF(INDIRECT("'"&amp;Сводка!$B$2&amp;"'!D41")="","—",INDIRECT("'"&amp;Сводка!$B$2&amp;"'!D41"))</f>
        <v/>
      </c>
      <c r="D19" s="13">
        <f t="array" ref="D19">IF(INDIRECT("'"&amp;Сводка!$B$2&amp;"'!D64")="","—",INDIRECT("'"&amp;Сводка!$B$2&amp;"'!D64"))</f>
        <v/>
      </c>
      <c r="E19" s="13">
        <f t="array" ref="E19">IF(INDIRECT("'"&amp;Сводка!$B$2&amp;"'!D87")="","—",INDIRECT("'"&amp;Сводка!$B$2&amp;"'!D87"))</f>
        <v/>
      </c>
      <c r="F19" s="13">
        <f t="array" ref="F19">N(INDIRECT("'"&amp;Сводка!$B$2&amp;"'!D14"))+N(INDIRECT("'"&amp;Сводка!$B$2&amp;"'!D41"))+N(INDIRECT("'"&amp;Сводка!$B$2&amp;"'!D64"))+N(INDIRECT("'"&amp;Сводка!$B$2&amp;"'!D87"))</f>
        <v/>
      </c>
      <c r="G19" s="16">
        <f t="array" ref="G19">IFERROR(F19/(N(INDIRECT("'"&amp;Сводка!$B$3&amp;"'!D14"))+N(INDIRECT("'"&amp;Сводка!$B$3&amp;"'!D41"))+N(INDIRECT("'"&amp;Сводка!$B$3&amp;"'!D64"))+N(INDIRECT("'"&amp;Сводка!$B$3&amp;"'!D87")))-1,"")</f>
        <v/>
      </c>
      <c r="H19" s="13">
        <f t="array" ref="H19">IF(INDIRECT("'"&amp;Сводка!$B$2&amp;"'!H14")="","—",INDIRECT("'"&amp;Сводка!$B$2&amp;"'!H14"))</f>
        <v/>
      </c>
      <c r="I19" s="13">
        <f t="array" ref="I19">IF(INDIRECT("'"&amp;Сводка!$B$2&amp;"'!H41")="","—",INDIRECT("'"&amp;Сводка!$B$2&amp;"'!H41"))</f>
        <v/>
      </c>
      <c r="J19" s="13">
        <f t="array" ref="J19">IF(INDIRECT("'"&amp;Сводка!$B$2&amp;"'!H64")="","—",INDIRECT("'"&amp;Сводка!$B$2&amp;"'!H64"))</f>
        <v/>
      </c>
      <c r="K19" s="13">
        <f t="array" ref="K19">IF(INDIRECT("'"&amp;Сводка!$B$2&amp;"'!H87")="","—",INDIRECT("'"&amp;Сводка!$B$2&amp;"'!H87"))</f>
        <v/>
      </c>
      <c r="L19" s="13">
        <f t="array" ref="L19">N(INDIRECT("'"&amp;Сводка!$B$2&amp;"'!H14"))+N(INDIRECT("'"&amp;Сводка!$B$2&amp;"'!H41"))+N(INDIRECT("'"&amp;Сводка!$B$2&amp;"'!H64"))+N(INDIRECT("'"&amp;Сводка!$B$2&amp;"'!H87"))</f>
        <v/>
      </c>
      <c r="M19" s="16">
        <f t="array" ref="M19">IFERROR(L19/(N(INDIRECT("'"&amp;Сводка!$B$3&amp;"'!H14"))+N(INDIRECT("'"&amp;Сводка!$B$3&amp;"'!H41"))+N(INDIRECT("'"&amp;Сводка!$B$3&amp;"'!H64"))+N(INDIRECT("'"&amp;Сводка!$B$3&amp;"'!H87")))-1,"")</f>
        <v/>
      </c>
      <c r="N19" s="13">
        <f t="array" ref="N19">N(INDIRECT("'"&amp;Сводка!$B$2&amp;"'!C14"))+N(INDIRECT("'"&amp;Сводка!$B$2&amp;"'!C41"))+N(INDIRECT("'"&amp;Сводка!$B$2&amp;"'!C64"))+N(INDIRECT("'"&amp;Сводка!$B$2&amp;"'!C87"))</f>
        <v/>
      </c>
      <c r="O19" s="47">
        <f>IFERROR(L19/F19*1000,"")</f>
        <v/>
      </c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58">
      <c r="A20" s="12" t="inlineStr">
        <is>
          <t>Красноселькуп</t>
        </is>
      </c>
      <c r="B20" s="13">
        <f t="array" ref="B20">IF(INDIRECT("'"&amp;Сводка!$B$2&amp;"'!D15")="","—",INDIRECT("'"&amp;Сводка!$B$2&amp;"'!D15"))</f>
        <v/>
      </c>
      <c r="C20" s="13">
        <f t="array" ref="C20">IF(INDIRECT("'"&amp;Сводка!$B$2&amp;"'!D42")="","—",INDIRECT("'"&amp;Сводка!$B$2&amp;"'!D42"))</f>
        <v/>
      </c>
      <c r="D20" s="13">
        <f t="array" ref="D20">IF(INDIRECT("'"&amp;Сводка!$B$2&amp;"'!D65")="","—",INDIRECT("'"&amp;Сводка!$B$2&amp;"'!D65"))</f>
        <v/>
      </c>
      <c r="E20" s="13">
        <f t="array" ref="E20">IF(INDIRECT("'"&amp;Сводка!$B$2&amp;"'!D88")="","—",INDIRECT("'"&amp;Сводка!$B$2&amp;"'!D88"))</f>
        <v/>
      </c>
      <c r="F20" s="13">
        <f t="array" ref="F20">N(INDIRECT("'"&amp;Сводка!$B$2&amp;"'!D15"))+N(INDIRECT("'"&amp;Сводка!$B$2&amp;"'!D42"))+N(INDIRECT("'"&amp;Сводка!$B$2&amp;"'!D65"))+N(INDIRECT("'"&amp;Сводка!$B$2&amp;"'!D88"))</f>
        <v/>
      </c>
      <c r="G20" s="16">
        <f t="array" ref="G20">IFERROR(F20/(N(INDIRECT("'"&amp;Сводка!$B$3&amp;"'!D15"))+N(INDIRECT("'"&amp;Сводка!$B$3&amp;"'!D42"))+N(INDIRECT("'"&amp;Сводка!$B$3&amp;"'!D65"))+N(INDIRECT("'"&amp;Сводка!$B$3&amp;"'!D88")))-1,"")</f>
        <v/>
      </c>
      <c r="H20" s="13">
        <f t="array" ref="H20">IF(INDIRECT("'"&amp;Сводка!$B$2&amp;"'!H15")="","—",INDIRECT("'"&amp;Сводка!$B$2&amp;"'!H15"))</f>
        <v/>
      </c>
      <c r="I20" s="13">
        <f t="array" ref="I20">IF(INDIRECT("'"&amp;Сводка!$B$2&amp;"'!H42")="","—",INDIRECT("'"&amp;Сводка!$B$2&amp;"'!H42"))</f>
        <v/>
      </c>
      <c r="J20" s="13">
        <f t="array" ref="J20">IF(INDIRECT("'"&amp;Сводка!$B$2&amp;"'!H65")="","—",INDIRECT("'"&amp;Сводка!$B$2&amp;"'!H65"))</f>
        <v/>
      </c>
      <c r="K20" s="13">
        <f t="array" ref="K20">IF(INDIRECT("'"&amp;Сводка!$B$2&amp;"'!H88")="","—",INDIRECT("'"&amp;Сводка!$B$2&amp;"'!H88"))</f>
        <v/>
      </c>
      <c r="L20" s="13">
        <f t="array" ref="L20">N(INDIRECT("'"&amp;Сводка!$B$2&amp;"'!H15"))+N(INDIRECT("'"&amp;Сводка!$B$2&amp;"'!H42"))+N(INDIRECT("'"&amp;Сводка!$B$2&amp;"'!H65"))+N(INDIRECT("'"&amp;Сводка!$B$2&amp;"'!H88"))</f>
        <v/>
      </c>
      <c r="M20" s="16">
        <f t="array" ref="M20">IFERROR(L20/(N(INDIRECT("'"&amp;Сводка!$B$3&amp;"'!H15"))+N(INDIRECT("'"&amp;Сводка!$B$3&amp;"'!H42"))+N(INDIRECT("'"&amp;Сводка!$B$3&amp;"'!H65"))+N(INDIRECT("'"&amp;Сводка!$B$3&amp;"'!H88")))-1,"")</f>
        <v/>
      </c>
      <c r="N20" s="13">
        <f t="array" ref="N20">N(INDIRECT("'"&amp;Сводка!$B$2&amp;"'!C15"))+N(INDIRECT("'"&amp;Сводка!$B$2&amp;"'!C42"))+N(INDIRECT("'"&amp;Сводка!$B$2&amp;"'!C65"))+N(INDIRECT("'"&amp;Сводка!$B$2&amp;"'!C88"))</f>
        <v/>
      </c>
      <c r="O20" s="47">
        <f>IFERROR(L20/F20*1000,"")</f>
        <v/>
      </c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 s="58">
      <c r="A21" s="12" t="inlineStr">
        <is>
          <t>Ямальский</t>
        </is>
      </c>
      <c r="B21" s="13">
        <f t="array" ref="B21">IF(INDIRECT("'"&amp;Сводка!$B$2&amp;"'!D16")="","—",INDIRECT("'"&amp;Сводка!$B$2&amp;"'!D16"))</f>
        <v/>
      </c>
      <c r="C21" s="13">
        <f t="array" ref="C21">IF(INDIRECT("'"&amp;Сводка!$B$2&amp;"'!D43")="","—",INDIRECT("'"&amp;Сводка!$B$2&amp;"'!D43"))</f>
        <v/>
      </c>
      <c r="D21" s="13">
        <f t="array" ref="D21">IF(INDIRECT("'"&amp;Сводка!$B$2&amp;"'!D66")="","—",INDIRECT("'"&amp;Сводка!$B$2&amp;"'!D66"))</f>
        <v/>
      </c>
      <c r="E21" s="13">
        <f t="array" ref="E21">IF(INDIRECT("'"&amp;Сводка!$B$2&amp;"'!D89")="","—",INDIRECT("'"&amp;Сводка!$B$2&amp;"'!D89"))</f>
        <v/>
      </c>
      <c r="F21" s="13">
        <f t="array" ref="F21">N(INDIRECT("'"&amp;Сводка!$B$2&amp;"'!D16"))+N(INDIRECT("'"&amp;Сводка!$B$2&amp;"'!D43"))+N(INDIRECT("'"&amp;Сводка!$B$2&amp;"'!D66"))+N(INDIRECT("'"&amp;Сводка!$B$2&amp;"'!D89"))</f>
        <v/>
      </c>
      <c r="G21" s="16">
        <f t="array" ref="G21">IFERROR(F21/(N(INDIRECT("'"&amp;Сводка!$B$3&amp;"'!D16"))+N(INDIRECT("'"&amp;Сводка!$B$3&amp;"'!D43"))+N(INDIRECT("'"&amp;Сводка!$B$3&amp;"'!D66"))+N(INDIRECT("'"&amp;Сводка!$B$3&amp;"'!D89")))-1,"")</f>
        <v/>
      </c>
      <c r="H21" s="13">
        <f t="array" ref="H21">IF(INDIRECT("'"&amp;Сводка!$B$2&amp;"'!H16")="","—",INDIRECT("'"&amp;Сводка!$B$2&amp;"'!H16"))</f>
        <v/>
      </c>
      <c r="I21" s="13">
        <f t="array" ref="I21">IF(INDIRECT("'"&amp;Сводка!$B$2&amp;"'!H43")="","—",INDIRECT("'"&amp;Сводка!$B$2&amp;"'!H43"))</f>
        <v/>
      </c>
      <c r="J21" s="13">
        <f t="array" ref="J21">IF(INDIRECT("'"&amp;Сводка!$B$2&amp;"'!H66")="","—",INDIRECT("'"&amp;Сводка!$B$2&amp;"'!H66"))</f>
        <v/>
      </c>
      <c r="K21" s="13">
        <f t="array" ref="K21">IF(INDIRECT("'"&amp;Сводка!$B$2&amp;"'!H89")="","—",INDIRECT("'"&amp;Сводка!$B$2&amp;"'!H89"))</f>
        <v/>
      </c>
      <c r="L21" s="13">
        <f t="array" ref="L21">N(INDIRECT("'"&amp;Сводка!$B$2&amp;"'!H16"))+N(INDIRECT("'"&amp;Сводка!$B$2&amp;"'!H43"))+N(INDIRECT("'"&amp;Сводка!$B$2&amp;"'!H66"))+N(INDIRECT("'"&amp;Сводка!$B$2&amp;"'!H89"))</f>
        <v/>
      </c>
      <c r="M21" s="16">
        <f t="array" ref="M21">IFERROR(L21/(N(INDIRECT("'"&amp;Сводка!$B$3&amp;"'!H16"))+N(INDIRECT("'"&amp;Сводка!$B$3&amp;"'!H43"))+N(INDIRECT("'"&amp;Сводка!$B$3&amp;"'!H66"))+N(INDIRECT("'"&amp;Сводка!$B$3&amp;"'!H89")))-1,"")</f>
        <v/>
      </c>
      <c r="N21" s="13">
        <f t="array" ref="N21">N(INDIRECT("'"&amp;Сводка!$B$2&amp;"'!C16"))+N(INDIRECT("'"&amp;Сводка!$B$2&amp;"'!C43"))+N(INDIRECT("'"&amp;Сводка!$B$2&amp;"'!C66"))+N(INDIRECT("'"&amp;Сводка!$B$2&amp;"'!C89"))</f>
        <v/>
      </c>
      <c r="O21" s="47">
        <f>IFERROR(L21/F21*1000,"")</f>
        <v/>
      </c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 s="58">
      <c r="A22" s="12" t="inlineStr">
        <is>
          <t>Шурышкарский</t>
        </is>
      </c>
      <c r="B22" s="13">
        <f t="array" ref="B22">IF(INDIRECT("'"&amp;Сводка!$B$2&amp;"'!D17")="","—",INDIRECT("'"&amp;Сводка!$B$2&amp;"'!D17"))</f>
        <v/>
      </c>
      <c r="C22" s="13">
        <f t="array" ref="C22">IF(INDIRECT("'"&amp;Сводка!$B$2&amp;"'!D44")="","—",INDIRECT("'"&amp;Сводка!$B$2&amp;"'!D44"))</f>
        <v/>
      </c>
      <c r="D22" s="13">
        <f t="array" ref="D22">IF(INDIRECT("'"&amp;Сводка!$B$2&amp;"'!D67")="","—",INDIRECT("'"&amp;Сводка!$B$2&amp;"'!D67"))</f>
        <v/>
      </c>
      <c r="E22" s="13">
        <f t="array" ref="E22">IF(INDIRECT("'"&amp;Сводка!$B$2&amp;"'!D90")="","—",INDIRECT("'"&amp;Сводка!$B$2&amp;"'!D90"))</f>
        <v/>
      </c>
      <c r="F22" s="13">
        <f t="array" ref="F22">N(INDIRECT("'"&amp;Сводка!$B$2&amp;"'!D17"))+N(INDIRECT("'"&amp;Сводка!$B$2&amp;"'!D44"))+N(INDIRECT("'"&amp;Сводка!$B$2&amp;"'!D67"))+N(INDIRECT("'"&amp;Сводка!$B$2&amp;"'!D90"))</f>
        <v/>
      </c>
      <c r="G22" s="16">
        <f t="array" ref="G22">IFERROR(F22/(N(INDIRECT("'"&amp;Сводка!$B$3&amp;"'!D17"))+N(INDIRECT("'"&amp;Сводка!$B$3&amp;"'!D44"))+N(INDIRECT("'"&amp;Сводка!$B$3&amp;"'!D67"))+N(INDIRECT("'"&amp;Сводка!$B$3&amp;"'!D90")))-1,"")</f>
        <v/>
      </c>
      <c r="H22" s="13">
        <f t="array" ref="H22">IF(INDIRECT("'"&amp;Сводка!$B$2&amp;"'!H17")="","—",INDIRECT("'"&amp;Сводка!$B$2&amp;"'!H17"))</f>
        <v/>
      </c>
      <c r="I22" s="13">
        <f t="array" ref="I22">IF(INDIRECT("'"&amp;Сводка!$B$2&amp;"'!H44")="","—",INDIRECT("'"&amp;Сводка!$B$2&amp;"'!H44"))</f>
        <v/>
      </c>
      <c r="J22" s="13">
        <f t="array" ref="J22">IF(INDIRECT("'"&amp;Сводка!$B$2&amp;"'!H67")="","—",INDIRECT("'"&amp;Сводка!$B$2&amp;"'!H67"))</f>
        <v/>
      </c>
      <c r="K22" s="13">
        <f t="array" ref="K22">IF(INDIRECT("'"&amp;Сводка!$B$2&amp;"'!H90")="","—",INDIRECT("'"&amp;Сводка!$B$2&amp;"'!H90"))</f>
        <v/>
      </c>
      <c r="L22" s="13">
        <f t="array" ref="L22">N(INDIRECT("'"&amp;Сводка!$B$2&amp;"'!H17"))+N(INDIRECT("'"&amp;Сводка!$B$2&amp;"'!H44"))+N(INDIRECT("'"&amp;Сводка!$B$2&amp;"'!H67"))+N(INDIRECT("'"&amp;Сводка!$B$2&amp;"'!H90"))</f>
        <v/>
      </c>
      <c r="M22" s="16">
        <f t="array" ref="M22">IFERROR(L22/(N(INDIRECT("'"&amp;Сводка!$B$3&amp;"'!H17"))+N(INDIRECT("'"&amp;Сводка!$B$3&amp;"'!H44"))+N(INDIRECT("'"&amp;Сводка!$B$3&amp;"'!H67"))+N(INDIRECT("'"&amp;Сводка!$B$3&amp;"'!H90")))-1,"")</f>
        <v/>
      </c>
      <c r="N22" s="13">
        <f t="array" ref="N22">N(INDIRECT("'"&amp;Сводка!$B$2&amp;"'!C17"))+N(INDIRECT("'"&amp;Сводка!$B$2&amp;"'!C44"))+N(INDIRECT("'"&amp;Сводка!$B$2&amp;"'!C67"))+N(INDIRECT("'"&amp;Сводка!$B$2&amp;"'!C90"))</f>
        <v/>
      </c>
      <c r="O22" s="47">
        <f>IFERROR(L22/F22*1000,"")</f>
        <v/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58">
      <c r="A23" s="12" t="inlineStr">
        <is>
          <t>Муравленко</t>
        </is>
      </c>
      <c r="B23" s="13">
        <f t="array" ref="B23">IF(INDIRECT("'"&amp;Сводка!$B$2&amp;"'!D18")="","—",INDIRECT("'"&amp;Сводка!$B$2&amp;"'!D18"))</f>
        <v/>
      </c>
      <c r="C23" s="13">
        <f t="array" ref="C23">IF(INDIRECT("'"&amp;Сводка!$B$2&amp;"'!D45")="","—",INDIRECT("'"&amp;Сводка!$B$2&amp;"'!D45"))</f>
        <v/>
      </c>
      <c r="D23" s="13">
        <f t="array" ref="D23">IF(INDIRECT("'"&amp;Сводка!$B$2&amp;"'!D68")="","—",INDIRECT("'"&amp;Сводка!$B$2&amp;"'!D68"))</f>
        <v/>
      </c>
      <c r="E23" s="13">
        <f t="array" ref="E23">IF(INDIRECT("'"&amp;Сводка!$B$2&amp;"'!D91")="","—",INDIRECT("'"&amp;Сводка!$B$2&amp;"'!D91"))</f>
        <v/>
      </c>
      <c r="F23" s="13">
        <f t="array" ref="F23">N(INDIRECT("'"&amp;Сводка!$B$2&amp;"'!D18"))+N(INDIRECT("'"&amp;Сводка!$B$2&amp;"'!D45"))+N(INDIRECT("'"&amp;Сводка!$B$2&amp;"'!D68"))+N(INDIRECT("'"&amp;Сводка!$B$2&amp;"'!D91"))</f>
        <v/>
      </c>
      <c r="G23" s="16">
        <f t="array" ref="G23">IFERROR(F23/(N(INDIRECT("'"&amp;Сводка!$B$3&amp;"'!D18"))+N(INDIRECT("'"&amp;Сводка!$B$3&amp;"'!D45"))+N(INDIRECT("'"&amp;Сводка!$B$3&amp;"'!D68"))+N(INDIRECT("'"&amp;Сводка!$B$3&amp;"'!D91")))-1,"")</f>
        <v/>
      </c>
      <c r="H23" s="13">
        <f t="array" ref="H23">IF(INDIRECT("'"&amp;Сводка!$B$2&amp;"'!H18")="","—",INDIRECT("'"&amp;Сводка!$B$2&amp;"'!H18"))</f>
        <v/>
      </c>
      <c r="I23" s="13">
        <f t="array" ref="I23">IF(INDIRECT("'"&amp;Сводка!$B$2&amp;"'!H45")="","—",INDIRECT("'"&amp;Сводка!$B$2&amp;"'!H45"))</f>
        <v/>
      </c>
      <c r="J23" s="13">
        <f t="array" ref="J23">IF(INDIRECT("'"&amp;Сводка!$B$2&amp;"'!H68")="","—",INDIRECT("'"&amp;Сводка!$B$2&amp;"'!H68"))</f>
        <v/>
      </c>
      <c r="K23" s="13">
        <f t="array" ref="K23">IF(INDIRECT("'"&amp;Сводка!$B$2&amp;"'!H91")="","—",INDIRECT("'"&amp;Сводка!$B$2&amp;"'!H91"))</f>
        <v/>
      </c>
      <c r="L23" s="13">
        <f t="array" ref="L23">N(INDIRECT("'"&amp;Сводка!$B$2&amp;"'!H18"))+N(INDIRECT("'"&amp;Сводка!$B$2&amp;"'!H45"))+N(INDIRECT("'"&amp;Сводка!$B$2&amp;"'!H68"))+N(INDIRECT("'"&amp;Сводка!$B$2&amp;"'!H91"))</f>
        <v/>
      </c>
      <c r="M23" s="16">
        <f t="array" ref="M23">IFERROR(L23/(N(INDIRECT("'"&amp;Сводка!$B$3&amp;"'!H18"))+N(INDIRECT("'"&amp;Сводка!$B$3&amp;"'!H45"))+N(INDIRECT("'"&amp;Сводка!$B$3&amp;"'!H68"))+N(INDIRECT("'"&amp;Сводка!$B$3&amp;"'!H91")))-1,"")</f>
        <v/>
      </c>
      <c r="N23" s="13">
        <f t="array" ref="N23">N(INDIRECT("'"&amp;Сводка!$B$2&amp;"'!C18"))+N(INDIRECT("'"&amp;Сводка!$B$2&amp;"'!C45"))+N(INDIRECT("'"&amp;Сводка!$B$2&amp;"'!C68"))+N(INDIRECT("'"&amp;Сводка!$B$2&amp;"'!C91"))</f>
        <v/>
      </c>
      <c r="O23" s="47">
        <f>IFERROR(L23/F23*1000,"")</f>
        <v/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58">
      <c r="A24" s="12" t="inlineStr">
        <is>
          <t>Губкинский</t>
        </is>
      </c>
      <c r="B24" s="13">
        <f t="array" ref="B24">IF(INDIRECT("'"&amp;Сводка!$B$2&amp;"'!D19")="","—",INDIRECT("'"&amp;Сводка!$B$2&amp;"'!D19"))</f>
        <v/>
      </c>
      <c r="C24" s="13">
        <f t="array" ref="C24">IF(INDIRECT("'"&amp;Сводка!$B$2&amp;"'!D46")="","—",INDIRECT("'"&amp;Сводка!$B$2&amp;"'!D46"))</f>
        <v/>
      </c>
      <c r="D24" s="13">
        <f t="array" ref="D24">IF(INDIRECT("'"&amp;Сводка!$B$2&amp;"'!D69")="","—",INDIRECT("'"&amp;Сводка!$B$2&amp;"'!D69"))</f>
        <v/>
      </c>
      <c r="E24" s="13">
        <f t="array" ref="E24">IF(INDIRECT("'"&amp;Сводка!$B$2&amp;"'!D92")="","—",INDIRECT("'"&amp;Сводка!$B$2&amp;"'!D92"))</f>
        <v/>
      </c>
      <c r="F24" s="13">
        <f t="array" ref="F24">N(INDIRECT("'"&amp;Сводка!$B$2&amp;"'!D19"))+N(INDIRECT("'"&amp;Сводка!$B$2&amp;"'!D46"))+N(INDIRECT("'"&amp;Сводка!$B$2&amp;"'!D69"))+N(INDIRECT("'"&amp;Сводка!$B$2&amp;"'!D92"))</f>
        <v/>
      </c>
      <c r="G24" s="16">
        <f t="array" ref="G24">IFERROR(F24/(N(INDIRECT("'"&amp;Сводка!$B$3&amp;"'!D19"))+N(INDIRECT("'"&amp;Сводка!$B$3&amp;"'!D46"))+N(INDIRECT("'"&amp;Сводка!$B$3&amp;"'!D69"))+N(INDIRECT("'"&amp;Сводка!$B$3&amp;"'!D92")))-1,"")</f>
        <v/>
      </c>
      <c r="H24" s="13">
        <f t="array" ref="H24">IF(INDIRECT("'"&amp;Сводка!$B$2&amp;"'!H19")="","—",INDIRECT("'"&amp;Сводка!$B$2&amp;"'!H19"))</f>
        <v/>
      </c>
      <c r="I24" s="13">
        <f t="array" ref="I24">IF(INDIRECT("'"&amp;Сводка!$B$2&amp;"'!H46")="","—",INDIRECT("'"&amp;Сводка!$B$2&amp;"'!H46"))</f>
        <v/>
      </c>
      <c r="J24" s="13">
        <f t="array" ref="J24">IF(INDIRECT("'"&amp;Сводка!$B$2&amp;"'!H69")="","—",INDIRECT("'"&amp;Сводка!$B$2&amp;"'!H69"))</f>
        <v/>
      </c>
      <c r="K24" s="13">
        <f t="array" ref="K24">IF(INDIRECT("'"&amp;Сводка!$B$2&amp;"'!H92")="","—",INDIRECT("'"&amp;Сводка!$B$2&amp;"'!H92"))</f>
        <v/>
      </c>
      <c r="L24" s="13">
        <f t="array" ref="L24">N(INDIRECT("'"&amp;Сводка!$B$2&amp;"'!H19"))+N(INDIRECT("'"&amp;Сводка!$B$2&amp;"'!H46"))+N(INDIRECT("'"&amp;Сводка!$B$2&amp;"'!H69"))+N(INDIRECT("'"&amp;Сводка!$B$2&amp;"'!H92"))</f>
        <v/>
      </c>
      <c r="M24" s="16">
        <f t="array" ref="M24">IFERROR(L24/(N(INDIRECT("'"&amp;Сводка!$B$3&amp;"'!H19"))+N(INDIRECT("'"&amp;Сводка!$B$3&amp;"'!H46"))+N(INDIRECT("'"&amp;Сводка!$B$3&amp;"'!H69"))+N(INDIRECT("'"&amp;Сводка!$B$3&amp;"'!H92")))-1,"")</f>
        <v/>
      </c>
      <c r="N24" s="13">
        <f t="array" ref="N24">N(INDIRECT("'"&amp;Сводка!$B$2&amp;"'!C19"))+N(INDIRECT("'"&amp;Сводка!$B$2&amp;"'!C46"))+N(INDIRECT("'"&amp;Сводка!$B$2&amp;"'!C69"))+N(INDIRECT("'"&amp;Сводка!$B$2&amp;"'!C92"))</f>
        <v/>
      </c>
      <c r="O24" s="47">
        <f>IFERROR(L24/F24*1000,"")</f>
        <v/>
      </c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58">
      <c r="A25" s="25" t="inlineStr">
        <is>
          <t>Итого · Города и районы</t>
        </is>
      </c>
      <c r="B25" s="26">
        <f>SUM(B12:B24)</f>
        <v/>
      </c>
      <c r="C25" s="26">
        <f>SUM(C12:C24)</f>
        <v/>
      </c>
      <c r="D25" s="26">
        <f>SUM(D12:D24)</f>
        <v/>
      </c>
      <c r="E25" s="26">
        <f>SUM(E12:E24)</f>
        <v/>
      </c>
      <c r="F25" s="26">
        <f>SUM(F12:F24)</f>
        <v/>
      </c>
      <c r="G25" s="28">
        <f t="array" ref="G25">IFERROR(F25/(N(INDIRECT("'"&amp;Сводка!$B$3&amp;"'!D7"))+N(INDIRECT("'"&amp;Сводка!$B$3&amp;"'!D34"))+N(INDIRECT("'"&amp;Сводка!$B$3&amp;"'!D57"))+N(INDIRECT("'"&amp;Сводка!$B$3&amp;"'!D80"))+N(INDIRECT("'"&amp;Сводка!$B$3&amp;"'!D8"))+N(INDIRECT("'"&amp;Сводка!$B$3&amp;"'!D35"))+N(INDIRECT("'"&amp;Сводка!$B$3&amp;"'!D58"))+N(INDIRECT("'"&amp;Сводка!$B$3&amp;"'!D81"))+N(INDIRECT("'"&amp;Сводка!$B$3&amp;"'!D9"))+N(INDIRECT("'"&amp;Сводка!$B$3&amp;"'!D36"))+N(INDIRECT("'"&amp;Сводка!$B$3&amp;"'!D59"))+N(INDIRECT("'"&amp;Сводка!$B$3&amp;"'!D82"))+N(INDIRECT("'"&amp;Сводка!$B$3&amp;"'!D10"))+N(INDIRECT("'"&amp;Сводка!$B$3&amp;"'!D37"))+N(INDIRECT("'"&amp;Сводка!$B$3&amp;"'!D60"))+N(INDIRECT("'"&amp;Сводка!$B$3&amp;"'!D83"))+N(INDIRECT("'"&amp;Сводка!$B$3&amp;"'!D11"))+N(INDIRECT("'"&amp;Сводка!$B$3&amp;"'!D38"))+N(INDIRECT("'"&amp;Сводка!$B$3&amp;"'!D61"))+N(INDIRECT("'"&amp;Сводка!$B$3&amp;"'!D84"))+N(INDIRECT("'"&amp;Сводка!$B$3&amp;"'!D12"))+N(INDIRECT("'"&amp;Сводка!$B$3&amp;"'!D39"))+N(INDIRECT("'"&amp;Сводка!$B$3&amp;"'!D62"))+N(INDIRECT("'"&amp;Сводка!$B$3&amp;"'!D85"))+N(INDIRECT("'"&amp;Сводка!$B$3&amp;"'!D13"))+N(INDIRECT("'"&amp;Сводка!$B$3&amp;"'!D40"))+N(INDIRECT("'"&amp;Сводка!$B$3&amp;"'!D63"))+N(INDIRECT("'"&amp;Сводка!$B$3&amp;"'!D86"))+N(INDIRECT("'"&amp;Сводка!$B$3&amp;"'!D14"))+N(INDIRECT("'"&amp;Сводка!$B$3&amp;"'!D41"))+N(INDIRECT("'"&amp;Сводка!$B$3&amp;"'!D64"))+N(INDIRECT("'"&amp;Сводка!$B$3&amp;"'!D87"))+N(INDIRECT("'"&amp;Сводка!$B$3&amp;"'!D15"))+N(INDIRECT("'"&amp;Сводка!$B$3&amp;"'!D42"))+N(INDIRECT("'"&amp;Сводка!$B$3&amp;"'!D65"))+N(INDIRECT("'"&amp;Сводка!$B$3&amp;"'!D88"))+N(INDIRECT("'"&amp;Сводка!$B$3&amp;"'!D16"))+N(INDIRECT("'"&amp;Сводка!$B$3&amp;"'!D43"))+N(INDIRECT("'"&amp;Сводка!$B$3&amp;"'!D66"))+N(INDIRECT("'"&amp;Сводка!$B$3&amp;"'!D89"))+N(INDIRECT("'"&amp;Сводка!$B$3&amp;"'!D17"))+N(INDIRECT("'"&amp;Сводка!$B$3&amp;"'!D44"))+N(INDIRECT("'"&amp;Сводка!$B$3&amp;"'!D67"))+N(INDIRECT("'"&amp;Сводка!$B$3&amp;"'!D90"))+N(INDIRECT("'"&amp;Сводка!$B$3&amp;"'!D18"))+N(INDIRECT("'"&amp;Сводка!$B$3&amp;"'!D45"))+N(INDIRECT("'"&amp;Сводка!$B$3&amp;"'!D68"))+N(INDIRECT("'"&amp;Сводка!$B$3&amp;"'!D91"))+N(INDIRECT("'"&amp;Сводка!$B$3&amp;"'!D19"))+N(INDIRECT("'"&amp;Сводка!$B$3&amp;"'!D46"))+N(INDIRECT("'"&amp;Сводка!$B$3&amp;"'!D69"))+N(INDIRECT("'"&amp;Сводка!$B$3&amp;"'!D92")))-1,"")</f>
        <v/>
      </c>
      <c r="H25" s="26">
        <f>SUM(H12:H24)</f>
        <v/>
      </c>
      <c r="I25" s="26">
        <f>SUM(I12:I24)</f>
        <v/>
      </c>
      <c r="J25" s="26">
        <f>SUM(J12:J24)</f>
        <v/>
      </c>
      <c r="K25" s="26">
        <f>SUM(K12:K24)</f>
        <v/>
      </c>
      <c r="L25" s="26">
        <f>SUM(L12:L24)</f>
        <v/>
      </c>
      <c r="M25" s="28">
        <f t="array" ref="M25">IFERROR(L25/(N(INDIRECT("'"&amp;Сводка!$B$3&amp;"'!H7"))+N(INDIRECT("'"&amp;Сводка!$B$3&amp;"'!H34"))+N(INDIRECT("'"&amp;Сводка!$B$3&amp;"'!H57"))+N(INDIRECT("'"&amp;Сводка!$B$3&amp;"'!H80"))+N(INDIRECT("'"&amp;Сводка!$B$3&amp;"'!H8"))+N(INDIRECT("'"&amp;Сводка!$B$3&amp;"'!H35"))+N(INDIRECT("'"&amp;Сводка!$B$3&amp;"'!H58"))+N(INDIRECT("'"&amp;Сводка!$B$3&amp;"'!H81"))+N(INDIRECT("'"&amp;Сводка!$B$3&amp;"'!H9"))+N(INDIRECT("'"&amp;Сводка!$B$3&amp;"'!H36"))+N(INDIRECT("'"&amp;Сводка!$B$3&amp;"'!H59"))+N(INDIRECT("'"&amp;Сводка!$B$3&amp;"'!H82"))+N(INDIRECT("'"&amp;Сводка!$B$3&amp;"'!H10"))+N(INDIRECT("'"&amp;Сводка!$B$3&amp;"'!H37"))+N(INDIRECT("'"&amp;Сводка!$B$3&amp;"'!H60"))+N(INDIRECT("'"&amp;Сводка!$B$3&amp;"'!H83"))+N(INDIRECT("'"&amp;Сводка!$B$3&amp;"'!H11"))+N(INDIRECT("'"&amp;Сводка!$B$3&amp;"'!H38"))+N(INDIRECT("'"&amp;Сводка!$B$3&amp;"'!H61"))+N(INDIRECT("'"&amp;Сводка!$B$3&amp;"'!H84"))+N(INDIRECT("'"&amp;Сводка!$B$3&amp;"'!H12"))+N(INDIRECT("'"&amp;Сводка!$B$3&amp;"'!H39"))+N(INDIRECT("'"&amp;Сводка!$B$3&amp;"'!H62"))+N(INDIRECT("'"&amp;Сводка!$B$3&amp;"'!H85"))+N(INDIRECT("'"&amp;Сводка!$B$3&amp;"'!H13"))+N(INDIRECT("'"&amp;Сводка!$B$3&amp;"'!H40"))+N(INDIRECT("'"&amp;Сводка!$B$3&amp;"'!H63"))+N(INDIRECT("'"&amp;Сводка!$B$3&amp;"'!H86"))+N(INDIRECT("'"&amp;Сводка!$B$3&amp;"'!H14"))+N(INDIRECT("'"&amp;Сводка!$B$3&amp;"'!H41"))+N(INDIRECT("'"&amp;Сводка!$B$3&amp;"'!H64"))+N(INDIRECT("'"&amp;Сводка!$B$3&amp;"'!H87"))+N(INDIRECT("'"&amp;Сводка!$B$3&amp;"'!H15"))+N(INDIRECT("'"&amp;Сводка!$B$3&amp;"'!H42"))+N(INDIRECT("'"&amp;Сводка!$B$3&amp;"'!H65"))+N(INDIRECT("'"&amp;Сводка!$B$3&amp;"'!H88"))+N(INDIRECT("'"&amp;Сводка!$B$3&amp;"'!H16"))+N(INDIRECT("'"&amp;Сводка!$B$3&amp;"'!H43"))+N(INDIRECT("'"&amp;Сводка!$B$3&amp;"'!H66"))+N(INDIRECT("'"&amp;Сводка!$B$3&amp;"'!H89"))+N(INDIRECT("'"&amp;Сводка!$B$3&amp;"'!H17"))+N(INDIRECT("'"&amp;Сводка!$B$3&amp;"'!H44"))+N(INDIRECT("'"&amp;Сводка!$B$3&amp;"'!H67"))+N(INDIRECT("'"&amp;Сводка!$B$3&amp;"'!H90"))+N(INDIRECT("'"&amp;Сводка!$B$3&amp;"'!H18"))+N(INDIRECT("'"&amp;Сводка!$B$3&amp;"'!H45"))+N(INDIRECT("'"&amp;Сводка!$B$3&amp;"'!H68"))+N(INDIRECT("'"&amp;Сводка!$B$3&amp;"'!H91"))+N(INDIRECT("'"&amp;Сводка!$B$3&amp;"'!H19"))+N(INDIRECT("'"&amp;Сводка!$B$3&amp;"'!H46"))+N(INDIRECT("'"&amp;Сводка!$B$3&amp;"'!H69"))+N(INDIRECT("'"&amp;Сводка!$B$3&amp;"'!H92")))-1,"")</f>
        <v/>
      </c>
      <c r="N25" s="26">
        <f>SUM(N12:N24)</f>
        <v/>
      </c>
      <c r="O25" s="52">
        <f>IFERROR(L25/F25*1000,"")</f>
        <v/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 s="58">
      <c r="A26" s="2" t="n"/>
      <c r="B26" s="53" t="n"/>
      <c r="C26" s="53" t="n"/>
      <c r="D26" s="53" t="n"/>
      <c r="E26" s="53" t="n"/>
      <c r="F26" s="53" t="n"/>
      <c r="G26" s="54" t="n"/>
      <c r="H26" s="53" t="n"/>
      <c r="I26" s="53" t="n"/>
      <c r="J26" s="53" t="n"/>
      <c r="K26" s="53" t="n"/>
      <c r="L26" s="53" t="n"/>
      <c r="M26" s="54" t="n"/>
      <c r="N26" s="53" t="n"/>
      <c r="O26" s="55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 s="58">
      <c r="A27" s="43" t="inlineStr">
        <is>
          <t>Тематические и нишевые</t>
        </is>
      </c>
      <c r="B27" s="44" t="n"/>
      <c r="C27" s="44" t="n"/>
      <c r="D27" s="44" t="n"/>
      <c r="E27" s="44" t="n"/>
      <c r="F27" s="44" t="n"/>
      <c r="G27" s="45" t="n"/>
      <c r="H27" s="44" t="n"/>
      <c r="I27" s="44" t="n"/>
      <c r="J27" s="44" t="n"/>
      <c r="K27" s="44" t="n"/>
      <c r="L27" s="44" t="n"/>
      <c r="M27" s="45" t="n"/>
      <c r="N27" s="44" t="n"/>
      <c r="O27" s="46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58">
      <c r="A28" s="12" t="inlineStr">
        <is>
          <t>Не олени</t>
        </is>
      </c>
      <c r="B28" s="13">
        <f t="array" ref="B28">IF(INDIRECT("'"&amp;Сводка!$B$2&amp;"'!D20")="","—",INDIRECT("'"&amp;Сводка!$B$2&amp;"'!D20"))</f>
        <v/>
      </c>
      <c r="C28" s="13" t="inlineStr">
        <is>
          <t>—</t>
        </is>
      </c>
      <c r="D28" s="13">
        <f t="array" ref="D28">IF(INDIRECT("'"&amp;Сводка!$B$2&amp;"'!D71")="","—",INDIRECT("'"&amp;Сводка!$B$2&amp;"'!D71"))</f>
        <v/>
      </c>
      <c r="E28" s="13">
        <f t="array" ref="E28">IF(INDIRECT("'"&amp;Сводка!$B$2&amp;"'!D93")="","—",INDIRECT("'"&amp;Сводка!$B$2&amp;"'!D93"))</f>
        <v/>
      </c>
      <c r="F28" s="13">
        <f t="array" ref="F28">N(INDIRECT("'"&amp;Сводка!$B$2&amp;"'!D20"))+N(INDIRECT("'"&amp;Сводка!$B$2&amp;"'!D71"))+N(INDIRECT("'"&amp;Сводка!$B$2&amp;"'!D93"))</f>
        <v/>
      </c>
      <c r="G28" s="16">
        <f t="array" ref="G28">IFERROR(F28/(N(INDIRECT("'"&amp;Сводка!$B$3&amp;"'!D20"))+N(INDIRECT("'"&amp;Сводка!$B$3&amp;"'!D71"))+N(INDIRECT("'"&amp;Сводка!$B$3&amp;"'!D93")))-1,"")</f>
        <v/>
      </c>
      <c r="H28" s="13">
        <f t="array" ref="H28">IF(INDIRECT("'"&amp;Сводка!$B$2&amp;"'!H20")="","—",INDIRECT("'"&amp;Сводка!$B$2&amp;"'!H20"))</f>
        <v/>
      </c>
      <c r="I28" s="13" t="inlineStr">
        <is>
          <t>—</t>
        </is>
      </c>
      <c r="J28" s="13">
        <f t="array" ref="J28">IF(INDIRECT("'"&amp;Сводка!$B$2&amp;"'!H71")="","—",INDIRECT("'"&amp;Сводка!$B$2&amp;"'!H71"))</f>
        <v/>
      </c>
      <c r="K28" s="13">
        <f t="array" ref="K28">IF(INDIRECT("'"&amp;Сводка!$B$2&amp;"'!H93")="","—",INDIRECT("'"&amp;Сводка!$B$2&amp;"'!H93"))</f>
        <v/>
      </c>
      <c r="L28" s="13">
        <f t="array" ref="L28">N(INDIRECT("'"&amp;Сводка!$B$2&amp;"'!H20"))+N(INDIRECT("'"&amp;Сводка!$B$2&amp;"'!H71"))+N(INDIRECT("'"&amp;Сводка!$B$2&amp;"'!H93"))</f>
        <v/>
      </c>
      <c r="M28" s="16">
        <f t="array" ref="M28">IFERROR(L28/(N(INDIRECT("'"&amp;Сводка!$B$3&amp;"'!H20"))+N(INDIRECT("'"&amp;Сводка!$B$3&amp;"'!H71"))+N(INDIRECT("'"&amp;Сводка!$B$3&amp;"'!H93")))-1,"")</f>
        <v/>
      </c>
      <c r="N28" s="13">
        <f t="array" ref="N28">N(INDIRECT("'"&amp;Сводка!$B$2&amp;"'!C20"))+N(INDIRECT("'"&amp;Сводка!$B$2&amp;"'!C71"))+N(INDIRECT("'"&amp;Сводка!$B$2&amp;"'!C93"))</f>
        <v/>
      </c>
      <c r="O28" s="47">
        <f>IFERROR(L28/F28*1000,"")</f>
        <v/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58">
      <c r="A29" s="12" t="inlineStr">
        <is>
          <t>Ямальский меридиан</t>
        </is>
      </c>
      <c r="B29" s="13">
        <f t="array" ref="B29">IF(INDIRECT("'"&amp;Сводка!$B$2&amp;"'!D25")="","—",INDIRECT("'"&amp;Сводка!$B$2&amp;"'!D25"))</f>
        <v/>
      </c>
      <c r="C29" s="13" t="inlineStr">
        <is>
          <t>—</t>
        </is>
      </c>
      <c r="D29" s="13">
        <f t="array" ref="D29">IF(INDIRECT("'"&amp;Сводка!$B$2&amp;"'!D72")="","—",INDIRECT("'"&amp;Сводка!$B$2&amp;"'!D72"))</f>
        <v/>
      </c>
      <c r="E29" s="13">
        <f t="array" ref="E29">IF(INDIRECT("'"&amp;Сводка!$B$2&amp;"'!D94")="","—",INDIRECT("'"&amp;Сводка!$B$2&amp;"'!D94"))</f>
        <v/>
      </c>
      <c r="F29" s="13">
        <f t="array" ref="F29">N(INDIRECT("'"&amp;Сводка!$B$2&amp;"'!D25"))+N(INDIRECT("'"&amp;Сводка!$B$2&amp;"'!D72"))+N(INDIRECT("'"&amp;Сводка!$B$2&amp;"'!D94"))</f>
        <v/>
      </c>
      <c r="G29" s="16">
        <f t="array" ref="G29">IFERROR(F29/(N(INDIRECT("'"&amp;Сводка!$B$3&amp;"'!D25"))+N(INDIRECT("'"&amp;Сводка!$B$3&amp;"'!D72"))+N(INDIRECT("'"&amp;Сводка!$B$3&amp;"'!D94")))-1,"")</f>
        <v/>
      </c>
      <c r="H29" s="13">
        <f t="array" ref="H29">IF(INDIRECT("'"&amp;Сводка!$B$2&amp;"'!H25")="","—",INDIRECT("'"&amp;Сводка!$B$2&amp;"'!H25"))</f>
        <v/>
      </c>
      <c r="I29" s="13" t="inlineStr">
        <is>
          <t>—</t>
        </is>
      </c>
      <c r="J29" s="13">
        <f t="array" ref="J29">IF(INDIRECT("'"&amp;Сводка!$B$2&amp;"'!H72")="","—",INDIRECT("'"&amp;Сводка!$B$2&amp;"'!H72"))</f>
        <v/>
      </c>
      <c r="K29" s="13">
        <f t="array" ref="K29">IF(INDIRECT("'"&amp;Сводка!$B$2&amp;"'!H94")="","—",INDIRECT("'"&amp;Сводка!$B$2&amp;"'!H94"))</f>
        <v/>
      </c>
      <c r="L29" s="13">
        <f t="array" ref="L29">N(INDIRECT("'"&amp;Сводка!$B$2&amp;"'!H25"))+N(INDIRECT("'"&amp;Сводка!$B$2&amp;"'!H72"))+N(INDIRECT("'"&amp;Сводка!$B$2&amp;"'!H94"))</f>
        <v/>
      </c>
      <c r="M29" s="16">
        <f t="array" ref="M29">IFERROR(L29/(N(INDIRECT("'"&amp;Сводка!$B$3&amp;"'!H25"))+N(INDIRECT("'"&amp;Сводка!$B$3&amp;"'!H72"))+N(INDIRECT("'"&amp;Сводка!$B$3&amp;"'!H94")))-1,"")</f>
        <v/>
      </c>
      <c r="N29" s="13">
        <f t="array" ref="N29">N(INDIRECT("'"&amp;Сводка!$B$2&amp;"'!C25"))+N(INDIRECT("'"&amp;Сводка!$B$2&amp;"'!C72"))+N(INDIRECT("'"&amp;Сводка!$B$2&amp;"'!C94"))</f>
        <v/>
      </c>
      <c r="O29" s="47">
        <f>IFERROR(L29/F29*1000,"")</f>
        <v/>
      </c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58">
      <c r="A30" s="12" t="inlineStr">
        <is>
          <t>СМП</t>
        </is>
      </c>
      <c r="B30" s="13" t="inlineStr">
        <is>
          <t>—</t>
        </is>
      </c>
      <c r="C30" s="13" t="inlineStr">
        <is>
          <t>—</t>
        </is>
      </c>
      <c r="D30" s="13">
        <f t="array" ref="D30">IF(INDIRECT("'"&amp;Сводка!$B$2&amp;"'!D55")="","—",INDIRECT("'"&amp;Сводка!$B$2&amp;"'!D55"))</f>
        <v/>
      </c>
      <c r="E30" s="13">
        <f t="array" ref="E30">IF(INDIRECT("'"&amp;Сводка!$B$2&amp;"'!D78")="","—",INDIRECT("'"&amp;Сводка!$B$2&amp;"'!D78"))</f>
        <v/>
      </c>
      <c r="F30" s="13">
        <f t="array" ref="F30">N(INDIRECT("'"&amp;Сводка!$B$2&amp;"'!D55"))+N(INDIRECT("'"&amp;Сводка!$B$2&amp;"'!D78"))</f>
        <v/>
      </c>
      <c r="G30" s="16">
        <f t="array" ref="G30">IFERROR(F30/(N(INDIRECT("'"&amp;Сводка!$B$3&amp;"'!D55"))+N(INDIRECT("'"&amp;Сводка!$B$3&amp;"'!D78")))-1,"")</f>
        <v/>
      </c>
      <c r="H30" s="13" t="inlineStr">
        <is>
          <t>—</t>
        </is>
      </c>
      <c r="I30" s="13" t="inlineStr">
        <is>
          <t>—</t>
        </is>
      </c>
      <c r="J30" s="13">
        <f t="array" ref="J30">IF(INDIRECT("'"&amp;Сводка!$B$2&amp;"'!H55")="","—",INDIRECT("'"&amp;Сводка!$B$2&amp;"'!H55"))</f>
        <v/>
      </c>
      <c r="K30" s="13">
        <f t="array" ref="K30">IF(INDIRECT("'"&amp;Сводка!$B$2&amp;"'!H78")="","—",INDIRECT("'"&amp;Сводка!$B$2&amp;"'!H78"))</f>
        <v/>
      </c>
      <c r="L30" s="13">
        <f t="array" ref="L30">N(INDIRECT("'"&amp;Сводка!$B$2&amp;"'!H55"))+N(INDIRECT("'"&amp;Сводка!$B$2&amp;"'!H78"))</f>
        <v/>
      </c>
      <c r="M30" s="16">
        <f t="array" ref="M30">IFERROR(L30/(N(INDIRECT("'"&amp;Сводка!$B$3&amp;"'!H55"))+N(INDIRECT("'"&amp;Сводка!$B$3&amp;"'!H78")))-1,"")</f>
        <v/>
      </c>
      <c r="N30" s="13">
        <f t="array" ref="N30">N(INDIRECT("'"&amp;Сводка!$B$2&amp;"'!C55"))+N(INDIRECT("'"&amp;Сводка!$B$2&amp;"'!C78"))</f>
        <v/>
      </c>
      <c r="O30" s="47">
        <f>IFERROR(L30/F30*1000,"")</f>
        <v/>
      </c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58">
      <c r="A31" s="12" t="inlineStr">
        <is>
          <t>СШХ</t>
        </is>
      </c>
      <c r="B31" s="13" t="inlineStr">
        <is>
          <t>—</t>
        </is>
      </c>
      <c r="C31" s="13" t="inlineStr">
        <is>
          <t>—</t>
        </is>
      </c>
      <c r="D31" s="13">
        <f t="array" ref="D31">IF(INDIRECT("'"&amp;Сводка!$B$2&amp;"'!D56")="","—",INDIRECT("'"&amp;Сводка!$B$2&amp;"'!D56"))</f>
        <v/>
      </c>
      <c r="E31" s="13">
        <f t="array" ref="E31">IF(INDIRECT("'"&amp;Сводка!$B$2&amp;"'!D79")="","—",INDIRECT("'"&amp;Сводка!$B$2&amp;"'!D79"))</f>
        <v/>
      </c>
      <c r="F31" s="13">
        <f t="array" ref="F31">N(INDIRECT("'"&amp;Сводка!$B$2&amp;"'!D56"))+N(INDIRECT("'"&amp;Сводка!$B$2&amp;"'!D79"))</f>
        <v/>
      </c>
      <c r="G31" s="16">
        <f t="array" ref="G31">IFERROR(F31/(N(INDIRECT("'"&amp;Сводка!$B$3&amp;"'!D56"))+N(INDIRECT("'"&amp;Сводка!$B$3&amp;"'!D79")))-1,"")</f>
        <v/>
      </c>
      <c r="H31" s="13" t="inlineStr">
        <is>
          <t>—</t>
        </is>
      </c>
      <c r="I31" s="13" t="inlineStr">
        <is>
          <t>—</t>
        </is>
      </c>
      <c r="J31" s="13">
        <f t="array" ref="J31">IF(INDIRECT("'"&amp;Сводка!$B$2&amp;"'!H56")="","—",INDIRECT("'"&amp;Сводка!$B$2&amp;"'!H56"))</f>
        <v/>
      </c>
      <c r="K31" s="13">
        <f t="array" ref="K31">IF(INDIRECT("'"&amp;Сводка!$B$2&amp;"'!H79")="","—",INDIRECT("'"&amp;Сводка!$B$2&amp;"'!H79"))</f>
        <v/>
      </c>
      <c r="L31" s="13">
        <f t="array" ref="L31">N(INDIRECT("'"&amp;Сводка!$B$2&amp;"'!H56"))+N(INDIRECT("'"&amp;Сводка!$B$2&amp;"'!H79"))</f>
        <v/>
      </c>
      <c r="M31" s="16">
        <f t="array" ref="M31">IFERROR(L31/(N(INDIRECT("'"&amp;Сводка!$B$3&amp;"'!H56"))+N(INDIRECT("'"&amp;Сводка!$B$3&amp;"'!H79")))-1,"")</f>
        <v/>
      </c>
      <c r="N31" s="13">
        <f t="array" ref="N31">N(INDIRECT("'"&amp;Сводка!$B$2&amp;"'!C56"))+N(INDIRECT("'"&amp;Сводка!$B$2&amp;"'!C79"))</f>
        <v/>
      </c>
      <c r="O31" s="47">
        <f>IFERROR(L31/F31*1000,"")</f>
        <v/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58">
      <c r="A32" s="12" t="inlineStr">
        <is>
          <t>Этноарктика</t>
        </is>
      </c>
      <c r="B32" s="13">
        <f t="array" ref="B32">IF(INDIRECT("'"&amp;Сводка!$B$2&amp;"'!D21")="","—",INDIRECT("'"&amp;Сводка!$B$2&amp;"'!D21"))</f>
        <v/>
      </c>
      <c r="C32" s="13" t="inlineStr">
        <is>
          <t>—</t>
        </is>
      </c>
      <c r="D32" s="13" t="inlineStr">
        <is>
          <t>—</t>
        </is>
      </c>
      <c r="E32" s="13" t="inlineStr">
        <is>
          <t>—</t>
        </is>
      </c>
      <c r="F32" s="13">
        <f t="array" ref="F32">N(INDIRECT("'"&amp;Сводка!$B$2&amp;"'!D21"))</f>
        <v/>
      </c>
      <c r="G32" s="16">
        <f t="array" ref="G32">IFERROR(F32/(N(INDIRECT("'"&amp;Сводка!$B$3&amp;"'!D21")))-1,"")</f>
        <v/>
      </c>
      <c r="H32" s="13">
        <f t="array" ref="H32">IF(INDIRECT("'"&amp;Сводка!$B$2&amp;"'!H21")="","—",INDIRECT("'"&amp;Сводка!$B$2&amp;"'!H21"))</f>
        <v/>
      </c>
      <c r="I32" s="13" t="inlineStr">
        <is>
          <t>—</t>
        </is>
      </c>
      <c r="J32" s="13" t="inlineStr">
        <is>
          <t>—</t>
        </is>
      </c>
      <c r="K32" s="13" t="inlineStr">
        <is>
          <t>—</t>
        </is>
      </c>
      <c r="L32" s="13">
        <f t="array" ref="L32">N(INDIRECT("'"&amp;Сводка!$B$2&amp;"'!H21"))</f>
        <v/>
      </c>
      <c r="M32" s="16">
        <f t="array" ref="M32">IFERROR(L32/(N(INDIRECT("'"&amp;Сводка!$B$3&amp;"'!H21")))-1,"")</f>
        <v/>
      </c>
      <c r="N32" s="13">
        <f t="array" ref="N32">N(INDIRECT("'"&amp;Сводка!$B$2&amp;"'!C21"))</f>
        <v/>
      </c>
      <c r="O32" s="47">
        <f>IFERROR(L32/F32*1000,"")</f>
        <v/>
      </c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58">
      <c r="A33" s="12" t="inlineStr">
        <is>
          <t>ЗажгиФакел</t>
        </is>
      </c>
      <c r="B33" s="13">
        <f t="array" ref="B33">IF(INDIRECT("'"&amp;Сводка!$B$2&amp;"'!D22")="","—",INDIRECT("'"&amp;Сводка!$B$2&amp;"'!D22"))</f>
        <v/>
      </c>
      <c r="C33" s="13" t="inlineStr">
        <is>
          <t>—</t>
        </is>
      </c>
      <c r="D33" s="13" t="inlineStr">
        <is>
          <t>—</t>
        </is>
      </c>
      <c r="E33" s="13" t="inlineStr">
        <is>
          <t>—</t>
        </is>
      </c>
      <c r="F33" s="13">
        <f t="array" ref="F33">N(INDIRECT("'"&amp;Сводка!$B$2&amp;"'!D22"))</f>
        <v/>
      </c>
      <c r="G33" s="16">
        <f t="array" ref="G33">IFERROR(F33/(N(INDIRECT("'"&amp;Сводка!$B$3&amp;"'!D22")))-1,"")</f>
        <v/>
      </c>
      <c r="H33" s="13">
        <f t="array" ref="H33">IF(INDIRECT("'"&amp;Сводка!$B$2&amp;"'!H22")="","—",INDIRECT("'"&amp;Сводка!$B$2&amp;"'!H22"))</f>
        <v/>
      </c>
      <c r="I33" s="13" t="inlineStr">
        <is>
          <t>—</t>
        </is>
      </c>
      <c r="J33" s="13" t="inlineStr">
        <is>
          <t>—</t>
        </is>
      </c>
      <c r="K33" s="13" t="inlineStr">
        <is>
          <t>—</t>
        </is>
      </c>
      <c r="L33" s="13">
        <f t="array" ref="L33">N(INDIRECT("'"&amp;Сводка!$B$2&amp;"'!H22"))</f>
        <v/>
      </c>
      <c r="M33" s="16">
        <f t="array" ref="M33">IFERROR(L33/(N(INDIRECT("'"&amp;Сводка!$B$3&amp;"'!H22")))-1,"")</f>
        <v/>
      </c>
      <c r="N33" s="13">
        <f t="array" ref="N33">N(INDIRECT("'"&amp;Сводка!$B$2&amp;"'!C22"))</f>
        <v/>
      </c>
      <c r="O33" s="47">
        <f>IFERROR(L33/F33*1000,"")</f>
        <v/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58">
      <c r="A34" s="12" t="inlineStr">
        <is>
          <t>Арктика Вконтакте</t>
        </is>
      </c>
      <c r="B34" s="13">
        <f t="array" ref="B34">IF(INDIRECT("'"&amp;Сводка!$B$2&amp;"'!D27")="","—",INDIRECT("'"&amp;Сводка!$B$2&amp;"'!D27"))</f>
        <v/>
      </c>
      <c r="C34" s="13" t="inlineStr">
        <is>
          <t>—</t>
        </is>
      </c>
      <c r="D34" s="13" t="inlineStr">
        <is>
          <t>—</t>
        </is>
      </c>
      <c r="E34" s="13" t="inlineStr">
        <is>
          <t>—</t>
        </is>
      </c>
      <c r="F34" s="13">
        <f t="array" ref="F34">N(INDIRECT("'"&amp;Сводка!$B$2&amp;"'!D27"))</f>
        <v/>
      </c>
      <c r="G34" s="16">
        <f t="array" ref="G34">IFERROR(F34/(N(INDIRECT("'"&amp;Сводка!$B$3&amp;"'!D27")))-1,"")</f>
        <v/>
      </c>
      <c r="H34" s="13">
        <f t="array" ref="H34">IF(INDIRECT("'"&amp;Сводка!$B$2&amp;"'!H27")="","—",INDIRECT("'"&amp;Сводка!$B$2&amp;"'!H27"))</f>
        <v/>
      </c>
      <c r="I34" s="13" t="inlineStr">
        <is>
          <t>—</t>
        </is>
      </c>
      <c r="J34" s="13" t="inlineStr">
        <is>
          <t>—</t>
        </is>
      </c>
      <c r="K34" s="13" t="inlineStr">
        <is>
          <t>—</t>
        </is>
      </c>
      <c r="L34" s="13">
        <f t="array" ref="L34">N(INDIRECT("'"&amp;Сводка!$B$2&amp;"'!H27"))</f>
        <v/>
      </c>
      <c r="M34" s="16">
        <f t="array" ref="M34">IFERROR(L34/(N(INDIRECT("'"&amp;Сводка!$B$3&amp;"'!H27")))-1,"")</f>
        <v/>
      </c>
      <c r="N34" s="13">
        <f t="array" ref="N34">N(INDIRECT("'"&amp;Сводка!$B$2&amp;"'!C27"))</f>
        <v/>
      </c>
      <c r="O34" s="47">
        <f>IFERROR(L34/F34*1000,"")</f>
        <v/>
      </c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58">
      <c r="A35" s="12" t="inlineStr">
        <is>
          <t>Ямал Live</t>
        </is>
      </c>
      <c r="B35" s="13">
        <f t="array" ref="B35">IF(INDIRECT("'"&amp;Сводка!$B$2&amp;"'!D28")="","—",INDIRECT("'"&amp;Сводка!$B$2&amp;"'!D28"))</f>
        <v/>
      </c>
      <c r="C35" s="13" t="inlineStr">
        <is>
          <t>—</t>
        </is>
      </c>
      <c r="D35" s="13" t="inlineStr">
        <is>
          <t>—</t>
        </is>
      </c>
      <c r="E35" s="13" t="inlineStr">
        <is>
          <t>—</t>
        </is>
      </c>
      <c r="F35" s="13">
        <f t="array" ref="F35">N(INDIRECT("'"&amp;Сводка!$B$2&amp;"'!D28"))</f>
        <v/>
      </c>
      <c r="G35" s="16">
        <f t="array" ref="G35">IFERROR(F35/(N(INDIRECT("'"&amp;Сводка!$B$3&amp;"'!D28")))-1,"")</f>
        <v/>
      </c>
      <c r="H35" s="13">
        <f t="array" ref="H35">IF(INDIRECT("'"&amp;Сводка!$B$2&amp;"'!H28")="","—",INDIRECT("'"&amp;Сводка!$B$2&amp;"'!H28"))</f>
        <v/>
      </c>
      <c r="I35" s="13" t="inlineStr">
        <is>
          <t>—</t>
        </is>
      </c>
      <c r="J35" s="13" t="inlineStr">
        <is>
          <t>—</t>
        </is>
      </c>
      <c r="K35" s="13" t="inlineStr">
        <is>
          <t>—</t>
        </is>
      </c>
      <c r="L35" s="13">
        <f t="array" ref="L35">N(INDIRECT("'"&amp;Сводка!$B$2&amp;"'!H28"))</f>
        <v/>
      </c>
      <c r="M35" s="16">
        <f t="array" ref="M35">IFERROR(L35/(N(INDIRECT("'"&amp;Сводка!$B$3&amp;"'!H28")))-1,"")</f>
        <v/>
      </c>
      <c r="N35" s="13">
        <f t="array" ref="N35">N(INDIRECT("'"&amp;Сводка!$B$2&amp;"'!C28"))</f>
        <v/>
      </c>
      <c r="O35" s="47">
        <f>IFERROR(L35/F35*1000,"")</f>
        <v/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58">
      <c r="A36" s="12" t="inlineStr">
        <is>
          <t>Нярьяна Нгэрм</t>
        </is>
      </c>
      <c r="B36" s="13">
        <f t="array" ref="B36">IF(INDIRECT("'"&amp;Сводка!$B$2&amp;"'!D23")="","—",INDIRECT("'"&amp;Сводка!$B$2&amp;"'!D23"))</f>
        <v/>
      </c>
      <c r="C36" s="13">
        <f t="array" ref="C36">IF(INDIRECT("'"&amp;Сводка!$B$2&amp;"'!D47")="","—",INDIRECT("'"&amp;Сводка!$B$2&amp;"'!D47"))</f>
        <v/>
      </c>
      <c r="D36" s="13" t="inlineStr">
        <is>
          <t>—</t>
        </is>
      </c>
      <c r="E36" s="13" t="inlineStr">
        <is>
          <t>—</t>
        </is>
      </c>
      <c r="F36" s="13">
        <f t="array" ref="F36">N(INDIRECT("'"&amp;Сводка!$B$2&amp;"'!D23"))+N(INDIRECT("'"&amp;Сводка!$B$2&amp;"'!D47"))</f>
        <v/>
      </c>
      <c r="G36" s="16">
        <f t="array" ref="G36">IFERROR(F36/(N(INDIRECT("'"&amp;Сводка!$B$3&amp;"'!D23"))+N(INDIRECT("'"&amp;Сводка!$B$3&amp;"'!D47")))-1,"")</f>
        <v/>
      </c>
      <c r="H36" s="13">
        <f t="array" ref="H36">IF(INDIRECT("'"&amp;Сводка!$B$2&amp;"'!H23")="","—",INDIRECT("'"&amp;Сводка!$B$2&amp;"'!H23"))</f>
        <v/>
      </c>
      <c r="I36" s="13">
        <f t="array" ref="I36">IF(INDIRECT("'"&amp;Сводка!$B$2&amp;"'!H47")="","—",INDIRECT("'"&amp;Сводка!$B$2&amp;"'!H47"))</f>
        <v/>
      </c>
      <c r="J36" s="13" t="inlineStr">
        <is>
          <t>—</t>
        </is>
      </c>
      <c r="K36" s="13" t="inlineStr">
        <is>
          <t>—</t>
        </is>
      </c>
      <c r="L36" s="13">
        <f t="array" ref="L36">N(INDIRECT("'"&amp;Сводка!$B$2&amp;"'!H23"))+N(INDIRECT("'"&amp;Сводка!$B$2&amp;"'!H47"))</f>
        <v/>
      </c>
      <c r="M36" s="16">
        <f t="array" ref="M36">IFERROR(L36/(N(INDIRECT("'"&amp;Сводка!$B$3&amp;"'!H23"))+N(INDIRECT("'"&amp;Сводка!$B$3&amp;"'!H47")))-1,"")</f>
        <v/>
      </c>
      <c r="N36" s="13">
        <f t="array" ref="N36">N(INDIRECT("'"&amp;Сводка!$B$2&amp;"'!C23"))+N(INDIRECT("'"&amp;Сводка!$B$2&amp;"'!C47"))</f>
        <v/>
      </c>
      <c r="O36" s="47">
        <f>IFERROR(L36/F36*1000,"")</f>
        <v/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58">
      <c r="A37" s="12" t="inlineStr">
        <is>
          <t>Лух Авт</t>
        </is>
      </c>
      <c r="B37" s="13">
        <f t="array" ref="B37">IF(INDIRECT("'"&amp;Сводка!$B$2&amp;"'!D24")="","—",INDIRECT("'"&amp;Сводка!$B$2&amp;"'!D24"))</f>
        <v/>
      </c>
      <c r="C37" s="13">
        <f t="array" ref="C37">IF(INDIRECT("'"&amp;Сводка!$B$2&amp;"'!D48")="","—",INDIRECT("'"&amp;Сводка!$B$2&amp;"'!D48"))</f>
        <v/>
      </c>
      <c r="D37" s="13" t="inlineStr">
        <is>
          <t>—</t>
        </is>
      </c>
      <c r="E37" s="13" t="inlineStr">
        <is>
          <t>—</t>
        </is>
      </c>
      <c r="F37" s="13">
        <f t="array" ref="F37">N(INDIRECT("'"&amp;Сводка!$B$2&amp;"'!D24"))+N(INDIRECT("'"&amp;Сводка!$B$2&amp;"'!D48"))</f>
        <v/>
      </c>
      <c r="G37" s="16">
        <f t="array" ref="G37">IFERROR(F37/(N(INDIRECT("'"&amp;Сводка!$B$3&amp;"'!D24"))+N(INDIRECT("'"&amp;Сводка!$B$3&amp;"'!D48")))-1,"")</f>
        <v/>
      </c>
      <c r="H37" s="13">
        <f t="array" ref="H37">IF(INDIRECT("'"&amp;Сводка!$B$2&amp;"'!H24")="","—",INDIRECT("'"&amp;Сводка!$B$2&amp;"'!H24"))</f>
        <v/>
      </c>
      <c r="I37" s="13">
        <f t="array" ref="I37">IF(INDIRECT("'"&amp;Сводка!$B$2&amp;"'!H48")="","—",INDIRECT("'"&amp;Сводка!$B$2&amp;"'!H48"))</f>
        <v/>
      </c>
      <c r="J37" s="13" t="inlineStr">
        <is>
          <t>—</t>
        </is>
      </c>
      <c r="K37" s="13" t="inlineStr">
        <is>
          <t>—</t>
        </is>
      </c>
      <c r="L37" s="13">
        <f t="array" ref="L37">N(INDIRECT("'"&amp;Сводка!$B$2&amp;"'!H24"))+N(INDIRECT("'"&amp;Сводка!$B$2&amp;"'!H48"))</f>
        <v/>
      </c>
      <c r="M37" s="16">
        <f t="array" ref="M37">IFERROR(L37/(N(INDIRECT("'"&amp;Сводка!$B$3&amp;"'!H24"))+N(INDIRECT("'"&amp;Сводка!$B$3&amp;"'!H48")))-1,"")</f>
        <v/>
      </c>
      <c r="N37" s="13">
        <f t="array" ref="N37">N(INDIRECT("'"&amp;Сводка!$B$2&amp;"'!C24"))+N(INDIRECT("'"&amp;Сводка!$B$2&amp;"'!C48"))</f>
        <v/>
      </c>
      <c r="O37" s="47">
        <f>IFERROR(L37/F37*1000,"")</f>
        <v/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58">
      <c r="A38" s="12" t="inlineStr">
        <is>
          <t>Морошка</t>
        </is>
      </c>
      <c r="B38" s="13">
        <f t="array" ref="B38">IF(INDIRECT("'"&amp;Сводка!$B$2&amp;"'!D29")="","—",INDIRECT("'"&amp;Сводка!$B$2&amp;"'!D29"))</f>
        <v/>
      </c>
      <c r="C38" s="13">
        <f t="array" ref="C38">IF(INDIRECT("'"&amp;Сводка!$B$2&amp;"'!D50")="","—",INDIRECT("'"&amp;Сводка!$B$2&amp;"'!D50"))</f>
        <v/>
      </c>
      <c r="D38" s="13">
        <f t="array" ref="D38">IF(INDIRECT("'"&amp;Сводка!$B$2&amp;"'!D73")="","—",INDIRECT("'"&amp;Сводка!$B$2&amp;"'!D73"))</f>
        <v/>
      </c>
      <c r="E38" s="13">
        <f t="array" ref="E38">IF(INDIRECT("'"&amp;Сводка!$B$2&amp;"'!D95")="","—",INDIRECT("'"&amp;Сводка!$B$2&amp;"'!D95"))</f>
        <v/>
      </c>
      <c r="F38" s="13">
        <f t="array" ref="F38">N(INDIRECT("'"&amp;Сводка!$B$2&amp;"'!D29"))+N(INDIRECT("'"&amp;Сводка!$B$2&amp;"'!D50"))+N(INDIRECT("'"&amp;Сводка!$B$2&amp;"'!D73"))+N(INDIRECT("'"&amp;Сводка!$B$2&amp;"'!D95"))</f>
        <v/>
      </c>
      <c r="G38" s="16">
        <f t="array" ref="G38">IFERROR(F38/(N(INDIRECT("'"&amp;Сводка!$B$3&amp;"'!D29"))+N(INDIRECT("'"&amp;Сводка!$B$3&amp;"'!D50"))+N(INDIRECT("'"&amp;Сводка!$B$3&amp;"'!D73"))+N(INDIRECT("'"&amp;Сводка!$B$3&amp;"'!D95")))-1,"")</f>
        <v/>
      </c>
      <c r="H38" s="13">
        <f t="array" ref="H38">IF(INDIRECT("'"&amp;Сводка!$B$2&amp;"'!H29")="","—",INDIRECT("'"&amp;Сводка!$B$2&amp;"'!H29"))</f>
        <v/>
      </c>
      <c r="I38" s="13">
        <f t="array" ref="I38">IF(INDIRECT("'"&amp;Сводка!$B$2&amp;"'!H50")="","—",INDIRECT("'"&amp;Сводка!$B$2&amp;"'!H50"))</f>
        <v/>
      </c>
      <c r="J38" s="13">
        <f t="array" ref="J38">IF(INDIRECT("'"&amp;Сводка!$B$2&amp;"'!H73")="","—",INDIRECT("'"&amp;Сводка!$B$2&amp;"'!H73"))</f>
        <v/>
      </c>
      <c r="K38" s="13">
        <f t="array" ref="K38">IF(INDIRECT("'"&amp;Сводка!$B$2&amp;"'!H95")="","—",INDIRECT("'"&amp;Сводка!$B$2&amp;"'!H95"))</f>
        <v/>
      </c>
      <c r="L38" s="13">
        <f t="array" ref="L38">N(INDIRECT("'"&amp;Сводка!$B$2&amp;"'!H29"))+N(INDIRECT("'"&amp;Сводка!$B$2&amp;"'!H50"))+N(INDIRECT("'"&amp;Сводка!$B$2&amp;"'!H73"))+N(INDIRECT("'"&amp;Сводка!$B$2&amp;"'!H95"))</f>
        <v/>
      </c>
      <c r="M38" s="16">
        <f t="array" ref="M38">IFERROR(L38/(N(INDIRECT("'"&amp;Сводка!$B$3&amp;"'!H29"))+N(INDIRECT("'"&amp;Сводка!$B$3&amp;"'!H50"))+N(INDIRECT("'"&amp;Сводка!$B$3&amp;"'!H73"))+N(INDIRECT("'"&amp;Сводка!$B$3&amp;"'!H95")))-1,"")</f>
        <v/>
      </c>
      <c r="N38" s="13">
        <f t="array" ref="N38">N(INDIRECT("'"&amp;Сводка!$B$2&amp;"'!C29"))+N(INDIRECT("'"&amp;Сводка!$B$2&amp;"'!C50"))+N(INDIRECT("'"&amp;Сводка!$B$2&amp;"'!C73"))+N(INDIRECT("'"&amp;Сводка!$B$2&amp;"'!C95"))</f>
        <v/>
      </c>
      <c r="O38" s="47">
        <f>IFERROR(L38/F38*1000,"")</f>
        <v/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58">
      <c r="A39" s="25" t="inlineStr">
        <is>
          <t>Итого · Тематические и нишевые</t>
        </is>
      </c>
      <c r="B39" s="26">
        <f>SUM(B28:B38)</f>
        <v/>
      </c>
      <c r="C39" s="26">
        <f>SUM(C28:C38)</f>
        <v/>
      </c>
      <c r="D39" s="26">
        <f>SUM(D28:D38)</f>
        <v/>
      </c>
      <c r="E39" s="26">
        <f>SUM(E28:E38)</f>
        <v/>
      </c>
      <c r="F39" s="26">
        <f>SUM(F28:F38)</f>
        <v/>
      </c>
      <c r="G39" s="28">
        <f t="array" ref="G39">IFERROR(F39/(N(INDIRECT("'"&amp;Сводка!$B$3&amp;"'!D20"))+N(INDIRECT("'"&amp;Сводка!$B$3&amp;"'!D71"))+N(INDIRECT("'"&amp;Сводка!$B$3&amp;"'!D93"))+N(INDIRECT("'"&amp;Сводка!$B$3&amp;"'!D25"))+N(INDIRECT("'"&amp;Сводка!$B$3&amp;"'!D72"))+N(INDIRECT("'"&amp;Сводка!$B$3&amp;"'!D94"))+N(INDIRECT("'"&amp;Сводка!$B$3&amp;"'!D55"))+N(INDIRECT("'"&amp;Сводка!$B$3&amp;"'!D78"))+N(INDIRECT("'"&amp;Сводка!$B$3&amp;"'!D56"))+N(INDIRECT("'"&amp;Сводка!$B$3&amp;"'!D79"))+N(INDIRECT("'"&amp;Сводка!$B$3&amp;"'!D21"))+N(INDIRECT("'"&amp;Сводка!$B$3&amp;"'!D22"))+N(INDIRECT("'"&amp;Сводка!$B$3&amp;"'!D27"))+N(INDIRECT("'"&amp;Сводка!$B$3&amp;"'!D28"))+N(INDIRECT("'"&amp;Сводка!$B$3&amp;"'!D23"))+N(INDIRECT("'"&amp;Сводка!$B$3&amp;"'!D47"))+N(INDIRECT("'"&amp;Сводка!$B$3&amp;"'!D24"))+N(INDIRECT("'"&amp;Сводка!$B$3&amp;"'!D48"))+N(INDIRECT("'"&amp;Сводка!$B$3&amp;"'!D29"))+N(INDIRECT("'"&amp;Сводка!$B$3&amp;"'!D50"))+N(INDIRECT("'"&amp;Сводка!$B$3&amp;"'!D73"))+N(INDIRECT("'"&amp;Сводка!$B$3&amp;"'!D95")))-1,"")</f>
        <v/>
      </c>
      <c r="H39" s="26">
        <f>SUM(H28:H38)</f>
        <v/>
      </c>
      <c r="I39" s="26">
        <f>SUM(I28:I38)</f>
        <v/>
      </c>
      <c r="J39" s="26">
        <f>SUM(J28:J38)</f>
        <v/>
      </c>
      <c r="K39" s="26">
        <f>SUM(K28:K38)</f>
        <v/>
      </c>
      <c r="L39" s="26">
        <f>SUM(L28:L38)</f>
        <v/>
      </c>
      <c r="M39" s="28">
        <f t="array" ref="M39">IFERROR(L39/(N(INDIRECT("'"&amp;Сводка!$B$3&amp;"'!H20"))+N(INDIRECT("'"&amp;Сводка!$B$3&amp;"'!H71"))+N(INDIRECT("'"&amp;Сводка!$B$3&amp;"'!H93"))+N(INDIRECT("'"&amp;Сводка!$B$3&amp;"'!H25"))+N(INDIRECT("'"&amp;Сводка!$B$3&amp;"'!H72"))+N(INDIRECT("'"&amp;Сводка!$B$3&amp;"'!H94"))+N(INDIRECT("'"&amp;Сводка!$B$3&amp;"'!H55"))+N(INDIRECT("'"&amp;Сводка!$B$3&amp;"'!H78"))+N(INDIRECT("'"&amp;Сводка!$B$3&amp;"'!H56"))+N(INDIRECT("'"&amp;Сводка!$B$3&amp;"'!H79"))+N(INDIRECT("'"&amp;Сводка!$B$3&amp;"'!H21"))+N(INDIRECT("'"&amp;Сводка!$B$3&amp;"'!H22"))+N(INDIRECT("'"&amp;Сводка!$B$3&amp;"'!H27"))+N(INDIRECT("'"&amp;Сводка!$B$3&amp;"'!H28"))+N(INDIRECT("'"&amp;Сводка!$B$3&amp;"'!H23"))+N(INDIRECT("'"&amp;Сводка!$B$3&amp;"'!H47"))+N(INDIRECT("'"&amp;Сводка!$B$3&amp;"'!H24"))+N(INDIRECT("'"&amp;Сводка!$B$3&amp;"'!H48"))+N(INDIRECT("'"&amp;Сводка!$B$3&amp;"'!H29"))+N(INDIRECT("'"&amp;Сводка!$B$3&amp;"'!H50"))+N(INDIRECT("'"&amp;Сводка!$B$3&amp;"'!H73"))+N(INDIRECT("'"&amp;Сводка!$B$3&amp;"'!H95")))-1,"")</f>
        <v/>
      </c>
      <c r="N39" s="26">
        <f>SUM(N28:N38)</f>
        <v/>
      </c>
      <c r="O39" s="52">
        <f>IFERROR(L39/F39*1000,"")</f>
        <v/>
      </c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58">
      <c r="A40" s="2" t="n"/>
      <c r="B40" s="53" t="n"/>
      <c r="C40" s="53" t="n"/>
      <c r="D40" s="53" t="n"/>
      <c r="E40" s="53" t="n"/>
      <c r="F40" s="53" t="n"/>
      <c r="G40" s="54" t="n"/>
      <c r="H40" s="53" t="n"/>
      <c r="I40" s="53" t="n"/>
      <c r="J40" s="53" t="n"/>
      <c r="K40" s="53" t="n"/>
      <c r="L40" s="53" t="n"/>
      <c r="M40" s="54" t="n"/>
      <c r="N40" s="53" t="n"/>
      <c r="O40" s="55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58">
      <c r="A41" s="43" t="inlineStr">
        <is>
          <t>Вне редакционного периметра</t>
        </is>
      </c>
      <c r="B41" s="44" t="n"/>
      <c r="C41" s="44" t="n"/>
      <c r="D41" s="44" t="n"/>
      <c r="E41" s="44" t="n"/>
      <c r="F41" s="44" t="n"/>
      <c r="G41" s="45" t="n"/>
      <c r="H41" s="44" t="n"/>
      <c r="I41" s="44" t="n"/>
      <c r="J41" s="44" t="n"/>
      <c r="K41" s="44" t="n"/>
      <c r="L41" s="44" t="n"/>
      <c r="M41" s="45" t="n"/>
      <c r="N41" s="44" t="n"/>
      <c r="O41" s="46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58">
      <c r="A42" s="12" t="inlineStr">
        <is>
          <t>МК-Ямал</t>
        </is>
      </c>
      <c r="B42" s="13">
        <f t="array" ref="B42">IF(INDIRECT("'"&amp;Сводка!$B$2&amp;"'!D26")="","—",INDIRECT("'"&amp;Сводка!$B$2&amp;"'!D26"))</f>
        <v/>
      </c>
      <c r="C42" s="13">
        <f t="array" ref="C42">IF(INDIRECT("'"&amp;Сводка!$B$2&amp;"'!D49")="","—",INDIRECT("'"&amp;Сводка!$B$2&amp;"'!D49"))</f>
        <v/>
      </c>
      <c r="D42" s="13">
        <f t="array" ref="D42">IF(INDIRECT("'"&amp;Сводка!$B$2&amp;"'!D70")="","—",INDIRECT("'"&amp;Сводка!$B$2&amp;"'!D70"))</f>
        <v/>
      </c>
      <c r="E42" s="13" t="inlineStr">
        <is>
          <t>—</t>
        </is>
      </c>
      <c r="F42" s="13">
        <f t="array" ref="F42">N(INDIRECT("'"&amp;Сводка!$B$2&amp;"'!D26"))+N(INDIRECT("'"&amp;Сводка!$B$2&amp;"'!D49"))+N(INDIRECT("'"&amp;Сводка!$B$2&amp;"'!D70"))</f>
        <v/>
      </c>
      <c r="G42" s="16">
        <f t="array" ref="G42">IFERROR(F42/(N(INDIRECT("'"&amp;Сводка!$B$3&amp;"'!D26"))+N(INDIRECT("'"&amp;Сводка!$B$3&amp;"'!D49"))+N(INDIRECT("'"&amp;Сводка!$B$3&amp;"'!D70")))-1,"")</f>
        <v/>
      </c>
      <c r="H42" s="13">
        <f t="array" ref="H42">IF(INDIRECT("'"&amp;Сводка!$B$2&amp;"'!H26")="","—",INDIRECT("'"&amp;Сводка!$B$2&amp;"'!H26"))</f>
        <v/>
      </c>
      <c r="I42" s="13">
        <f t="array" ref="I42">IF(INDIRECT("'"&amp;Сводка!$B$2&amp;"'!H49")="","—",INDIRECT("'"&amp;Сводка!$B$2&amp;"'!H49"))</f>
        <v/>
      </c>
      <c r="J42" s="13">
        <f t="array" ref="J42">IF(INDIRECT("'"&amp;Сводка!$B$2&amp;"'!H70")="","—",INDIRECT("'"&amp;Сводка!$B$2&amp;"'!H70"))</f>
        <v/>
      </c>
      <c r="K42" s="13" t="inlineStr">
        <is>
          <t>—</t>
        </is>
      </c>
      <c r="L42" s="13">
        <f t="array" ref="L42">N(INDIRECT("'"&amp;Сводка!$B$2&amp;"'!H26"))+N(INDIRECT("'"&amp;Сводка!$B$2&amp;"'!H49"))+N(INDIRECT("'"&amp;Сводка!$B$2&amp;"'!H70"))</f>
        <v/>
      </c>
      <c r="M42" s="16">
        <f t="array" ref="M42">IFERROR(L42/(N(INDIRECT("'"&amp;Сводка!$B$3&amp;"'!H26"))+N(INDIRECT("'"&amp;Сводка!$B$3&amp;"'!H49"))+N(INDIRECT("'"&amp;Сводка!$B$3&amp;"'!H70")))-1,"")</f>
        <v/>
      </c>
      <c r="N42" s="13">
        <f t="array" ref="N42">N(INDIRECT("'"&amp;Сводка!$B$2&amp;"'!C26"))+N(INDIRECT("'"&amp;Сводка!$B$2&amp;"'!C49"))+N(INDIRECT("'"&amp;Сводка!$B$2&amp;"'!C70"))</f>
        <v/>
      </c>
      <c r="O42" s="47">
        <f>IFERROR(L42/F42*1000,"")</f>
        <v/>
      </c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58">
      <c r="A43" s="12" t="inlineStr">
        <is>
          <t>Лента СП</t>
        </is>
      </c>
      <c r="B43" s="13">
        <f t="array" ref="B43">IF(INDIRECT("'"&amp;Сводка!$B$2&amp;"'!D5")="","—",INDIRECT("'"&amp;Сводка!$B$2&amp;"'!D5"))</f>
        <v/>
      </c>
      <c r="C43" s="13" t="inlineStr">
        <is>
          <t>—</t>
        </is>
      </c>
      <c r="D43" s="13" t="inlineStr">
        <is>
          <t>—</t>
        </is>
      </c>
      <c r="E43" s="13" t="inlineStr">
        <is>
          <t>—</t>
        </is>
      </c>
      <c r="F43" s="13">
        <f t="array" ref="F43">N(INDIRECT("'"&amp;Сводка!$B$2&amp;"'!D5"))</f>
        <v/>
      </c>
      <c r="G43" s="16">
        <f t="array" ref="G43">IFERROR(F43/(N(INDIRECT("'"&amp;Сводка!$B$3&amp;"'!D5")))-1,"")</f>
        <v/>
      </c>
      <c r="H43" s="13">
        <f t="array" ref="H43">IF(INDIRECT("'"&amp;Сводка!$B$2&amp;"'!H5")="","—",INDIRECT("'"&amp;Сводка!$B$2&amp;"'!H5"))</f>
        <v/>
      </c>
      <c r="I43" s="13" t="inlineStr">
        <is>
          <t>—</t>
        </is>
      </c>
      <c r="J43" s="13" t="inlineStr">
        <is>
          <t>—</t>
        </is>
      </c>
      <c r="K43" s="13" t="inlineStr">
        <is>
          <t>—</t>
        </is>
      </c>
      <c r="L43" s="13">
        <f t="array" ref="L43">N(INDIRECT("'"&amp;Сводка!$B$2&amp;"'!H5"))</f>
        <v/>
      </c>
      <c r="M43" s="16">
        <f t="array" ref="M43">IFERROR(L43/(N(INDIRECT("'"&amp;Сводка!$B$3&amp;"'!H5")))-1,"")</f>
        <v/>
      </c>
      <c r="N43" s="13">
        <f t="array" ref="N43">N(INDIRECT("'"&amp;Сводка!$B$2&amp;"'!C5"))</f>
        <v/>
      </c>
      <c r="O43" s="47">
        <f>IFERROR(L43/F43*1000,"")</f>
        <v/>
      </c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58">
      <c r="A44" s="25" t="inlineStr">
        <is>
          <t>Итого · Вне редакционного периметра</t>
        </is>
      </c>
      <c r="B44" s="26">
        <f>SUM(B42:B43)</f>
        <v/>
      </c>
      <c r="C44" s="26">
        <f>SUM(C42:C43)</f>
        <v/>
      </c>
      <c r="D44" s="26">
        <f>SUM(D42:D43)</f>
        <v/>
      </c>
      <c r="E44" s="26">
        <f>SUM(E42:E43)</f>
        <v/>
      </c>
      <c r="F44" s="26">
        <f>SUM(F42:F43)</f>
        <v/>
      </c>
      <c r="G44" s="28">
        <f t="array" ref="G44">IFERROR(F44/(N(INDIRECT("'"&amp;Сводка!$B$3&amp;"'!D26"))+N(INDIRECT("'"&amp;Сводка!$B$3&amp;"'!D49"))+N(INDIRECT("'"&amp;Сводка!$B$3&amp;"'!D70"))+N(INDIRECT("'"&amp;Сводка!$B$3&amp;"'!D5")))-1,"")</f>
        <v/>
      </c>
      <c r="H44" s="26">
        <f>SUM(H42:H43)</f>
        <v/>
      </c>
      <c r="I44" s="26">
        <f>SUM(I42:I43)</f>
        <v/>
      </c>
      <c r="J44" s="26">
        <f>SUM(J42:J43)</f>
        <v/>
      </c>
      <c r="K44" s="26">
        <f>SUM(K42:K43)</f>
        <v/>
      </c>
      <c r="L44" s="26">
        <f>SUM(L42:L43)</f>
        <v/>
      </c>
      <c r="M44" s="28">
        <f t="array" ref="M44">IFERROR(L44/(N(INDIRECT("'"&amp;Сводка!$B$3&amp;"'!H26"))+N(INDIRECT("'"&amp;Сводка!$B$3&amp;"'!H49"))+N(INDIRECT("'"&amp;Сводка!$B$3&amp;"'!H70"))+N(INDIRECT("'"&amp;Сводка!$B$3&amp;"'!H5")))-1,"")</f>
        <v/>
      </c>
      <c r="N44" s="26">
        <f>SUM(N42:N43)</f>
        <v/>
      </c>
      <c r="O44" s="52">
        <f>IFERROR(L44/F44*1000,"")</f>
        <v/>
      </c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58">
      <c r="A45" s="2" t="n"/>
      <c r="B45" s="53" t="n"/>
      <c r="C45" s="53" t="n"/>
      <c r="D45" s="53" t="n"/>
      <c r="E45" s="53" t="n"/>
      <c r="F45" s="53" t="n"/>
      <c r="G45" s="54" t="n"/>
      <c r="H45" s="53" t="n"/>
      <c r="I45" s="53" t="n"/>
      <c r="J45" s="53" t="n"/>
      <c r="K45" s="53" t="n"/>
      <c r="L45" s="53" t="n"/>
      <c r="M45" s="54" t="n"/>
      <c r="N45" s="53" t="n"/>
      <c r="O45" s="55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58">
      <c r="A46" s="2" t="n"/>
      <c r="B46" s="53" t="n"/>
      <c r="C46" s="53" t="n"/>
      <c r="D46" s="53" t="n"/>
      <c r="E46" s="53" t="n"/>
      <c r="F46" s="53" t="n"/>
      <c r="G46" s="54" t="n"/>
      <c r="H46" s="53" t="n"/>
      <c r="I46" s="53" t="n"/>
      <c r="J46" s="53" t="n"/>
      <c r="K46" s="53" t="n"/>
      <c r="L46" s="53" t="n"/>
      <c r="M46" s="54" t="n"/>
      <c r="N46" s="53" t="n"/>
      <c r="O46" s="55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5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5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5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5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5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5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5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5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5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5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5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5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5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5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5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5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5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5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5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5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5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5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5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5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5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5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5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5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5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5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5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5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5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5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5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5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5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5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5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5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5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5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5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5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5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5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5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5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5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5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">
    <mergeCell ref="B3:G3"/>
    <mergeCell ref="H3:M3"/>
  </mergeCells>
  <conditionalFormatting sqref="G6:G46">
    <cfRule type="expression" priority="1" dxfId="3" stopIfTrue="1">
      <formula>AND(ISNUMBER(G6),G6&gt;=0.2)</formula>
    </cfRule>
    <cfRule type="expression" priority="2" dxfId="2" stopIfTrue="1">
      <formula>AND(ISNUMBER(G6),G6&lt;=-0.2)</formula>
    </cfRule>
    <cfRule type="expression" priority="3" dxfId="1" stopIfTrue="1">
      <formula>AND(ISNUMBER(G6),G6&gt;0)</formula>
    </cfRule>
    <cfRule type="expression" priority="4" dxfId="0" stopIfTrue="1">
      <formula>AND(ISNUMBER(G6),G6&lt;0)</formula>
    </cfRule>
  </conditionalFormatting>
  <conditionalFormatting sqref="M6:M46">
    <cfRule type="expression" priority="5" dxfId="3" stopIfTrue="1">
      <formula>AND(ISNUMBER(M6),M6&gt;=0.2)</formula>
    </cfRule>
    <cfRule type="expression" priority="6" dxfId="2" stopIfTrue="1">
      <formula>AND(ISNUMBER(M6),M6&lt;=-0.2)</formula>
    </cfRule>
    <cfRule type="expression" priority="7" dxfId="1" stopIfTrue="1">
      <formula>AND(ISNUMBER(M6),M6&gt;0)</formula>
    </cfRule>
    <cfRule type="expression" priority="8" dxfId="0" stopIfTrue="1">
      <formula>AND(ISNUMBER(M6),M6&lt;0)</formula>
    </cfRule>
  </conditionalFormatting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0" workbookViewId="0">
      <pane ySplit="3" topLeftCell="A4" activePane="bottomLeft" state="frozen"/>
      <selection pane="bottomLeft" activeCell="B5" sqref="B5"/>
    </sheetView>
  </sheetViews>
  <sheetFormatPr baseColWidth="8" defaultColWidth="14.3984375" defaultRowHeight="15" customHeight="1"/>
  <cols>
    <col width="16" customWidth="1" style="58" min="1" max="1"/>
    <col width="24" customWidth="1" style="58" min="2" max="2"/>
    <col width="46" customWidth="1" style="58" min="3" max="3"/>
    <col width="22" customWidth="1" style="58" min="4" max="4"/>
    <col width="8.73046875" customWidth="1" style="58" min="5" max="6"/>
  </cols>
  <sheetData>
    <row r="1" ht="17.25" customHeight="1" s="58">
      <c r="A1" s="1" t="inlineStr">
        <is>
          <t>Реестр площадок · адреса и идентификаторы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58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58">
      <c r="A3" s="39" t="inlineStr">
        <is>
          <t>Площадка</t>
        </is>
      </c>
      <c r="B3" s="39" t="inlineStr">
        <is>
          <t>Ресурс</t>
        </is>
      </c>
      <c r="C3" s="39" t="inlineStr">
        <is>
          <t>Адрес</t>
        </is>
      </c>
      <c r="D3" s="39" t="inlineStr">
        <is>
          <t>ID для API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58">
      <c r="A4" s="12" t="inlineStr">
        <is>
          <t>ВКонтакте</t>
        </is>
      </c>
      <c r="B4" s="12" t="inlineStr">
        <is>
          <t>Ямал-Медиа</t>
        </is>
      </c>
      <c r="C4" s="12" t="inlineStr">
        <is>
          <t>https://vk.com/yamal.media</t>
        </is>
      </c>
      <c r="D4" s="1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58">
      <c r="A5" s="12" t="inlineStr">
        <is>
          <t>ВКонтакте</t>
        </is>
      </c>
      <c r="B5" s="12" t="inlineStr">
        <is>
          <t>Север-Пресс</t>
        </is>
      </c>
      <c r="C5" s="12" t="inlineStr">
        <is>
          <t>https://vk.com/severpress</t>
        </is>
      </c>
      <c r="D5" s="1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4.25" customHeight="1" s="58">
      <c r="A6" s="12" t="inlineStr">
        <is>
          <t>ВКонтакте</t>
        </is>
      </c>
      <c r="B6" s="12" t="inlineStr">
        <is>
          <t>Лента СП</t>
        </is>
      </c>
      <c r="C6" s="12" t="inlineStr">
        <is>
          <t>https://vk.com/novosti_yamala</t>
        </is>
      </c>
      <c r="D6" s="1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58">
      <c r="A7" s="12" t="inlineStr">
        <is>
          <t>ВКонтакте</t>
        </is>
      </c>
      <c r="B7" s="12" t="inlineStr">
        <is>
          <t>Красный Север</t>
        </is>
      </c>
      <c r="C7" s="12" t="inlineStr">
        <is>
          <t>https://vk.com/ksyanao</t>
        </is>
      </c>
      <c r="D7" s="1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58">
      <c r="A8" s="12" t="inlineStr">
        <is>
          <t>ВКонтакте</t>
        </is>
      </c>
      <c r="B8" s="12" t="inlineStr">
        <is>
          <t>Новый Уренгой</t>
        </is>
      </c>
      <c r="C8" s="12" t="inlineStr">
        <is>
          <t>https://vk.com/yamalmedianur</t>
        </is>
      </c>
      <c r="D8" s="1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58">
      <c r="A9" s="12" t="inlineStr">
        <is>
          <t>ВКонтакте</t>
        </is>
      </c>
      <c r="B9" s="12" t="inlineStr">
        <is>
          <t>Надым</t>
        </is>
      </c>
      <c r="C9" s="12" t="inlineStr">
        <is>
          <t>https://vk.com/trknadym</t>
        </is>
      </c>
      <c r="D9" s="1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4.25" customHeight="1" s="58">
      <c r="A10" s="12" t="inlineStr">
        <is>
          <t>ВКонтакте</t>
        </is>
      </c>
      <c r="B10" s="12" t="inlineStr">
        <is>
          <t>Ноябрьск</t>
        </is>
      </c>
      <c r="C10" s="12" t="inlineStr">
        <is>
          <t>https://vk.com/migtv</t>
        </is>
      </c>
      <c r="D10" s="1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4.25" customHeight="1" s="58">
      <c r="A11" s="12" t="inlineStr">
        <is>
          <t>ВКонтакте</t>
        </is>
      </c>
      <c r="B11" s="12" t="inlineStr">
        <is>
          <t>Салехард</t>
        </is>
      </c>
      <c r="C11" s="12" t="inlineStr">
        <is>
          <t>https://vk.com/salekhardonline</t>
        </is>
      </c>
      <c r="D11" s="1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4.25" customHeight="1" s="58">
      <c r="A12" s="12" t="inlineStr">
        <is>
          <t>ВКонтакте</t>
        </is>
      </c>
      <c r="B12" s="12" t="inlineStr">
        <is>
          <t>Приуралье</t>
        </is>
      </c>
      <c r="C12" s="12" t="inlineStr">
        <is>
          <t>https://vk.com/iapriuralye</t>
        </is>
      </c>
      <c r="D12" s="1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58">
      <c r="A13" s="12" t="inlineStr">
        <is>
          <t>ВКонтакте</t>
        </is>
      </c>
      <c r="B13" s="12" t="inlineStr">
        <is>
          <t>Лабытнанги</t>
        </is>
      </c>
      <c r="C13" s="12" t="inlineStr">
        <is>
          <t>https://vk.com/ialbt</t>
        </is>
      </c>
      <c r="D13" s="1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4.25" customHeight="1" s="58">
      <c r="A14" s="12" t="inlineStr">
        <is>
          <t>ВКонтакте</t>
        </is>
      </c>
      <c r="B14" s="12" t="inlineStr">
        <is>
          <t>Пуровский</t>
        </is>
      </c>
      <c r="C14" s="12" t="inlineStr">
        <is>
          <t>https://vk.com/purmedia</t>
        </is>
      </c>
      <c r="D14" s="1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4.25" customHeight="1" s="58">
      <c r="A15" s="12" t="inlineStr">
        <is>
          <t>ВКонтакте</t>
        </is>
      </c>
      <c r="B15" s="12" t="inlineStr">
        <is>
          <t>Тазовский</t>
        </is>
      </c>
      <c r="C15" s="12" t="inlineStr">
        <is>
          <t>https://vk.com/studiafakt</t>
        </is>
      </c>
      <c r="D15" s="1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4.25" customHeight="1" s="58">
      <c r="A16" s="12" t="inlineStr">
        <is>
          <t>ВКонтакте</t>
        </is>
      </c>
      <c r="B16" s="12" t="inlineStr">
        <is>
          <t>Красноселькуп</t>
        </is>
      </c>
      <c r="C16" s="12" t="inlineStr">
        <is>
          <t>https://vk.com/smi_krasnoselkup</t>
        </is>
      </c>
      <c r="D16" s="1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58">
      <c r="A17" s="12" t="inlineStr">
        <is>
          <t>ВКонтакте</t>
        </is>
      </c>
      <c r="B17" s="12" t="inlineStr">
        <is>
          <t>Ямальский</t>
        </is>
      </c>
      <c r="C17" s="12" t="inlineStr">
        <is>
          <t>https://vk.com/yamaltv</t>
        </is>
      </c>
      <c r="D17" s="1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4.25" customHeight="1" s="58">
      <c r="A18" s="12" t="inlineStr">
        <is>
          <t>ВКонтакте</t>
        </is>
      </c>
      <c r="B18" s="12" t="inlineStr">
        <is>
          <t>Шурышкарский</t>
        </is>
      </c>
      <c r="C18" s="12" t="inlineStr">
        <is>
          <t>https://vk.com/trvmujitrv</t>
        </is>
      </c>
      <c r="D18" s="1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4.25" customHeight="1" s="58">
      <c r="A19" s="12" t="inlineStr">
        <is>
          <t>ВКонтакте</t>
        </is>
      </c>
      <c r="B19" s="12" t="inlineStr">
        <is>
          <t>Муравленко</t>
        </is>
      </c>
      <c r="C19" s="12" t="inlineStr">
        <is>
          <t>https://vk.com/muravlenko24</t>
        </is>
      </c>
      <c r="D19" s="1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4.25" customHeight="1" s="58">
      <c r="A20" s="12" t="inlineStr">
        <is>
          <t>ВКонтакте</t>
        </is>
      </c>
      <c r="B20" s="12" t="inlineStr">
        <is>
          <t>Губкинский</t>
        </is>
      </c>
      <c r="C20" s="12" t="inlineStr">
        <is>
          <t>https://vk.com/gubvektor</t>
        </is>
      </c>
      <c r="D20" s="1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4.25" customHeight="1" s="58">
      <c r="A21" s="12" t="inlineStr">
        <is>
          <t>ВКонтакте</t>
        </is>
      </c>
      <c r="B21" s="12" t="inlineStr">
        <is>
          <t>Не олени</t>
        </is>
      </c>
      <c r="C21" s="12" t="inlineStr">
        <is>
          <t>https://vk.com/ne_oleni</t>
        </is>
      </c>
      <c r="D21" s="1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25" customHeight="1" s="58">
      <c r="A22" s="12" t="inlineStr">
        <is>
          <t>ВКонтакте</t>
        </is>
      </c>
      <c r="B22" s="12" t="inlineStr">
        <is>
          <t>Этноарктика</t>
        </is>
      </c>
      <c r="C22" s="12" t="inlineStr">
        <is>
          <t>https://vk.com/etnoarktika</t>
        </is>
      </c>
      <c r="D22" s="1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4.25" customHeight="1" s="58">
      <c r="A23" s="12" t="inlineStr">
        <is>
          <t>ВКонтакте</t>
        </is>
      </c>
      <c r="B23" s="12" t="inlineStr">
        <is>
          <t>ЗажгиФакел</t>
        </is>
      </c>
      <c r="C23" s="12" t="inlineStr">
        <is>
          <t>https://vk.com/fakelcommunity</t>
        </is>
      </c>
      <c r="D23" s="1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4.25" customHeight="1" s="58">
      <c r="A24" s="12" t="inlineStr">
        <is>
          <t>ВКонтакте</t>
        </is>
      </c>
      <c r="B24" s="12" t="inlineStr">
        <is>
          <t>Нярьяна Нгэрм</t>
        </is>
      </c>
      <c r="C24" s="12" t="inlineStr">
        <is>
          <t>https://vk.com/nn.yanao</t>
        </is>
      </c>
      <c r="D24" s="1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58">
      <c r="A25" s="12" t="inlineStr">
        <is>
          <t>ВКонтакте</t>
        </is>
      </c>
      <c r="B25" s="12" t="inlineStr">
        <is>
          <t>Лух Авт</t>
        </is>
      </c>
      <c r="C25" s="12" t="inlineStr">
        <is>
          <t>https://vk.com/la.yanao</t>
        </is>
      </c>
      <c r="D25" s="1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4.25" customHeight="1" s="58">
      <c r="A26" s="12" t="inlineStr">
        <is>
          <t>ВКонтакте</t>
        </is>
      </c>
      <c r="B26" s="12" t="inlineStr">
        <is>
          <t>Ямальский меридиан</t>
        </is>
      </c>
      <c r="C26" s="12" t="inlineStr">
        <is>
          <t>https://vk.com/ymerid</t>
        </is>
      </c>
      <c r="D26" s="1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4.25" customHeight="1" s="58">
      <c r="A27" s="12" t="inlineStr">
        <is>
          <t>ВКонтакте</t>
        </is>
      </c>
      <c r="B27" s="12" t="inlineStr">
        <is>
          <t>МК-Ямал</t>
        </is>
      </c>
      <c r="C27" s="12" t="inlineStr">
        <is>
          <t>https://vk.com/mkyamal</t>
        </is>
      </c>
      <c r="D27" s="1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58">
      <c r="A28" s="12" t="inlineStr">
        <is>
          <t>ВКонтакте</t>
        </is>
      </c>
      <c r="B28" s="12" t="inlineStr">
        <is>
          <t>Арктика Вконтакте</t>
        </is>
      </c>
      <c r="C28" s="12" t="inlineStr">
        <is>
          <t>https://vk.com/arcticavk</t>
        </is>
      </c>
      <c r="D28" s="1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58">
      <c r="A29" s="12" t="inlineStr">
        <is>
          <t>ВКонтакте</t>
        </is>
      </c>
      <c r="B29" s="12" t="inlineStr">
        <is>
          <t>Ямал Live</t>
        </is>
      </c>
      <c r="C29" s="12" t="inlineStr">
        <is>
          <t>https://vk.com/yamallife</t>
        </is>
      </c>
      <c r="D29" s="1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 s="58">
      <c r="A30" s="12" t="inlineStr">
        <is>
          <t>ВКонтакте</t>
        </is>
      </c>
      <c r="B30" s="12" t="inlineStr">
        <is>
          <t>Морошка</t>
        </is>
      </c>
      <c r="C30" s="12" t="inlineStr">
        <is>
          <t>https://vk.com/moroshkaYM</t>
        </is>
      </c>
      <c r="D30" s="1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 s="58">
      <c r="A31" s="12" t="inlineStr">
        <is>
          <t>Одноклассники</t>
        </is>
      </c>
      <c r="B31" s="12" t="inlineStr">
        <is>
          <t>Ямал-Медиа</t>
        </is>
      </c>
      <c r="C31" s="12" t="inlineStr">
        <is>
          <t>https://ok.ru/yamal.media.89</t>
        </is>
      </c>
      <c r="D31" s="12" t="inlineStr">
        <is>
          <t>54376669315327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58">
      <c r="A32" s="12" t="inlineStr">
        <is>
          <t>Одноклассники</t>
        </is>
      </c>
      <c r="B32" s="12" t="inlineStr">
        <is>
          <t>Север-Пресс</t>
        </is>
      </c>
      <c r="C32" s="12" t="inlineStr">
        <is>
          <t>https://ok.ru/novostiyanao</t>
        </is>
      </c>
      <c r="D32" s="12" t="inlineStr">
        <is>
          <t>56412115304496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58">
      <c r="A33" s="12" t="inlineStr">
        <is>
          <t>Одноклассники</t>
        </is>
      </c>
      <c r="B33" s="12" t="inlineStr">
        <is>
          <t>Красный Север</t>
        </is>
      </c>
      <c r="C33" s="12" t="inlineStr">
        <is>
          <t>https://ok.ru/krasnysever</t>
        </is>
      </c>
      <c r="D33" s="12" t="inlineStr">
        <is>
          <t>52110876147922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58">
      <c r="A34" s="12" t="inlineStr">
        <is>
          <t>Одноклассники</t>
        </is>
      </c>
      <c r="B34" s="12" t="inlineStr">
        <is>
          <t>Новый Уренгой</t>
        </is>
      </c>
      <c r="C34" s="12" t="inlineStr">
        <is>
          <t>https://ok.ru/group/70000055266559</t>
        </is>
      </c>
      <c r="D34" s="12" t="inlineStr">
        <is>
          <t>70000055266559</t>
        </is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58">
      <c r="A35" s="12" t="inlineStr">
        <is>
          <t>Одноклассники</t>
        </is>
      </c>
      <c r="B35" s="12" t="inlineStr">
        <is>
          <t>Надым</t>
        </is>
      </c>
      <c r="C35" s="12" t="inlineStr">
        <is>
          <t>https://ok.ru/trknadym</t>
        </is>
      </c>
      <c r="D35" s="12" t="inlineStr">
        <is>
          <t>58425128648765</t>
        </is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58">
      <c r="A36" s="12" t="inlineStr">
        <is>
          <t>Одноклассники</t>
        </is>
      </c>
      <c r="B36" s="12" t="inlineStr">
        <is>
          <t>Ноябрьск</t>
        </is>
      </c>
      <c r="C36" s="12" t="inlineStr">
        <is>
          <t>https://ok.ru/tvmig</t>
        </is>
      </c>
      <c r="D36" s="12" t="inlineStr">
        <is>
          <t>53869509607675</t>
        </is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58">
      <c r="A37" s="12" t="inlineStr">
        <is>
          <t>Одноклассники</t>
        </is>
      </c>
      <c r="B37" s="12" t="inlineStr">
        <is>
          <t>Салехард</t>
        </is>
      </c>
      <c r="C37" s="12" t="inlineStr">
        <is>
          <t>https://ok.ru/polyarnykrug</t>
        </is>
      </c>
      <c r="D37" s="12" t="inlineStr">
        <is>
          <t>55935921029300</t>
        </is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58">
      <c r="A38" s="12" t="inlineStr">
        <is>
          <t>Одноклассники</t>
        </is>
      </c>
      <c r="B38" s="12" t="inlineStr">
        <is>
          <t>Приуралье</t>
        </is>
      </c>
      <c r="C38" s="12" t="inlineStr">
        <is>
          <t>https://ok.ru/iapriuralye</t>
        </is>
      </c>
      <c r="D38" s="12" t="inlineStr">
        <is>
          <t>53560145412301</t>
        </is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58">
      <c r="A39" s="12" t="inlineStr">
        <is>
          <t>Одноклассники</t>
        </is>
      </c>
      <c r="B39" s="12" t="inlineStr">
        <is>
          <t>Лабытнанги</t>
        </is>
      </c>
      <c r="C39" s="12" t="inlineStr">
        <is>
          <t>https://ok.ru/ialbt</t>
        </is>
      </c>
      <c r="D39" s="12" t="inlineStr">
        <is>
          <t>60442457145504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58">
      <c r="A40" s="12" t="inlineStr">
        <is>
          <t>Одноклассники</t>
        </is>
      </c>
      <c r="B40" s="12" t="inlineStr">
        <is>
          <t>Пуровский</t>
        </is>
      </c>
      <c r="C40" s="12" t="inlineStr">
        <is>
          <t>https://ok.ru/purmedia</t>
        </is>
      </c>
      <c r="D40" s="12" t="inlineStr">
        <is>
          <t>52382505763003</t>
        </is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58">
      <c r="A41" s="12" t="inlineStr">
        <is>
          <t>Одноклассники</t>
        </is>
      </c>
      <c r="B41" s="12" t="inlineStr">
        <is>
          <t>Тазовский</t>
        </is>
      </c>
      <c r="C41" s="12" t="inlineStr">
        <is>
          <t>https://ok.ru/tvfakt</t>
        </is>
      </c>
      <c r="D41" s="12" t="inlineStr">
        <is>
          <t>54536542486554</t>
        </is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58">
      <c r="A42" s="12" t="inlineStr">
        <is>
          <t>Одноклассники</t>
        </is>
      </c>
      <c r="B42" s="12" t="inlineStr">
        <is>
          <t>Красноселькуп</t>
        </is>
      </c>
      <c r="C42" s="12" t="inlineStr">
        <is>
          <t>https://ok.ru/mbusmikras</t>
        </is>
      </c>
      <c r="D42" s="12" t="inlineStr">
        <is>
          <t>64337877008639</t>
        </is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58">
      <c r="A43" s="12" t="inlineStr">
        <is>
          <t>Одноклассники</t>
        </is>
      </c>
      <c r="B43" s="12" t="inlineStr">
        <is>
          <t>Ямальский</t>
        </is>
      </c>
      <c r="C43" s="12" t="inlineStr">
        <is>
          <t>https://ok.ru/novostiyamala</t>
        </is>
      </c>
      <c r="D43" s="12" t="inlineStr">
        <is>
          <t>57174821896250</t>
        </is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58">
      <c r="A44" s="12" t="inlineStr">
        <is>
          <t>Одноклассники</t>
        </is>
      </c>
      <c r="B44" s="12" t="inlineStr">
        <is>
          <t>Шурышкарский</t>
        </is>
      </c>
      <c r="C44" s="12" t="inlineStr">
        <is>
          <t>https://ok.ru/spmuzhi</t>
        </is>
      </c>
      <c r="D44" s="12" t="inlineStr">
        <is>
          <t>52994913140974</t>
        </is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58">
      <c r="A45" s="12" t="inlineStr">
        <is>
          <t>Одноклассники</t>
        </is>
      </c>
      <c r="B45" s="12" t="inlineStr">
        <is>
          <t>Муравленко</t>
        </is>
      </c>
      <c r="C45" s="12" t="inlineStr">
        <is>
          <t>https://ok.ru/muravlenko24</t>
        </is>
      </c>
      <c r="D45" s="12" t="inlineStr">
        <is>
          <t>54543736504430</t>
        </is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58">
      <c r="A46" s="12" t="inlineStr">
        <is>
          <t>Одноклассники</t>
        </is>
      </c>
      <c r="B46" s="12" t="inlineStr">
        <is>
          <t>Губкинский</t>
        </is>
      </c>
      <c r="C46" s="12" t="inlineStr">
        <is>
          <t>https://ok.ru/gubkins</t>
        </is>
      </c>
      <c r="D46" s="12" t="inlineStr">
        <is>
          <t>52443888418982</t>
        </is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58">
      <c r="A47" s="12" t="inlineStr">
        <is>
          <t>Одноклассники</t>
        </is>
      </c>
      <c r="B47" s="12" t="inlineStr">
        <is>
          <t>Нярьяна Нгэрм</t>
        </is>
      </c>
      <c r="C47" s="12" t="inlineStr">
        <is>
          <t>https://ok.ru/nn.yanao</t>
        </is>
      </c>
      <c r="D47" s="12" t="inlineStr">
        <is>
          <t>53850510655624</t>
        </is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58">
      <c r="A48" s="12" t="inlineStr">
        <is>
          <t>Одноклассники</t>
        </is>
      </c>
      <c r="B48" s="12" t="inlineStr">
        <is>
          <t>Лух Авт</t>
        </is>
      </c>
      <c r="C48" s="12" t="inlineStr">
        <is>
          <t>https://ok.ru/la.yanao</t>
        </is>
      </c>
      <c r="D48" s="12" t="inlineStr">
        <is>
          <t>55104233996390</t>
        </is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58">
      <c r="A49" s="12" t="inlineStr">
        <is>
          <t>Одноклассники</t>
        </is>
      </c>
      <c r="B49" s="12" t="inlineStr">
        <is>
          <t>МК-Ямал</t>
        </is>
      </c>
      <c r="C49" s="12" t="inlineStr">
        <is>
          <t>https://ok.ru/mkyamal</t>
        </is>
      </c>
      <c r="D49" s="12" t="inlineStr">
        <is>
          <t>59360899432491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58">
      <c r="A50" s="12" t="inlineStr">
        <is>
          <t>Одноклассники</t>
        </is>
      </c>
      <c r="B50" s="12" t="inlineStr">
        <is>
          <t>Морошка</t>
        </is>
      </c>
      <c r="C50" s="12" t="inlineStr">
        <is>
          <t>https://ok.ru/moroshkaym</t>
        </is>
      </c>
      <c r="D50" s="12" t="inlineStr">
        <is>
          <t>70000054026751</t>
        </is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58">
      <c r="A51" s="12" t="inlineStr">
        <is>
          <t>Telegram</t>
        </is>
      </c>
      <c r="B51" s="12" t="inlineStr">
        <is>
          <t>Ямал-Медиа</t>
        </is>
      </c>
      <c r="C51" s="12" t="inlineStr">
        <is>
          <t>https://t.me/yamalmedia_89</t>
        </is>
      </c>
      <c r="D51" s="1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58">
      <c r="A52" s="12" t="inlineStr">
        <is>
          <t>Telegram</t>
        </is>
      </c>
      <c r="B52" s="12" t="inlineStr">
        <is>
          <t>Север-Пресс</t>
        </is>
      </c>
      <c r="C52" s="12" t="inlineStr">
        <is>
          <t>https://t.me/sever_press</t>
        </is>
      </c>
      <c r="D52" s="1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58">
      <c r="A53" s="12" t="inlineStr">
        <is>
          <t>Telegram</t>
        </is>
      </c>
      <c r="B53" s="12" t="inlineStr">
        <is>
          <t>Красный Север</t>
        </is>
      </c>
      <c r="C53" s="12" t="inlineStr">
        <is>
          <t>https://t.me/ksyamal</t>
        </is>
      </c>
      <c r="D53" s="1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58">
      <c r="A54" s="12" t="inlineStr">
        <is>
          <t>Telegram</t>
        </is>
      </c>
      <c r="B54" s="12" t="inlineStr">
        <is>
          <t>СМП</t>
        </is>
      </c>
      <c r="C54" s="12" t="inlineStr">
        <is>
          <t>https://t.me/sevmorput</t>
        </is>
      </c>
      <c r="D54" s="1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58">
      <c r="A55" s="12" t="inlineStr">
        <is>
          <t>Telegram</t>
        </is>
      </c>
      <c r="B55" s="12" t="inlineStr">
        <is>
          <t>СШХ</t>
        </is>
      </c>
      <c r="C55" s="12" t="inlineStr">
        <is>
          <t>https://t.me/sev_shir_hod</t>
        </is>
      </c>
      <c r="D55" s="1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58">
      <c r="A56" s="12" t="inlineStr">
        <is>
          <t>Telegram</t>
        </is>
      </c>
      <c r="B56" s="12" t="inlineStr">
        <is>
          <t>Новый Уренгой</t>
        </is>
      </c>
      <c r="C56" s="12" t="inlineStr">
        <is>
          <t>https://t.me/tvimpulse</t>
        </is>
      </c>
      <c r="D56" s="1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58">
      <c r="A57" s="12" t="inlineStr">
        <is>
          <t>Telegram</t>
        </is>
      </c>
      <c r="B57" s="12" t="inlineStr">
        <is>
          <t>Надым</t>
        </is>
      </c>
      <c r="C57" s="12" t="inlineStr">
        <is>
          <t>https://t.me/trknadym89</t>
        </is>
      </c>
      <c r="D57" s="1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58">
      <c r="A58" s="12" t="inlineStr">
        <is>
          <t>Telegram</t>
        </is>
      </c>
      <c r="B58" s="12" t="inlineStr">
        <is>
          <t>Ноябрьск</t>
        </is>
      </c>
      <c r="C58" s="12" t="inlineStr">
        <is>
          <t>https://t.me/mig_noyabrsk</t>
        </is>
      </c>
      <c r="D58" s="1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58">
      <c r="A59" s="12" t="inlineStr">
        <is>
          <t>Telegram</t>
        </is>
      </c>
      <c r="B59" s="12" t="inlineStr">
        <is>
          <t>Салехард</t>
        </is>
      </c>
      <c r="C59" s="12" t="inlineStr">
        <is>
          <t>https://t.me/SALEKHARDonline</t>
        </is>
      </c>
      <c r="D59" s="1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58">
      <c r="A60" s="12" t="inlineStr">
        <is>
          <t>Telegram</t>
        </is>
      </c>
      <c r="B60" s="12" t="inlineStr">
        <is>
          <t>Приуралье</t>
        </is>
      </c>
      <c r="C60" s="12" t="inlineStr">
        <is>
          <t>https://t.me/iapriuralye</t>
        </is>
      </c>
      <c r="D60" s="1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58">
      <c r="A61" s="12" t="inlineStr">
        <is>
          <t>Telegram</t>
        </is>
      </c>
      <c r="B61" s="12" t="inlineStr">
        <is>
          <t>Лабытнанги</t>
        </is>
      </c>
      <c r="C61" s="12" t="inlineStr">
        <is>
          <t>https://t.me/ia_lbt</t>
        </is>
      </c>
      <c r="D61" s="1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58">
      <c r="A62" s="12" t="inlineStr">
        <is>
          <t>Telegram</t>
        </is>
      </c>
      <c r="B62" s="12" t="inlineStr">
        <is>
          <t>Пуровский</t>
        </is>
      </c>
      <c r="C62" s="12" t="inlineStr">
        <is>
          <t>https://t.me/trkluch</t>
        </is>
      </c>
      <c r="D62" s="1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58">
      <c r="A63" s="12" t="inlineStr">
        <is>
          <t>Telegram</t>
        </is>
      </c>
      <c r="B63" s="12" t="inlineStr">
        <is>
          <t>Тазовский</t>
        </is>
      </c>
      <c r="C63" s="12" t="inlineStr">
        <is>
          <t>https://t.me/studiya_fakt</t>
        </is>
      </c>
      <c r="D63" s="1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58">
      <c r="A64" s="12" t="inlineStr">
        <is>
          <t>Telegram</t>
        </is>
      </c>
      <c r="B64" s="12" t="inlineStr">
        <is>
          <t>Красноселькуп</t>
        </is>
      </c>
      <c r="C64" s="12" t="inlineStr">
        <is>
          <t>https://t.me/smi_Krasnoselkup</t>
        </is>
      </c>
      <c r="D64" s="1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58">
      <c r="A65" s="12" t="inlineStr">
        <is>
          <t>Telegram</t>
        </is>
      </c>
      <c r="B65" s="12" t="inlineStr">
        <is>
          <t>Ямальский</t>
        </is>
      </c>
      <c r="C65" s="12" t="inlineStr">
        <is>
          <t>https://t.me/yamaltv</t>
        </is>
      </c>
      <c r="D65" s="1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58">
      <c r="A66" s="12" t="inlineStr">
        <is>
          <t>Telegram</t>
        </is>
      </c>
      <c r="B66" s="12" t="inlineStr">
        <is>
          <t>Шурышкарский</t>
        </is>
      </c>
      <c r="C66" s="12" t="inlineStr">
        <is>
          <t>https://t.me/ShuryshkaryYM</t>
        </is>
      </c>
      <c r="D66" s="1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58">
      <c r="A67" s="12" t="inlineStr">
        <is>
          <t>Telegram</t>
        </is>
      </c>
      <c r="B67" s="12" t="inlineStr">
        <is>
          <t>Муравленко</t>
        </is>
      </c>
      <c r="C67" s="12" t="inlineStr">
        <is>
          <t>https://t.me/muravlenko24</t>
        </is>
      </c>
      <c r="D67" s="1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58">
      <c r="A68" s="12" t="inlineStr">
        <is>
          <t>Telegram</t>
        </is>
      </c>
      <c r="B68" s="12" t="inlineStr">
        <is>
          <t>Губкинский</t>
        </is>
      </c>
      <c r="C68" s="12" t="inlineStr">
        <is>
          <t>https://t.me/vektor_gbk</t>
        </is>
      </c>
      <c r="D68" s="1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58">
      <c r="A69" s="12" t="inlineStr">
        <is>
          <t>Telegram</t>
        </is>
      </c>
      <c r="B69" s="12" t="inlineStr">
        <is>
          <t>МК-Ямал</t>
        </is>
      </c>
      <c r="C69" s="12" t="inlineStr">
        <is>
          <t>https://t.me/mk_yamal</t>
        </is>
      </c>
      <c r="D69" s="1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58">
      <c r="A70" s="12" t="inlineStr">
        <is>
          <t>Telegram</t>
        </is>
      </c>
      <c r="B70" s="12" t="inlineStr">
        <is>
          <t>Не олени</t>
        </is>
      </c>
      <c r="C70" s="12" t="inlineStr">
        <is>
          <t>https://t.me/ne_oleni</t>
        </is>
      </c>
      <c r="D70" s="1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58">
      <c r="A71" s="12" t="inlineStr">
        <is>
          <t>Telegram</t>
        </is>
      </c>
      <c r="B71" s="12" t="inlineStr">
        <is>
          <t>Ямальский меридиан</t>
        </is>
      </c>
      <c r="C71" s="12" t="inlineStr">
        <is>
          <t>https://t.me/ymerid</t>
        </is>
      </c>
      <c r="D71" s="1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58">
      <c r="A72" s="12" t="inlineStr">
        <is>
          <t>Telegram</t>
        </is>
      </c>
      <c r="B72" s="12" t="inlineStr">
        <is>
          <t>Морошка</t>
        </is>
      </c>
      <c r="C72" s="12" t="inlineStr">
        <is>
          <t>https://t.me/moroshkaYM</t>
        </is>
      </c>
      <c r="D72" s="1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58">
      <c r="A73" s="12" t="inlineStr">
        <is>
          <t>МАКС</t>
        </is>
      </c>
      <c r="B73" s="12" t="inlineStr">
        <is>
          <t>Ямал-Медиа</t>
        </is>
      </c>
      <c r="C73" s="12" t="inlineStr">
        <is>
          <t>https://max.ru/yamal_media</t>
        </is>
      </c>
      <c r="D73" s="12" t="inlineStr">
        <is>
          <t>-68434029368759</t>
        </is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58">
      <c r="A74" s="12" t="inlineStr">
        <is>
          <t>МАКС</t>
        </is>
      </c>
      <c r="B74" s="12" t="inlineStr">
        <is>
          <t>Север-Пресс</t>
        </is>
      </c>
      <c r="C74" s="12" t="inlineStr">
        <is>
          <t>https://max.ru/severpress</t>
        </is>
      </c>
      <c r="D74" s="12" t="inlineStr">
        <is>
          <t>-71615612821553</t>
        </is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58">
      <c r="A75" s="12" t="inlineStr">
        <is>
          <t>МАКС</t>
        </is>
      </c>
      <c r="B75" s="12" t="inlineStr">
        <is>
          <t>Красный Север</t>
        </is>
      </c>
      <c r="C75" s="12" t="inlineStr">
        <is>
          <t>https://max.ru/ksyanao</t>
        </is>
      </c>
      <c r="D75" s="12" t="inlineStr">
        <is>
          <t>-71619244236849</t>
        </is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58">
      <c r="A76" s="12" t="inlineStr">
        <is>
          <t>МАКС</t>
        </is>
      </c>
      <c r="B76" s="12" t="inlineStr">
        <is>
          <t>СМП</t>
        </is>
      </c>
      <c r="C76" s="12" t="inlineStr">
        <is>
          <t>https://max.ru/sevmorput</t>
        </is>
      </c>
      <c r="D76" s="12" t="inlineStr">
        <is>
          <t>-73250828361777</t>
        </is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58">
      <c r="A77" s="12" t="inlineStr">
        <is>
          <t>МАКС</t>
        </is>
      </c>
      <c r="B77" s="12" t="inlineStr">
        <is>
          <t>СШХ</t>
        </is>
      </c>
      <c r="C77" s="12" t="inlineStr">
        <is>
          <t>https://max.ru/sshh_yamal_media</t>
        </is>
      </c>
      <c r="D77" s="12" t="inlineStr">
        <is>
          <t>-73313587333658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58">
      <c r="A78" s="12" t="inlineStr">
        <is>
          <t>МАКС</t>
        </is>
      </c>
      <c r="B78" s="12" t="inlineStr">
        <is>
          <t>Новый Уренгой</t>
        </is>
      </c>
      <c r="C78" s="12" t="inlineStr">
        <is>
          <t>https://max.ru/tvimpulse</t>
        </is>
      </c>
      <c r="D78" s="12" t="inlineStr">
        <is>
          <t>-68441049030798</t>
        </is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58">
      <c r="A79" s="12" t="inlineStr">
        <is>
          <t>МАКС</t>
        </is>
      </c>
      <c r="B79" s="12" t="inlineStr">
        <is>
          <t>Надым</t>
        </is>
      </c>
      <c r="C79" s="12" t="inlineStr">
        <is>
          <t>https://max.ru/trknadym</t>
        </is>
      </c>
      <c r="D79" s="12" t="inlineStr">
        <is>
          <t>-68502470350143</t>
        </is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58">
      <c r="A80" s="12" t="inlineStr">
        <is>
          <t>МАКС</t>
        </is>
      </c>
      <c r="B80" s="12" t="inlineStr">
        <is>
          <t>Ноябрьск</t>
        </is>
      </c>
      <c r="C80" s="12" t="inlineStr">
        <is>
          <t>https://max.ru/migtv</t>
        </is>
      </c>
      <c r="D80" s="12" t="inlineStr">
        <is>
          <t>-68507922347300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58">
      <c r="A81" s="12" t="inlineStr">
        <is>
          <t>МАКС</t>
        </is>
      </c>
      <c r="B81" s="12" t="inlineStr">
        <is>
          <t>Салехард</t>
        </is>
      </c>
      <c r="C81" s="12" t="inlineStr">
        <is>
          <t>https://max.ru/salechard_yamal_media</t>
        </is>
      </c>
      <c r="D81" s="12" t="inlineStr">
        <is>
          <t>-73313476643354</t>
        </is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58">
      <c r="A82" s="12" t="inlineStr">
        <is>
          <t>МАКС</t>
        </is>
      </c>
      <c r="B82" s="12" t="inlineStr">
        <is>
          <t>Приуралье</t>
        </is>
      </c>
      <c r="C82" s="12" t="inlineStr">
        <is>
          <t>https://max.ru/priuralye_yamal_media</t>
        </is>
      </c>
      <c r="D82" s="12" t="inlineStr">
        <is>
          <t>-73313540934170</t>
        </is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58">
      <c r="A83" s="12" t="inlineStr">
        <is>
          <t>МАКС</t>
        </is>
      </c>
      <c r="B83" s="12" t="inlineStr">
        <is>
          <t>Лабытнанги</t>
        </is>
      </c>
      <c r="C83" s="12" t="inlineStr">
        <is>
          <t>https://max.ru/ialbt</t>
        </is>
      </c>
      <c r="D83" s="12" t="inlineStr">
        <is>
          <t>-69147007172717</t>
        </is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58">
      <c r="A84" s="12" t="inlineStr">
        <is>
          <t>МАКС</t>
        </is>
      </c>
      <c r="B84" s="12" t="inlineStr">
        <is>
          <t>Пуровский</t>
        </is>
      </c>
      <c r="C84" s="12" t="inlineStr">
        <is>
          <t>https://max.ru/purmedia</t>
        </is>
      </c>
      <c r="D84" s="12" t="inlineStr">
        <is>
          <t>-69023342335238</t>
        </is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58">
      <c r="A85" s="12" t="inlineStr">
        <is>
          <t>МАКС</t>
        </is>
      </c>
      <c r="B85" s="12" t="inlineStr">
        <is>
          <t>Тазовский</t>
        </is>
      </c>
      <c r="C85" s="12" t="inlineStr">
        <is>
          <t>https://max.ru/id8910000166_gos</t>
        </is>
      </c>
      <c r="D85" s="12" t="inlineStr">
        <is>
          <t>-69134405869614</t>
        </is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58">
      <c r="A86" s="12" t="inlineStr">
        <is>
          <t>МАКС</t>
        </is>
      </c>
      <c r="B86" s="12" t="inlineStr">
        <is>
          <t>Красноселькуп</t>
        </is>
      </c>
      <c r="C86" s="12" t="inlineStr">
        <is>
          <t>https://max.ru/yamalmedia_89</t>
        </is>
      </c>
      <c r="D86" s="12" t="inlineStr">
        <is>
          <t>-72809031742768</t>
        </is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58">
      <c r="A87" s="12" t="inlineStr">
        <is>
          <t>МАКС</t>
        </is>
      </c>
      <c r="B87" s="12" t="inlineStr">
        <is>
          <t>Ямальский</t>
        </is>
      </c>
      <c r="C87" s="12" t="inlineStr">
        <is>
          <t>https://max.ru/yamaltv</t>
        </is>
      </c>
      <c r="D87" s="12" t="inlineStr">
        <is>
          <t>-68429251360033</t>
        </is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58">
      <c r="A88" s="12" t="inlineStr">
        <is>
          <t>МАКС</t>
        </is>
      </c>
      <c r="B88" s="12" t="inlineStr">
        <is>
          <t>Шурышкарский</t>
        </is>
      </c>
      <c r="C88" s="12" t="inlineStr">
        <is>
          <t>https://max.ru/id8907001650_gos</t>
        </is>
      </c>
      <c r="D88" s="12" t="inlineStr">
        <is>
          <t>-69214461979261</t>
        </is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58">
      <c r="A89" s="12" t="inlineStr">
        <is>
          <t>МАКС</t>
        </is>
      </c>
      <c r="B89" s="12" t="inlineStr">
        <is>
          <t>Муравленко</t>
        </is>
      </c>
      <c r="C89" s="12" t="inlineStr">
        <is>
          <t>https://max.ru/muravlenko24</t>
        </is>
      </c>
      <c r="D89" s="12" t="inlineStr">
        <is>
          <t>-69134827489818</t>
        </is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58">
      <c r="A90" s="12" t="inlineStr">
        <is>
          <t>МАКС</t>
        </is>
      </c>
      <c r="B90" s="12" t="inlineStr">
        <is>
          <t>Губкинский</t>
        </is>
      </c>
      <c r="C90" s="12" t="inlineStr">
        <is>
          <t>https://max.ru/gubvektor</t>
        </is>
      </c>
      <c r="D90" s="12" t="inlineStr">
        <is>
          <t>-69026728416632</t>
        </is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58">
      <c r="A91" s="12" t="inlineStr">
        <is>
          <t>МАКС</t>
        </is>
      </c>
      <c r="B91" s="12" t="inlineStr">
        <is>
          <t>Не олени</t>
        </is>
      </c>
      <c r="C91" s="12" t="inlineStr">
        <is>
          <t>https://max.ru/ne_oleni_pishut</t>
        </is>
      </c>
      <c r="D91" s="12" t="inlineStr">
        <is>
          <t>-71761351254065</t>
        </is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58">
      <c r="A92" s="12" t="inlineStr">
        <is>
          <t>МАКС</t>
        </is>
      </c>
      <c r="B92" s="12" t="inlineStr">
        <is>
          <t>Ямальский меридиан</t>
        </is>
      </c>
      <c r="C92" s="12" t="inlineStr">
        <is>
          <t>https://max.ru/channel_ymerid</t>
        </is>
      </c>
      <c r="D92" s="12" t="inlineStr">
        <is>
          <t>-70906859438144</t>
        </is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58">
      <c r="A93" s="12" t="inlineStr">
        <is>
          <t>МАКС</t>
        </is>
      </c>
      <c r="B93" s="12" t="inlineStr">
        <is>
          <t>Морошка</t>
        </is>
      </c>
      <c r="C93" s="12" t="inlineStr">
        <is>
          <t>https://max.ru/channel_moroshkaYM</t>
        </is>
      </c>
      <c r="D93" s="12" t="inlineStr">
        <is>
          <t>-77160880316465</t>
        </is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5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5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5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5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5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5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5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5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5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5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5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5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5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5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5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5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5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5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5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5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5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5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5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5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5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5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5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5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5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5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5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5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5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5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5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5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5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5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5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5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5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5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5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5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5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5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5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5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5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5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5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5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5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5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5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5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5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5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5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5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5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5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5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5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5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5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5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5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5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5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5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5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5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5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5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5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5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5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5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5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5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5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5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5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5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5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5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5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5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5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5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5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5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5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5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5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5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5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5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5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5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5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5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5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5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5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5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5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5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5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5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5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5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5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5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5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5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5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5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5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5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5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5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5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5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5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5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5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5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5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5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5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5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5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5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5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5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5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5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5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5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5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5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5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5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5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5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5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5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5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5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5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5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5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5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5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5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5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5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5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5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5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5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5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5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5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5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5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5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5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5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5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5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5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5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5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5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5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5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5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5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5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5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5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5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5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5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5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5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5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5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5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5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5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5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5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5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5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5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5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5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5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5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5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5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5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5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5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5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5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5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5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5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5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5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5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5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5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5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5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5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5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5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5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5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5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5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5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5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5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5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5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5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5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5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5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5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5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5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5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5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5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5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5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5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5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5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5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5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5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5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5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5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5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5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5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5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5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5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5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5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5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5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5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5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5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5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5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5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5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5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5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5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5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5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5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5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5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5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5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5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5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5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5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5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5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5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5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5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5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5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5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5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5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5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5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5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5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5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5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5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5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5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5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5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5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5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5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5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5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5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5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5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5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5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5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5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5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5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5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5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5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5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5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5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5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5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5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5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5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5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5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5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5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5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5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5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5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5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5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5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5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5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5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5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5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5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5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5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5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5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5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5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5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5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5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5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5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5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5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5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5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5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5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5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5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5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5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5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5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5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5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5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5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5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5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5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5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5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5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5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5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5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5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5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5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5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5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5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5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5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5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5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5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5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5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5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5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5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5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5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5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5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5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5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5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5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5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5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5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5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5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5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5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5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5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5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5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5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5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5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5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5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5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5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5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5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5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5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5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5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5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5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5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5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5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5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5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5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5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5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5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5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5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5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5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5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5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5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5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5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5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5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5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5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5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5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5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5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5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5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5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5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5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5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5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5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5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5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5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5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5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5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5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5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5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5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5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5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5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5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5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5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5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5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5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5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5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5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5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5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5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5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5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5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5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5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5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5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5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5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5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5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5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5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5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5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5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5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5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5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5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5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5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5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5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5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5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5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5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5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5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5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5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5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5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5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5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5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5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5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5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5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5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5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5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5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5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5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5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5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5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5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5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5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5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5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5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5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5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5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5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5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5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5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5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5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5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5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5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5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5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5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5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5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5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5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5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5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5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5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5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5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5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5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5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5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5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5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5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5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5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5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5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5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5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5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5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5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5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5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5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5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5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5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5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5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5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5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5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5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5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5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5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5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5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5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5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5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5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5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5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5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5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5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5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5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5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5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5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5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5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5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5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5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5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5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5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5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5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5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5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5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5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5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5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5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5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5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5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5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5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5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5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5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5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5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5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5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5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5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5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5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5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5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5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5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5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5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5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5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5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5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5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5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5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5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5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5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5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5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5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5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5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5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5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5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5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5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5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5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5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5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5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5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5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5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5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5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5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5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5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5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5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5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5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5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5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5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5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5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5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5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5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5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5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5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5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5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5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5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5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5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5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5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5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5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5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5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5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5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5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5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5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5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5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5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5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5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5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5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5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5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5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5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5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5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5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5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5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5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5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5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5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5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5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5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5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5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5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5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5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5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5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5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5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5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5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5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5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5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5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5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5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5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5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5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5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5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5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5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5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5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5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5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5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5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5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5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5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5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5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5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5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5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5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5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5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5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5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5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5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5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5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5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5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5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5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5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5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5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5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5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5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5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5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5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5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5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5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5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5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5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5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5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5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5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5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5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5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5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5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5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5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5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5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5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5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5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5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5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5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5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5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5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5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5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5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5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5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5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5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5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5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5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5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5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5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5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5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5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5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5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5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5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5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5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5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5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5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5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5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5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5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5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5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5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5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5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5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5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5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5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5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5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5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5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5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5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5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5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5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5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5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5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5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5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5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5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5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5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5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5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5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5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5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5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5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2026-09-28T06:43:36Z</dcterms:created>
  <dcterms:modified xmlns:dcterms="http://purl.org/dc/terms/" xmlns:xsi="http://www.w3.org/2001/XMLSchema-instance" xsi:type="dcterms:W3CDTF">2026-10-05T06:18:18Z</dcterms:modified>
  <cp:lastModifiedBy>admin</cp:lastModifiedBy>
</cp:coreProperties>
</file>