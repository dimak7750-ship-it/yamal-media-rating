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C:\Users\admin\Desktop\Работа\02_Недельные_съёмы\2026-09-21_09-27\"/>
    </mc:Choice>
  </mc:AlternateContent>
  <xr:revisionPtr revIDLastSave="0" documentId="13_ncr:1_{FA5FCBEE-C713-4F0A-9BCA-52422D815408}" xr6:coauthVersionLast="36" xr6:coauthVersionMax="36" xr10:uidLastSave="{00000000-0000-0000-0000-000000000000}"/>
  <bookViews>
    <workbookView minimized="1" xWindow="0" yWindow="0" windowWidth="19185" windowHeight="7170" xr2:uid="{00000000-000D-0000-FFFF-FFFF00000000}"/>
  </bookViews>
  <sheets>
    <sheet name="Сводка" sheetId="1" r:id="rId1"/>
    <sheet name="21-27.09" sheetId="2" r:id="rId2"/>
    <sheet name="14-20.09" sheetId="3" r:id="rId3"/>
    <sheet name="07-13.09" sheetId="4" r:id="rId4"/>
    <sheet name="31.08-06.09" sheetId="5" r:id="rId5"/>
    <sheet name="24-30.08" sheetId="6" r:id="rId6"/>
    <sheet name="Редакции" sheetId="7" r:id="rId7"/>
    <sheet name="Адреса" sheetId="8" r:id="rId8"/>
  </sheets>
  <definedNames>
    <definedName name="_xlnm._FilterDatabase" localSheetId="5" hidden="1">'24-30.08'!$A$2:$O$96</definedName>
    <definedName name="_xlnm._FilterDatabase" localSheetId="4" hidden="1">'31.08-06.09'!$A$2:$O$96</definedName>
  </definedNames>
  <calcPr calcId="191029"/>
</workbook>
</file>

<file path=xl/calcChain.xml><?xml version="1.0" encoding="utf-8"?>
<calcChain xmlns="http://schemas.openxmlformats.org/spreadsheetml/2006/main">
  <c r="K44" i="7" l="1"/>
  <c r="E44" i="7"/>
  <c r="O96" i="6"/>
  <c r="N96" i="6"/>
  <c r="J96" i="6"/>
  <c r="H96" i="6"/>
  <c r="M96" i="6" s="1"/>
  <c r="F96" i="6"/>
  <c r="D96" i="6"/>
  <c r="L96" i="6" s="1"/>
  <c r="C96" i="6"/>
  <c r="M95" i="6"/>
  <c r="L95" i="6"/>
  <c r="I95" i="6"/>
  <c r="M94" i="6"/>
  <c r="L94" i="6"/>
  <c r="I94" i="6"/>
  <c r="M93" i="6"/>
  <c r="L93" i="6"/>
  <c r="I93" i="6"/>
  <c r="M92" i="6"/>
  <c r="L92" i="6"/>
  <c r="I92" i="6"/>
  <c r="M91" i="6"/>
  <c r="L91" i="6"/>
  <c r="I91" i="6"/>
  <c r="M90" i="6"/>
  <c r="L90" i="6"/>
  <c r="I90" i="6"/>
  <c r="M89" i="6"/>
  <c r="L89" i="6"/>
  <c r="I89" i="6"/>
  <c r="M88" i="6"/>
  <c r="L88" i="6"/>
  <c r="I88" i="6"/>
  <c r="M87" i="6"/>
  <c r="L87" i="6"/>
  <c r="I87" i="6"/>
  <c r="M86" i="6"/>
  <c r="L86" i="6"/>
  <c r="I86" i="6"/>
  <c r="M85" i="6"/>
  <c r="L85" i="6"/>
  <c r="I85" i="6"/>
  <c r="M84" i="6"/>
  <c r="L84" i="6"/>
  <c r="I84" i="6"/>
  <c r="M83" i="6"/>
  <c r="L83" i="6"/>
  <c r="I83" i="6"/>
  <c r="M82" i="6"/>
  <c r="L82" i="6"/>
  <c r="I82" i="6"/>
  <c r="M81" i="6"/>
  <c r="L81" i="6"/>
  <c r="I81" i="6"/>
  <c r="M80" i="6"/>
  <c r="L80" i="6"/>
  <c r="I80" i="6"/>
  <c r="M79" i="6"/>
  <c r="L79" i="6"/>
  <c r="I79" i="6"/>
  <c r="M78" i="6"/>
  <c r="L78" i="6"/>
  <c r="I78" i="6"/>
  <c r="M77" i="6"/>
  <c r="L77" i="6"/>
  <c r="I77" i="6"/>
  <c r="M76" i="6"/>
  <c r="L76" i="6"/>
  <c r="I76" i="6"/>
  <c r="M75" i="6"/>
  <c r="L75" i="6"/>
  <c r="I75" i="6"/>
  <c r="O74" i="6"/>
  <c r="N74" i="6"/>
  <c r="J74" i="6"/>
  <c r="H74" i="6"/>
  <c r="M74" i="6" s="1"/>
  <c r="F74" i="6"/>
  <c r="D74" i="6"/>
  <c r="L74" i="6" s="1"/>
  <c r="C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O51" i="6"/>
  <c r="N51" i="6"/>
  <c r="J51" i="6"/>
  <c r="H51" i="6"/>
  <c r="M51" i="6" s="1"/>
  <c r="F51" i="6"/>
  <c r="D51" i="6"/>
  <c r="C51" i="6"/>
  <c r="M50" i="6"/>
  <c r="L50" i="6"/>
  <c r="I50" i="6"/>
  <c r="E50" i="6"/>
  <c r="M49" i="6"/>
  <c r="L49" i="6"/>
  <c r="I49" i="6"/>
  <c r="E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O30" i="6"/>
  <c r="O97" i="6" s="1"/>
  <c r="N30" i="6"/>
  <c r="N97" i="6" s="1"/>
  <c r="M30" i="6"/>
  <c r="L30" i="6"/>
  <c r="J30" i="6"/>
  <c r="H30" i="6"/>
  <c r="H97" i="6" s="1"/>
  <c r="F30" i="6"/>
  <c r="F97" i="6" s="1"/>
  <c r="D30" i="6"/>
  <c r="C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N97" i="5"/>
  <c r="H97" i="5"/>
  <c r="N96" i="5"/>
  <c r="L96" i="5"/>
  <c r="H96" i="5"/>
  <c r="M96" i="5" s="1"/>
  <c r="D96" i="5"/>
  <c r="C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N74" i="5"/>
  <c r="L74" i="5"/>
  <c r="H74" i="5"/>
  <c r="D74" i="5"/>
  <c r="M74" i="5" s="1"/>
  <c r="C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N51" i="5"/>
  <c r="L51" i="5"/>
  <c r="H51" i="5"/>
  <c r="M51" i="5" s="1"/>
  <c r="D51" i="5"/>
  <c r="C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N30" i="5"/>
  <c r="L30" i="5"/>
  <c r="H30" i="5"/>
  <c r="M30" i="5" s="1"/>
  <c r="D30" i="5"/>
  <c r="C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N96" i="4"/>
  <c r="M96" i="4"/>
  <c r="H96" i="4"/>
  <c r="D96" i="4"/>
  <c r="C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N74" i="4"/>
  <c r="H74" i="4"/>
  <c r="D74" i="4"/>
  <c r="C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N51" i="4"/>
  <c r="H51" i="4"/>
  <c r="D51" i="4"/>
  <c r="C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N30" i="4"/>
  <c r="L30" i="4"/>
  <c r="H30" i="4"/>
  <c r="D30" i="4"/>
  <c r="C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N96" i="3"/>
  <c r="L96" i="3"/>
  <c r="H96" i="3"/>
  <c r="M96" i="3" s="1"/>
  <c r="D96" i="3"/>
  <c r="C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N74" i="3"/>
  <c r="M74" i="3"/>
  <c r="H74" i="3"/>
  <c r="D74" i="3"/>
  <c r="C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N51" i="3"/>
  <c r="H51" i="3"/>
  <c r="D51" i="3"/>
  <c r="C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N30" i="3"/>
  <c r="H30" i="3"/>
  <c r="D30" i="3"/>
  <c r="C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H97" i="2"/>
  <c r="N96" i="2"/>
  <c r="L96" i="2"/>
  <c r="H96" i="2"/>
  <c r="M96" i="2" s="1"/>
  <c r="D96" i="2"/>
  <c r="C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N74" i="2"/>
  <c r="H74" i="2"/>
  <c r="D74" i="2"/>
  <c r="L74" i="2" s="1"/>
  <c r="C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N51" i="2"/>
  <c r="H51" i="2"/>
  <c r="D51" i="2"/>
  <c r="C51" i="2"/>
  <c r="M50" i="2"/>
  <c r="L50" i="2"/>
  <c r="I50" i="2"/>
  <c r="J50" i="2" s="1"/>
  <c r="K50" i="2" s="1"/>
  <c r="E50" i="2"/>
  <c r="F50" i="2" s="1"/>
  <c r="G50" i="2" s="1"/>
  <c r="M49" i="2"/>
  <c r="L49" i="2"/>
  <c r="M48" i="2"/>
  <c r="L48" i="2"/>
  <c r="I48" i="2"/>
  <c r="J48" i="2" s="1"/>
  <c r="K48" i="2" s="1"/>
  <c r="E48" i="2"/>
  <c r="F48" i="2" s="1"/>
  <c r="G48" i="2" s="1"/>
  <c r="M47" i="2"/>
  <c r="L47" i="2"/>
  <c r="I47" i="2"/>
  <c r="J47" i="2" s="1"/>
  <c r="K47" i="2" s="1"/>
  <c r="E47" i="2"/>
  <c r="F47" i="2" s="1"/>
  <c r="G47" i="2" s="1"/>
  <c r="M46" i="2"/>
  <c r="L46" i="2"/>
  <c r="M45" i="2"/>
  <c r="L45" i="2"/>
  <c r="M44" i="2"/>
  <c r="L44" i="2"/>
  <c r="I44" i="2"/>
  <c r="J44" i="2" s="1"/>
  <c r="K44" i="2" s="1"/>
  <c r="E44" i="2"/>
  <c r="F44" i="2" s="1"/>
  <c r="G44" i="2" s="1"/>
  <c r="M43" i="2"/>
  <c r="L43" i="2"/>
  <c r="M42" i="2"/>
  <c r="L42" i="2"/>
  <c r="M41" i="2"/>
  <c r="L41" i="2"/>
  <c r="M40" i="2"/>
  <c r="L40" i="2"/>
  <c r="I40" i="2"/>
  <c r="J40" i="2" s="1"/>
  <c r="K40" i="2" s="1"/>
  <c r="E40" i="2"/>
  <c r="F40" i="2" s="1"/>
  <c r="G40" i="2" s="1"/>
  <c r="M39" i="2"/>
  <c r="L39" i="2"/>
  <c r="M38" i="2"/>
  <c r="L38" i="2"/>
  <c r="M37" i="2"/>
  <c r="L37" i="2"/>
  <c r="M36" i="2"/>
  <c r="L36" i="2"/>
  <c r="I36" i="2"/>
  <c r="J36" i="2" s="1"/>
  <c r="K36" i="2" s="1"/>
  <c r="E36" i="2"/>
  <c r="F36" i="2" s="1"/>
  <c r="G36" i="2" s="1"/>
  <c r="M35" i="2"/>
  <c r="L35" i="2"/>
  <c r="M34" i="2"/>
  <c r="L34" i="2"/>
  <c r="M33" i="2"/>
  <c r="L33" i="2"/>
  <c r="M32" i="2"/>
  <c r="L32" i="2"/>
  <c r="M31" i="2"/>
  <c r="L31" i="2"/>
  <c r="N30" i="2"/>
  <c r="N97" i="2" s="1"/>
  <c r="M30" i="2"/>
  <c r="L30" i="2"/>
  <c r="H30" i="2"/>
  <c r="D30" i="2"/>
  <c r="D97" i="2" s="1"/>
  <c r="C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L42" i="7" a="1"/>
  <c r="D42" i="7" a="1"/>
  <c r="J31" i="7" a="1"/>
  <c r="K29" i="7" a="1"/>
  <c r="D29" i="7" a="1"/>
  <c r="L24" i="7" a="1"/>
  <c r="F24" i="7" a="1"/>
  <c r="I22" i="7" a="1"/>
  <c r="C22" i="7" a="1"/>
  <c r="L20" i="7" a="1"/>
  <c r="F20" i="7" a="1"/>
  <c r="I18" i="7" a="1"/>
  <c r="C18" i="7" a="1"/>
  <c r="L16" i="7" a="1"/>
  <c r="F16" i="7" a="1"/>
  <c r="I14" i="7" a="1"/>
  <c r="C14" i="7" a="1"/>
  <c r="L12" i="7" a="1"/>
  <c r="F12" i="7" a="1"/>
  <c r="K7" i="7" a="1"/>
  <c r="E7" i="7" a="1"/>
  <c r="W97" i="6"/>
  <c r="W94" i="6"/>
  <c r="U93" i="6"/>
  <c r="S92" i="6"/>
  <c r="E90" i="6"/>
  <c r="L36" i="7" a="1"/>
  <c r="B36" i="7" a="1"/>
  <c r="H34" i="7" a="1"/>
  <c r="N32" i="7" a="1"/>
  <c r="B32" i="7" a="1"/>
  <c r="E30" i="7" a="1"/>
  <c r="J28" i="7" a="1"/>
  <c r="B28" i="7" a="1"/>
  <c r="J21" i="7" a="1"/>
  <c r="D21" i="7" a="1"/>
  <c r="J17" i="7" a="1"/>
  <c r="D17" i="7" a="1"/>
  <c r="J13" i="7" a="1"/>
  <c r="D13" i="7" a="1"/>
  <c r="I8" i="7" a="1"/>
  <c r="C8" i="7" a="1"/>
  <c r="L6" i="7" a="1"/>
  <c r="F6" i="7" a="1"/>
  <c r="W72" i="6"/>
  <c r="U71" i="6"/>
  <c r="S70" i="6"/>
  <c r="E68" i="6"/>
  <c r="W66" i="6"/>
  <c r="U65" i="6"/>
  <c r="S64" i="6"/>
  <c r="E62" i="6"/>
  <c r="W60" i="6"/>
  <c r="U59" i="6"/>
  <c r="S58" i="6"/>
  <c r="E56" i="6"/>
  <c r="W54" i="6"/>
  <c r="U53" i="6"/>
  <c r="S52" i="6"/>
  <c r="I46" i="6"/>
  <c r="J42" i="7" a="1"/>
  <c r="C42" i="7" a="1"/>
  <c r="N37" i="7" a="1"/>
  <c r="F37" i="7" a="1"/>
  <c r="F35" i="7" a="1"/>
  <c r="L33" i="7" a="1"/>
  <c r="J29" i="7" a="1"/>
  <c r="B29" i="7" a="1"/>
  <c r="K24" i="7" a="1"/>
  <c r="E24" i="7" a="1"/>
  <c r="N22" i="7" a="1"/>
  <c r="H22" i="7" a="1"/>
  <c r="B22" i="7" a="1"/>
  <c r="K20" i="7" a="1"/>
  <c r="E20" i="7" a="1"/>
  <c r="N18" i="7" a="1"/>
  <c r="H18" i="7" a="1"/>
  <c r="B18" i="7" a="1"/>
  <c r="K16" i="7" a="1"/>
  <c r="E16" i="7" a="1"/>
  <c r="N14" i="7" a="1"/>
  <c r="H14" i="7" a="1"/>
  <c r="B14" i="7" a="1"/>
  <c r="K12" i="7" a="1"/>
  <c r="E12" i="7" a="1"/>
  <c r="J7" i="7" a="1"/>
  <c r="D7" i="7" a="1"/>
  <c r="U97" i="6"/>
  <c r="W95" i="6"/>
  <c r="U94" i="6"/>
  <c r="S93" i="6"/>
  <c r="E91" i="6"/>
  <c r="W89" i="6"/>
  <c r="U88" i="6"/>
  <c r="S87" i="6"/>
  <c r="E85" i="6"/>
  <c r="W83" i="6"/>
  <c r="U82" i="6"/>
  <c r="S81" i="6"/>
  <c r="E79" i="6"/>
  <c r="W77" i="6"/>
  <c r="U76" i="6"/>
  <c r="S75" i="6"/>
  <c r="I69" i="6"/>
  <c r="I63" i="6"/>
  <c r="I57" i="6"/>
  <c r="W50" i="6"/>
  <c r="U49" i="6"/>
  <c r="S48" i="6"/>
  <c r="F43" i="7" a="1"/>
  <c r="L38" i="7" a="1"/>
  <c r="F38" i="7" a="1"/>
  <c r="I36" i="7" a="1"/>
  <c r="L30" i="7" a="1"/>
  <c r="D30" i="7" a="1"/>
  <c r="H28" i="7" a="1"/>
  <c r="L23" i="7" a="1"/>
  <c r="F23" i="7" a="1"/>
  <c r="I21" i="7" a="1"/>
  <c r="C21" i="7" a="1"/>
  <c r="L19" i="7" a="1"/>
  <c r="F19" i="7" a="1"/>
  <c r="I17" i="7" a="1"/>
  <c r="C17" i="7" a="1"/>
  <c r="L15" i="7" a="1"/>
  <c r="F15" i="7" a="1"/>
  <c r="I13" i="7" a="1"/>
  <c r="C13" i="7" a="1"/>
  <c r="N8" i="7" a="1"/>
  <c r="H8" i="7" a="1"/>
  <c r="B8" i="7" a="1"/>
  <c r="K6" i="7" a="1"/>
  <c r="E6" i="7" a="1"/>
  <c r="W73" i="6"/>
  <c r="U72" i="6"/>
  <c r="S71" i="6"/>
  <c r="E69" i="6"/>
  <c r="W67" i="6"/>
  <c r="U66" i="6"/>
  <c r="S65" i="6"/>
  <c r="E63" i="6"/>
  <c r="W61" i="6"/>
  <c r="U60" i="6"/>
  <c r="S59" i="6"/>
  <c r="E57" i="6"/>
  <c r="W55" i="6"/>
  <c r="U54" i="6"/>
  <c r="S53" i="6"/>
  <c r="I47" i="6"/>
  <c r="I42" i="7" a="1"/>
  <c r="B42" i="7" a="1"/>
  <c r="C37" i="7" a="1"/>
  <c r="N35" i="7" a="1"/>
  <c r="B35" i="7" a="1"/>
  <c r="H33" i="7" a="1"/>
  <c r="N31" i="7" a="1"/>
  <c r="F31" i="7" a="1"/>
  <c r="H29" i="7" a="1"/>
  <c r="J24" i="7" a="1"/>
  <c r="D24" i="7" a="1"/>
  <c r="J20" i="7" a="1"/>
  <c r="D20" i="7" a="1"/>
  <c r="J16" i="7" a="1"/>
  <c r="D16" i="7" a="1"/>
  <c r="J12" i="7" a="1"/>
  <c r="D12" i="7" a="1"/>
  <c r="I7" i="7" a="1"/>
  <c r="C7" i="7" a="1"/>
  <c r="S97" i="6"/>
  <c r="U95" i="6"/>
  <c r="S94" i="6"/>
  <c r="E92" i="6"/>
  <c r="W90" i="6"/>
  <c r="U89" i="6"/>
  <c r="S88" i="6"/>
  <c r="E86" i="6"/>
  <c r="W84" i="6"/>
  <c r="U83" i="6"/>
  <c r="S82" i="6"/>
  <c r="E80" i="6"/>
  <c r="W78" i="6"/>
  <c r="U77" i="6"/>
  <c r="S76" i="6"/>
  <c r="I70" i="6"/>
  <c r="I64" i="6"/>
  <c r="I58" i="6"/>
  <c r="I52" i="6"/>
  <c r="U50" i="6"/>
  <c r="S49" i="6"/>
  <c r="N43" i="7" a="1"/>
  <c r="B43" i="7" a="1"/>
  <c r="K38" i="7" a="1"/>
  <c r="E38" i="7" a="1"/>
  <c r="H36" i="7" a="1"/>
  <c r="F34" i="7" a="1"/>
  <c r="L32" i="7" a="1"/>
  <c r="K30" i="7" a="1"/>
  <c r="N28" i="7" a="1"/>
  <c r="K23" i="7" a="1"/>
  <c r="E23" i="7" a="1"/>
  <c r="N21" i="7" a="1"/>
  <c r="H21" i="7" a="1"/>
  <c r="B21" i="7" a="1"/>
  <c r="K19" i="7" a="1"/>
  <c r="E19" i="7" a="1"/>
  <c r="N17" i="7" a="1"/>
  <c r="H17" i="7" a="1"/>
  <c r="B17" i="7" a="1"/>
  <c r="K15" i="7" a="1"/>
  <c r="E15" i="7" a="1"/>
  <c r="N13" i="7" a="1"/>
  <c r="H13" i="7" a="1"/>
  <c r="B13" i="7" a="1"/>
  <c r="J6" i="7" a="1"/>
  <c r="D6" i="7" a="1"/>
  <c r="U73" i="6"/>
  <c r="S72" i="6"/>
  <c r="E70" i="6"/>
  <c r="W68" i="6"/>
  <c r="U67" i="6"/>
  <c r="S66" i="6"/>
  <c r="E64" i="6"/>
  <c r="W62" i="6"/>
  <c r="U61" i="6"/>
  <c r="S60" i="6"/>
  <c r="E58" i="6"/>
  <c r="W56" i="6"/>
  <c r="U55" i="6"/>
  <c r="S54" i="6"/>
  <c r="E52" i="6"/>
  <c r="H42" i="7" a="1"/>
  <c r="L37" i="7" a="1"/>
  <c r="B37" i="7" a="1"/>
  <c r="E31" i="7" a="1"/>
  <c r="N29" i="7" a="1"/>
  <c r="I24" i="7" a="1"/>
  <c r="C24" i="7" a="1"/>
  <c r="L22" i="7" a="1"/>
  <c r="F22" i="7" a="1"/>
  <c r="I20" i="7" a="1"/>
  <c r="C20" i="7" a="1"/>
  <c r="L18" i="7" a="1"/>
  <c r="F18" i="7" a="1"/>
  <c r="I16" i="7" a="1"/>
  <c r="C16" i="7" a="1"/>
  <c r="L14" i="7" a="1"/>
  <c r="F14" i="7" a="1"/>
  <c r="I12" i="7" a="1"/>
  <c r="C12" i="7" a="1"/>
  <c r="N7" i="7" a="1"/>
  <c r="H7" i="7" a="1"/>
  <c r="B7" i="7" a="1"/>
  <c r="S95" i="6"/>
  <c r="E93" i="6"/>
  <c r="J38" i="7" a="1"/>
  <c r="D38" i="7" a="1"/>
  <c r="N34" i="7" a="1"/>
  <c r="B34" i="7" a="1"/>
  <c r="H32" i="7" a="1"/>
  <c r="J30" i="7" a="1"/>
  <c r="F28" i="7" a="1"/>
  <c r="J23" i="7" a="1"/>
  <c r="D23" i="7" a="1"/>
  <c r="J19" i="7" a="1"/>
  <c r="D19" i="7" a="1"/>
  <c r="J15" i="7" a="1"/>
  <c r="D15" i="7" a="1"/>
  <c r="L8" i="7" a="1"/>
  <c r="F8" i="7" a="1"/>
  <c r="I6" i="7" a="1"/>
  <c r="C6" i="7" a="1"/>
  <c r="W96" i="6"/>
  <c r="S73" i="6"/>
  <c r="E71" i="6"/>
  <c r="W69" i="6"/>
  <c r="U68" i="6"/>
  <c r="S67" i="6"/>
  <c r="E65" i="6"/>
  <c r="W63" i="6"/>
  <c r="U62" i="6"/>
  <c r="S61" i="6"/>
  <c r="E59" i="6"/>
  <c r="W57" i="6"/>
  <c r="U56" i="6"/>
  <c r="S55" i="6"/>
  <c r="E53" i="6"/>
  <c r="W51" i="6"/>
  <c r="N42" i="7" a="1"/>
  <c r="I37" i="7" a="1"/>
  <c r="L35" i="7" a="1"/>
  <c r="F33" i="7" a="1"/>
  <c r="L31" i="7" a="1"/>
  <c r="D31" i="7" a="1"/>
  <c r="F29" i="7" a="1"/>
  <c r="N24" i="7" a="1"/>
  <c r="H24" i="7" a="1"/>
  <c r="B24" i="7" a="1"/>
  <c r="K22" i="7" a="1"/>
  <c r="E22" i="7" a="1"/>
  <c r="N20" i="7" a="1"/>
  <c r="H20" i="7" a="1"/>
  <c r="B20" i="7" a="1"/>
  <c r="K18" i="7" a="1"/>
  <c r="E18" i="7" a="1"/>
  <c r="N16" i="7" a="1"/>
  <c r="H16" i="7" a="1"/>
  <c r="B16" i="7" a="1"/>
  <c r="K14" i="7" a="1"/>
  <c r="E14" i="7" a="1"/>
  <c r="N12" i="7" a="1"/>
  <c r="H12" i="7" a="1"/>
  <c r="B12" i="7" a="1"/>
  <c r="E94" i="6"/>
  <c r="W92" i="6"/>
  <c r="U91" i="6"/>
  <c r="S90" i="6"/>
  <c r="E88" i="6"/>
  <c r="W86" i="6"/>
  <c r="U85" i="6"/>
  <c r="S84" i="6"/>
  <c r="E82" i="6"/>
  <c r="W80" i="6"/>
  <c r="U79" i="6"/>
  <c r="S78" i="6"/>
  <c r="E76" i="6"/>
  <c r="W74" i="6"/>
  <c r="I72" i="6"/>
  <c r="I66" i="6"/>
  <c r="I60" i="6"/>
  <c r="I54" i="6"/>
  <c r="L43" i="7" a="1"/>
  <c r="I38" i="7" a="1"/>
  <c r="C38" i="7" a="1"/>
  <c r="N36" i="7" a="1"/>
  <c r="F36" i="7" a="1"/>
  <c r="L28" i="7" a="1"/>
  <c r="E28" i="7" a="1"/>
  <c r="I23" i="7" a="1"/>
  <c r="C23" i="7" a="1"/>
  <c r="L21" i="7" a="1"/>
  <c r="F21" i="7" a="1"/>
  <c r="I19" i="7" a="1"/>
  <c r="C19" i="7" a="1"/>
  <c r="L17" i="7" a="1"/>
  <c r="F17" i="7" a="1"/>
  <c r="I15" i="7" a="1"/>
  <c r="C15" i="7" a="1"/>
  <c r="L13" i="7" a="1"/>
  <c r="F13" i="7" a="1"/>
  <c r="K8" i="7" a="1"/>
  <c r="E8" i="7" a="1"/>
  <c r="N6" i="7" a="1"/>
  <c r="H6" i="7" a="1"/>
  <c r="B6" i="7" a="1"/>
  <c r="U96" i="6"/>
  <c r="F42" i="7" a="1"/>
  <c r="H37" i="7" a="1"/>
  <c r="H35" i="7" a="1"/>
  <c r="N33" i="7" a="1"/>
  <c r="B33" i="7" a="1"/>
  <c r="K31" i="7" a="1"/>
  <c r="L29" i="7" a="1"/>
  <c r="E29" i="7" a="1"/>
  <c r="J22" i="7" a="1"/>
  <c r="D22" i="7" a="1"/>
  <c r="J18" i="7" a="1"/>
  <c r="D18" i="7" a="1"/>
  <c r="J14" i="7" a="1"/>
  <c r="D14" i="7" a="1"/>
  <c r="L7" i="7" a="1"/>
  <c r="F7" i="7" a="1"/>
  <c r="E95" i="6"/>
  <c r="H43" i="7" a="1"/>
  <c r="N38" i="7" a="1"/>
  <c r="H38" i="7" a="1"/>
  <c r="B38" i="7" a="1"/>
  <c r="C36" i="7" a="1"/>
  <c r="L34" i="7" a="1"/>
  <c r="F32" i="7" a="1"/>
  <c r="N30" i="7" a="1"/>
  <c r="F30" i="7" a="1"/>
  <c r="K28" i="7" a="1"/>
  <c r="D28" i="7" a="1"/>
  <c r="N23" i="7" a="1"/>
  <c r="H23" i="7" a="1"/>
  <c r="B23" i="7" a="1"/>
  <c r="K21" i="7" a="1"/>
  <c r="E21" i="7" a="1"/>
  <c r="N19" i="7" a="1"/>
  <c r="H19" i="7" a="1"/>
  <c r="B19" i="7" a="1"/>
  <c r="K17" i="7" a="1"/>
  <c r="E17" i="7" a="1"/>
  <c r="N15" i="7" a="1"/>
  <c r="H15" i="7" a="1"/>
  <c r="B15" i="7" a="1"/>
  <c r="K13" i="7" a="1"/>
  <c r="E13" i="7" a="1"/>
  <c r="J8" i="7" a="1"/>
  <c r="D8" i="7" a="1"/>
  <c r="S96" i="6"/>
  <c r="E73" i="6"/>
  <c r="W71" i="6"/>
  <c r="U70" i="6"/>
  <c r="S69" i="6"/>
  <c r="E67" i="6"/>
  <c r="W65" i="6"/>
  <c r="U64" i="6"/>
  <c r="S63" i="6"/>
  <c r="E61" i="6"/>
  <c r="W59" i="6"/>
  <c r="U58" i="6"/>
  <c r="S57" i="6"/>
  <c r="E55" i="6"/>
  <c r="W53" i="6"/>
  <c r="U52" i="6"/>
  <c r="S51" i="6"/>
  <c r="E87" i="6"/>
  <c r="S80" i="6"/>
  <c r="I40" i="6"/>
  <c r="I34" i="6"/>
  <c r="E29" i="6"/>
  <c r="W27" i="6"/>
  <c r="U26" i="6"/>
  <c r="S25" i="6"/>
  <c r="E23" i="6"/>
  <c r="W21" i="6"/>
  <c r="U20" i="6"/>
  <c r="S19" i="6"/>
  <c r="E17" i="6"/>
  <c r="W15" i="6"/>
  <c r="U14" i="6"/>
  <c r="S13" i="6"/>
  <c r="E11" i="6"/>
  <c r="W9" i="6"/>
  <c r="U8" i="6"/>
  <c r="S7" i="6"/>
  <c r="E5" i="6"/>
  <c r="W3" i="6"/>
  <c r="W95" i="5"/>
  <c r="W91" i="5"/>
  <c r="W87" i="5"/>
  <c r="W83" i="5"/>
  <c r="W79" i="5"/>
  <c r="W75" i="5"/>
  <c r="U73" i="5"/>
  <c r="O70" i="5"/>
  <c r="U69" i="5"/>
  <c r="O66" i="5"/>
  <c r="W93" i="6"/>
  <c r="W88" i="6"/>
  <c r="U86" i="6"/>
  <c r="E78" i="6"/>
  <c r="U75" i="6"/>
  <c r="I59" i="6"/>
  <c r="S56" i="6"/>
  <c r="I41" i="6"/>
  <c r="I35" i="6"/>
  <c r="W28" i="6"/>
  <c r="U27" i="6"/>
  <c r="S26" i="6"/>
  <c r="E24" i="6"/>
  <c r="W22" i="6"/>
  <c r="U21" i="6"/>
  <c r="S20" i="6"/>
  <c r="E18" i="6"/>
  <c r="W16" i="6"/>
  <c r="U15" i="6"/>
  <c r="S14" i="6"/>
  <c r="E12" i="6"/>
  <c r="W10" i="6"/>
  <c r="U9" i="6"/>
  <c r="S8" i="6"/>
  <c r="E6" i="6"/>
  <c r="W4" i="6"/>
  <c r="U3" i="6"/>
  <c r="U95" i="5"/>
  <c r="O92" i="5"/>
  <c r="U91" i="5"/>
  <c r="O88" i="5"/>
  <c r="U87" i="5"/>
  <c r="O84" i="5"/>
  <c r="U83" i="5"/>
  <c r="O80" i="5"/>
  <c r="U79" i="5"/>
  <c r="O76" i="5"/>
  <c r="U75" i="5"/>
  <c r="S73" i="5"/>
  <c r="E72" i="5"/>
  <c r="I71" i="5"/>
  <c r="S69" i="5"/>
  <c r="E68" i="5"/>
  <c r="I67" i="5"/>
  <c r="S65" i="5"/>
  <c r="E64" i="5"/>
  <c r="I63" i="5"/>
  <c r="S61" i="5"/>
  <c r="E60" i="5"/>
  <c r="I59" i="5"/>
  <c r="S57" i="5"/>
  <c r="E56" i="5"/>
  <c r="S86" i="6"/>
  <c r="S77" i="6"/>
  <c r="W58" i="6"/>
  <c r="U48" i="6"/>
  <c r="W45" i="6"/>
  <c r="U44" i="6"/>
  <c r="S43" i="6"/>
  <c r="E41" i="6"/>
  <c r="W39" i="6"/>
  <c r="U38" i="6"/>
  <c r="S37" i="6"/>
  <c r="E35" i="6"/>
  <c r="W33" i="6"/>
  <c r="U32" i="6"/>
  <c r="S31" i="6"/>
  <c r="I25" i="6"/>
  <c r="I19" i="6"/>
  <c r="I13" i="6"/>
  <c r="I7" i="6"/>
  <c r="W94" i="5"/>
  <c r="W90" i="5"/>
  <c r="W86" i="5"/>
  <c r="W82" i="5"/>
  <c r="W78" i="5"/>
  <c r="W74" i="5"/>
  <c r="O73" i="5"/>
  <c r="U72" i="5"/>
  <c r="O69" i="5"/>
  <c r="U68" i="5"/>
  <c r="O65" i="5"/>
  <c r="U64" i="5"/>
  <c r="O61" i="5"/>
  <c r="U60" i="5"/>
  <c r="O57" i="5"/>
  <c r="U56" i="5"/>
  <c r="O53" i="5"/>
  <c r="U52" i="5"/>
  <c r="S50" i="5"/>
  <c r="E49" i="5"/>
  <c r="I48" i="5"/>
  <c r="S46" i="5"/>
  <c r="U87" i="6"/>
  <c r="W76" i="6"/>
  <c r="U74" i="6"/>
  <c r="U46" i="6"/>
  <c r="I44" i="6"/>
  <c r="I38" i="6"/>
  <c r="I32" i="6"/>
  <c r="S29" i="6"/>
  <c r="E27" i="6"/>
  <c r="W25" i="6"/>
  <c r="U24" i="6"/>
  <c r="S23" i="6"/>
  <c r="E21" i="6"/>
  <c r="W19" i="6"/>
  <c r="U18" i="6"/>
  <c r="S17" i="6"/>
  <c r="E15" i="6"/>
  <c r="W13" i="6"/>
  <c r="U12" i="6"/>
  <c r="S11" i="6"/>
  <c r="E9" i="6"/>
  <c r="W7" i="6"/>
  <c r="U6" i="6"/>
  <c r="S5" i="6"/>
  <c r="E3" i="6"/>
  <c r="O94" i="5"/>
  <c r="U93" i="5"/>
  <c r="O90" i="5"/>
  <c r="U89" i="5"/>
  <c r="O86" i="5"/>
  <c r="U85" i="5"/>
  <c r="O82" i="5"/>
  <c r="U81" i="5"/>
  <c r="O78" i="5"/>
  <c r="U77" i="5"/>
  <c r="I73" i="5"/>
  <c r="S71" i="5"/>
  <c r="E70" i="5"/>
  <c r="I69" i="5"/>
  <c r="S67" i="5"/>
  <c r="E66" i="5"/>
  <c r="I65" i="5"/>
  <c r="S63" i="5"/>
  <c r="E62" i="5"/>
  <c r="I61" i="5"/>
  <c r="S59" i="5"/>
  <c r="E58" i="5"/>
  <c r="I57" i="5"/>
  <c r="S55" i="5"/>
  <c r="S89" i="6"/>
  <c r="S85" i="6"/>
  <c r="E81" i="6"/>
  <c r="S74" i="6"/>
  <c r="I73" i="6"/>
  <c r="I68" i="6"/>
  <c r="E60" i="6"/>
  <c r="U57" i="6"/>
  <c r="I55" i="6"/>
  <c r="W47" i="6"/>
  <c r="E44" i="6"/>
  <c r="W42" i="6"/>
  <c r="U41" i="6"/>
  <c r="S40" i="6"/>
  <c r="E38" i="6"/>
  <c r="W36" i="6"/>
  <c r="U35" i="6"/>
  <c r="S34" i="6"/>
  <c r="E32" i="6"/>
  <c r="W30" i="6"/>
  <c r="I28" i="6"/>
  <c r="I22" i="6"/>
  <c r="I16" i="6"/>
  <c r="I10" i="6"/>
  <c r="I4" i="6"/>
  <c r="W92" i="5"/>
  <c r="W88" i="5"/>
  <c r="W84" i="5"/>
  <c r="W80" i="5"/>
  <c r="W76" i="5"/>
  <c r="O71" i="5"/>
  <c r="U70" i="5"/>
  <c r="O67" i="5"/>
  <c r="U66" i="5"/>
  <c r="O63" i="5"/>
  <c r="U62" i="5"/>
  <c r="O59" i="5"/>
  <c r="U58" i="5"/>
  <c r="O55" i="5"/>
  <c r="U54" i="5"/>
  <c r="I50" i="5"/>
  <c r="S48" i="5"/>
  <c r="W91" i="6"/>
  <c r="E89" i="6"/>
  <c r="U69" i="6"/>
  <c r="U63" i="6"/>
  <c r="E47" i="6"/>
  <c r="W41" i="6"/>
  <c r="U34" i="6"/>
  <c r="W32" i="6"/>
  <c r="S28" i="6"/>
  <c r="W24" i="6"/>
  <c r="I23" i="6"/>
  <c r="U17" i="6"/>
  <c r="E14" i="6"/>
  <c r="S10" i="6"/>
  <c r="W6" i="6"/>
  <c r="I5" i="6"/>
  <c r="S89" i="5"/>
  <c r="W85" i="5"/>
  <c r="S84" i="5"/>
  <c r="E82" i="5"/>
  <c r="O79" i="5"/>
  <c r="E71" i="5"/>
  <c r="W65" i="5"/>
  <c r="I60" i="5"/>
  <c r="E59" i="5"/>
  <c r="W57" i="5"/>
  <c r="S54" i="5"/>
  <c r="O46" i="5"/>
  <c r="W44" i="5"/>
  <c r="W40" i="5"/>
  <c r="W36" i="5"/>
  <c r="W32" i="5"/>
  <c r="O27" i="5"/>
  <c r="U26" i="5"/>
  <c r="O23" i="5"/>
  <c r="U22" i="5"/>
  <c r="O19" i="5"/>
  <c r="U18" i="5"/>
  <c r="O15" i="5"/>
  <c r="U14" i="5"/>
  <c r="O11" i="5"/>
  <c r="S91" i="6"/>
  <c r="W85" i="6"/>
  <c r="U80" i="6"/>
  <c r="E66" i="6"/>
  <c r="U39" i="6"/>
  <c r="I36" i="6"/>
  <c r="U30" i="6"/>
  <c r="I21" i="6"/>
  <c r="I12" i="6"/>
  <c r="I3" i="6"/>
  <c r="W96" i="5"/>
  <c r="S94" i="5"/>
  <c r="I92" i="5"/>
  <c r="U90" i="5"/>
  <c r="O89" i="5"/>
  <c r="E87" i="5"/>
  <c r="I83" i="5"/>
  <c r="U80" i="5"/>
  <c r="I78" i="5"/>
  <c r="E77" i="5"/>
  <c r="S75" i="5"/>
  <c r="E67" i="5"/>
  <c r="S64" i="5"/>
  <c r="S56" i="5"/>
  <c r="O54" i="5"/>
  <c r="S53" i="5"/>
  <c r="S52" i="5"/>
  <c r="I49" i="5"/>
  <c r="S45" i="5"/>
  <c r="E44" i="5"/>
  <c r="I43" i="5"/>
  <c r="S41" i="5"/>
  <c r="E40" i="5"/>
  <c r="I39" i="5"/>
  <c r="S37" i="5"/>
  <c r="E36" i="5"/>
  <c r="I35" i="5"/>
  <c r="S33" i="5"/>
  <c r="E32" i="5"/>
  <c r="I31" i="5"/>
  <c r="W29" i="5"/>
  <c r="W25" i="5"/>
  <c r="W21" i="5"/>
  <c r="W17" i="5"/>
  <c r="W13" i="5"/>
  <c r="E83" i="6"/>
  <c r="E75" i="6"/>
  <c r="I53" i="6"/>
  <c r="W48" i="6"/>
  <c r="W46" i="6"/>
  <c r="I45" i="6"/>
  <c r="I43" i="6"/>
  <c r="S41" i="6"/>
  <c r="W37" i="6"/>
  <c r="E36" i="6"/>
  <c r="S32" i="6"/>
  <c r="S30" i="6"/>
  <c r="W29" i="6"/>
  <c r="S24" i="6"/>
  <c r="S68" i="6"/>
  <c r="S62" i="6"/>
  <c r="I56" i="6"/>
  <c r="S46" i="6"/>
  <c r="W44" i="6"/>
  <c r="W35" i="6"/>
  <c r="U29" i="6"/>
  <c r="E26" i="6"/>
  <c r="S22" i="6"/>
  <c r="W18" i="6"/>
  <c r="I17" i="6"/>
  <c r="U11" i="6"/>
  <c r="E8" i="6"/>
  <c r="S4" i="6"/>
  <c r="O95" i="5"/>
  <c r="I89" i="5"/>
  <c r="E88" i="5"/>
  <c r="S81" i="5"/>
  <c r="W77" i="5"/>
  <c r="S76" i="5"/>
  <c r="W71" i="5"/>
  <c r="S70" i="5"/>
  <c r="S58" i="5"/>
  <c r="W49" i="5"/>
  <c r="E48" i="5"/>
  <c r="S44" i="5"/>
  <c r="E43" i="5"/>
  <c r="I42" i="5"/>
  <c r="S40" i="5"/>
  <c r="E39" i="5"/>
  <c r="I38" i="5"/>
  <c r="S36" i="5"/>
  <c r="E35" i="5"/>
  <c r="I34" i="5"/>
  <c r="S32" i="5"/>
  <c r="E31" i="5"/>
  <c r="W28" i="5"/>
  <c r="W24" i="5"/>
  <c r="W20" i="5"/>
  <c r="W16" i="5"/>
  <c r="U90" i="6"/>
  <c r="W87" i="6"/>
  <c r="U84" i="6"/>
  <c r="W79" i="6"/>
  <c r="E72" i="6"/>
  <c r="I48" i="6"/>
  <c r="U42" i="6"/>
  <c r="U33" i="6"/>
  <c r="S83" i="6"/>
  <c r="W75" i="6"/>
  <c r="I67" i="6"/>
  <c r="I61" i="6"/>
  <c r="W43" i="6"/>
  <c r="E42" i="6"/>
  <c r="S38" i="6"/>
  <c r="S36" i="6"/>
  <c r="W34" i="6"/>
  <c r="I33" i="6"/>
  <c r="I31" i="6"/>
  <c r="U28" i="6"/>
  <c r="W26" i="6"/>
  <c r="E25" i="6"/>
  <c r="S21" i="6"/>
  <c r="U19" i="6"/>
  <c r="W17" i="6"/>
  <c r="S12" i="6"/>
  <c r="U10" i="6"/>
  <c r="W8" i="6"/>
  <c r="E7" i="6"/>
  <c r="S3" i="6"/>
  <c r="S93" i="5"/>
  <c r="W89" i="5"/>
  <c r="S88" i="5"/>
  <c r="E86" i="5"/>
  <c r="O83" i="5"/>
  <c r="I77" i="5"/>
  <c r="E76" i="5"/>
  <c r="W73" i="5"/>
  <c r="O72" i="5"/>
  <c r="S68" i="5"/>
  <c r="S62" i="5"/>
  <c r="W52" i="5"/>
  <c r="W51" i="5"/>
  <c r="O47" i="5"/>
  <c r="U46" i="5"/>
  <c r="W45" i="5"/>
  <c r="E45" i="5"/>
  <c r="I44" i="5"/>
  <c r="S42" i="5"/>
  <c r="E41" i="5"/>
  <c r="I40" i="5"/>
  <c r="S38" i="5"/>
  <c r="E37" i="5"/>
  <c r="I36" i="5"/>
  <c r="U78" i="6"/>
  <c r="E54" i="6"/>
  <c r="S45" i="6"/>
  <c r="U43" i="6"/>
  <c r="E40" i="6"/>
  <c r="E33" i="6"/>
  <c r="E31" i="6"/>
  <c r="E16" i="6"/>
  <c r="I14" i="6"/>
  <c r="U94" i="5"/>
  <c r="O93" i="5"/>
  <c r="E91" i="5"/>
  <c r="I87" i="5"/>
  <c r="U84" i="5"/>
  <c r="I82" i="5"/>
  <c r="E81" i="5"/>
  <c r="S79" i="5"/>
  <c r="W69" i="5"/>
  <c r="O68" i="5"/>
  <c r="W64" i="5"/>
  <c r="U63" i="5"/>
  <c r="O62" i="5"/>
  <c r="W56" i="5"/>
  <c r="U55" i="5"/>
  <c r="U53" i="5"/>
  <c r="U45" i="5"/>
  <c r="O42" i="5"/>
  <c r="U41" i="5"/>
  <c r="O38" i="5"/>
  <c r="U37" i="5"/>
  <c r="O34" i="5"/>
  <c r="U33" i="5"/>
  <c r="I29" i="5"/>
  <c r="S27" i="5"/>
  <c r="E26" i="5"/>
  <c r="I25" i="5"/>
  <c r="S23" i="5"/>
  <c r="E22" i="5"/>
  <c r="I21" i="5"/>
  <c r="S42" i="6"/>
  <c r="E37" i="6"/>
  <c r="E34" i="6"/>
  <c r="I29" i="6"/>
  <c r="I26" i="6"/>
  <c r="W20" i="6"/>
  <c r="S18" i="6"/>
  <c r="S15" i="6"/>
  <c r="I11" i="6"/>
  <c r="I8" i="6"/>
  <c r="U5" i="6"/>
  <c r="E89" i="5"/>
  <c r="I85" i="5"/>
  <c r="O75" i="5"/>
  <c r="S72" i="5"/>
  <c r="S66" i="5"/>
  <c r="E65" i="5"/>
  <c r="U61" i="5"/>
  <c r="I53" i="5"/>
  <c r="W47" i="5"/>
  <c r="O41" i="5"/>
  <c r="E38" i="5"/>
  <c r="I32" i="5"/>
  <c r="W30" i="5"/>
  <c r="W27" i="5"/>
  <c r="W26" i="5"/>
  <c r="S25" i="5"/>
  <c r="O24" i="5"/>
  <c r="E20" i="5"/>
  <c r="E17" i="5"/>
  <c r="E15" i="5"/>
  <c r="I12" i="5"/>
  <c r="O10" i="5"/>
  <c r="U9" i="5"/>
  <c r="O6" i="5"/>
  <c r="U5" i="5"/>
  <c r="W94" i="4"/>
  <c r="W90" i="4"/>
  <c r="W86" i="4"/>
  <c r="W82" i="4"/>
  <c r="W78" i="4"/>
  <c r="O73" i="4"/>
  <c r="O69" i="4"/>
  <c r="E84" i="6"/>
  <c r="I71" i="6"/>
  <c r="S50" i="6"/>
  <c r="U45" i="6"/>
  <c r="E13" i="6"/>
  <c r="W97" i="5"/>
  <c r="U92" i="5"/>
  <c r="S90" i="5"/>
  <c r="S77" i="5"/>
  <c r="O64" i="5"/>
  <c r="E63" i="5"/>
  <c r="W59" i="5"/>
  <c r="I58" i="5"/>
  <c r="W54" i="5"/>
  <c r="O50" i="5"/>
  <c r="U47" i="5"/>
  <c r="W43" i="5"/>
  <c r="U42" i="5"/>
  <c r="O36" i="5"/>
  <c r="I33" i="5"/>
  <c r="S26" i="5"/>
  <c r="O25" i="5"/>
  <c r="E21" i="5"/>
  <c r="E19" i="5"/>
  <c r="W15" i="5"/>
  <c r="E14" i="5"/>
  <c r="E13" i="5"/>
  <c r="W8" i="5"/>
  <c r="W4" i="5"/>
  <c r="E94" i="4"/>
  <c r="I93" i="4"/>
  <c r="E90" i="4"/>
  <c r="I89" i="4"/>
  <c r="E86" i="4"/>
  <c r="I85" i="4"/>
  <c r="E82" i="4"/>
  <c r="I81" i="4"/>
  <c r="E78" i="4"/>
  <c r="I77" i="4"/>
  <c r="W71" i="4"/>
  <c r="W70" i="6"/>
  <c r="W52" i="6"/>
  <c r="E48" i="6"/>
  <c r="I39" i="6"/>
  <c r="U36" i="6"/>
  <c r="S33" i="6"/>
  <c r="U25" i="6"/>
  <c r="U7" i="6"/>
  <c r="I94" i="5"/>
  <c r="S92" i="5"/>
  <c r="U88" i="5"/>
  <c r="U86" i="5"/>
  <c r="I81" i="5"/>
  <c r="I79" i="5"/>
  <c r="O77" i="5"/>
  <c r="U59" i="5"/>
  <c r="U57" i="5"/>
  <c r="I56" i="5"/>
  <c r="E53" i="5"/>
  <c r="W48" i="5"/>
  <c r="I45" i="5"/>
  <c r="U43" i="5"/>
  <c r="W38" i="5"/>
  <c r="W37" i="5"/>
  <c r="W31" i="5"/>
  <c r="U28" i="5"/>
  <c r="U27" i="5"/>
  <c r="O26" i="5"/>
  <c r="I23" i="5"/>
  <c r="I22" i="5"/>
  <c r="W19" i="5"/>
  <c r="E18" i="5"/>
  <c r="W14" i="5"/>
  <c r="I11" i="5"/>
  <c r="S9" i="5"/>
  <c r="E8" i="5"/>
  <c r="I7" i="5"/>
  <c r="S5" i="5"/>
  <c r="E4" i="5"/>
  <c r="I3" i="5"/>
  <c r="O95" i="4"/>
  <c r="O91" i="4"/>
  <c r="O87" i="4"/>
  <c r="O83" i="4"/>
  <c r="O79" i="4"/>
  <c r="E77" i="6"/>
  <c r="U47" i="6"/>
  <c r="E45" i="6"/>
  <c r="W38" i="6"/>
  <c r="E28" i="6"/>
  <c r="I20" i="6"/>
  <c r="W14" i="6"/>
  <c r="E10" i="6"/>
  <c r="U4" i="6"/>
  <c r="U82" i="5"/>
  <c r="S80" i="5"/>
  <c r="W67" i="5"/>
  <c r="I66" i="5"/>
  <c r="I54" i="5"/>
  <c r="O52" i="5"/>
  <c r="E50" i="5"/>
  <c r="U48" i="5"/>
  <c r="I46" i="5"/>
  <c r="S43" i="5"/>
  <c r="W39" i="5"/>
  <c r="U38" i="5"/>
  <c r="E34" i="5"/>
  <c r="E33" i="5"/>
  <c r="U29" i="5"/>
  <c r="S28" i="5"/>
  <c r="U20" i="5"/>
  <c r="U19" i="5"/>
  <c r="U17" i="5"/>
  <c r="S14" i="5"/>
  <c r="W7" i="5"/>
  <c r="W3" i="5"/>
  <c r="E93" i="4"/>
  <c r="I92" i="4"/>
  <c r="E89" i="4"/>
  <c r="I88" i="4"/>
  <c r="E85" i="4"/>
  <c r="I84" i="4"/>
  <c r="E81" i="4"/>
  <c r="I80" i="4"/>
  <c r="W82" i="6"/>
  <c r="U51" i="6"/>
  <c r="S47" i="6"/>
  <c r="S44" i="6"/>
  <c r="E20" i="6"/>
  <c r="W93" i="5"/>
  <c r="E92" i="5"/>
  <c r="I90" i="5"/>
  <c r="U78" i="5"/>
  <c r="E75" i="5"/>
  <c r="U65" i="5"/>
  <c r="I64" i="5"/>
  <c r="E61" i="5"/>
  <c r="W55" i="5"/>
  <c r="U44" i="5"/>
  <c r="O43" i="5"/>
  <c r="I41" i="5"/>
  <c r="U39" i="5"/>
  <c r="W34" i="5"/>
  <c r="U32" i="5"/>
  <c r="S31" i="5"/>
  <c r="S29" i="5"/>
  <c r="O28" i="5"/>
  <c r="E24" i="5"/>
  <c r="E23" i="5"/>
  <c r="S18" i="5"/>
  <c r="S17" i="5"/>
  <c r="S16" i="5"/>
  <c r="S15" i="5"/>
  <c r="O14" i="5"/>
  <c r="S13" i="5"/>
  <c r="U12" i="5"/>
  <c r="W11" i="5"/>
  <c r="E11" i="5"/>
  <c r="I10" i="5"/>
  <c r="S8" i="5"/>
  <c r="E7" i="5"/>
  <c r="I6" i="5"/>
  <c r="S4" i="5"/>
  <c r="E3" i="5"/>
  <c r="O94" i="4"/>
  <c r="O90" i="4"/>
  <c r="O86" i="4"/>
  <c r="O82" i="4"/>
  <c r="O78" i="4"/>
  <c r="S79" i="6"/>
  <c r="I65" i="6"/>
  <c r="W40" i="6"/>
  <c r="S35" i="6"/>
  <c r="S27" i="6"/>
  <c r="S9" i="6"/>
  <c r="S6" i="6"/>
  <c r="S95" i="5"/>
  <c r="U81" i="6"/>
  <c r="W5" i="6"/>
  <c r="O87" i="5"/>
  <c r="E80" i="5"/>
  <c r="E78" i="5"/>
  <c r="W72" i="5"/>
  <c r="W70" i="5"/>
  <c r="W68" i="5"/>
  <c r="W61" i="5"/>
  <c r="O56" i="5"/>
  <c r="W50" i="5"/>
  <c r="O40" i="5"/>
  <c r="S35" i="5"/>
  <c r="E28" i="5"/>
  <c r="E27" i="5"/>
  <c r="I20" i="5"/>
  <c r="I19" i="5"/>
  <c r="I14" i="5"/>
  <c r="W9" i="5"/>
  <c r="W5" i="5"/>
  <c r="E95" i="4"/>
  <c r="I94" i="4"/>
  <c r="E91" i="4"/>
  <c r="I90" i="4"/>
  <c r="E87" i="4"/>
  <c r="I86" i="4"/>
  <c r="E83" i="4"/>
  <c r="I82" i="4"/>
  <c r="E79" i="4"/>
  <c r="W62" i="5"/>
  <c r="O60" i="5"/>
  <c r="O48" i="5"/>
  <c r="W46" i="5"/>
  <c r="O44" i="5"/>
  <c r="S34" i="5"/>
  <c r="O32" i="5"/>
  <c r="E29" i="5"/>
  <c r="E25" i="5"/>
  <c r="O21" i="5"/>
  <c r="I5" i="5"/>
  <c r="S3" i="5"/>
  <c r="W88" i="4"/>
  <c r="O80" i="4"/>
  <c r="I79" i="4"/>
  <c r="I75" i="4"/>
  <c r="W69" i="4"/>
  <c r="E69" i="4"/>
  <c r="W64" i="4"/>
  <c r="W60" i="4"/>
  <c r="W56" i="4"/>
  <c r="W52" i="4"/>
  <c r="O47" i="4"/>
  <c r="E39" i="6"/>
  <c r="W23" i="6"/>
  <c r="W12" i="6"/>
  <c r="I9" i="6"/>
  <c r="I93" i="5"/>
  <c r="S86" i="5"/>
  <c r="O81" i="5"/>
  <c r="E79" i="5"/>
  <c r="I76" i="5"/>
  <c r="I68" i="5"/>
  <c r="E55" i="5"/>
  <c r="U50" i="5"/>
  <c r="W35" i="5"/>
  <c r="I15" i="5"/>
  <c r="O7" i="5"/>
  <c r="E5" i="5"/>
  <c r="W92" i="4"/>
  <c r="O84" i="4"/>
  <c r="I83" i="4"/>
  <c r="E76" i="4"/>
  <c r="O72" i="4"/>
  <c r="W68" i="4"/>
  <c r="O65" i="4"/>
  <c r="O61" i="4"/>
  <c r="O57" i="4"/>
  <c r="O53" i="4"/>
  <c r="E49" i="4"/>
  <c r="I48" i="4"/>
  <c r="E45" i="4"/>
  <c r="I44" i="4"/>
  <c r="E41" i="4"/>
  <c r="I40" i="4"/>
  <c r="U23" i="6"/>
  <c r="S16" i="6"/>
  <c r="E93" i="5"/>
  <c r="I84" i="5"/>
  <c r="U67" i="5"/>
  <c r="I52" i="5"/>
  <c r="E42" i="5"/>
  <c r="O37" i="5"/>
  <c r="U35" i="5"/>
  <c r="U24" i="5"/>
  <c r="I17" i="5"/>
  <c r="I13" i="5"/>
  <c r="S11" i="5"/>
  <c r="E9" i="5"/>
  <c r="U4" i="5"/>
  <c r="W95" i="4"/>
  <c r="O81" i="4"/>
  <c r="E75" i="4"/>
  <c r="O71" i="4"/>
  <c r="W67" i="4"/>
  <c r="W63" i="4"/>
  <c r="W59" i="4"/>
  <c r="W55" i="4"/>
  <c r="O50" i="4"/>
  <c r="O46" i="4"/>
  <c r="O42" i="4"/>
  <c r="O38" i="4"/>
  <c r="O34" i="4"/>
  <c r="W49" i="6"/>
  <c r="I42" i="6"/>
  <c r="E4" i="6"/>
  <c r="E84" i="5"/>
  <c r="S78" i="5"/>
  <c r="I62" i="5"/>
  <c r="W41" i="5"/>
  <c r="S39" i="5"/>
  <c r="W33" i="5"/>
  <c r="U31" i="5"/>
  <c r="I28" i="5"/>
  <c r="S24" i="5"/>
  <c r="W22" i="5"/>
  <c r="W18" i="5"/>
  <c r="U16" i="5"/>
  <c r="W12" i="5"/>
  <c r="U8" i="5"/>
  <c r="E6" i="5"/>
  <c r="O4" i="5"/>
  <c r="W89" i="4"/>
  <c r="O88" i="4"/>
  <c r="I87" i="4"/>
  <c r="W75" i="4"/>
  <c r="O70" i="4"/>
  <c r="E67" i="4"/>
  <c r="I66" i="4"/>
  <c r="E63" i="4"/>
  <c r="I62" i="4"/>
  <c r="E59" i="4"/>
  <c r="I58" i="4"/>
  <c r="E55" i="4"/>
  <c r="I54" i="4"/>
  <c r="I62" i="6"/>
  <c r="E46" i="6"/>
  <c r="U37" i="6"/>
  <c r="I27" i="6"/>
  <c r="W11" i="6"/>
  <c r="I75" i="5"/>
  <c r="E73" i="5"/>
  <c r="I70" i="5"/>
  <c r="E52" i="5"/>
  <c r="U49" i="5"/>
  <c r="S47" i="5"/>
  <c r="E46" i="5"/>
  <c r="O39" i="5"/>
  <c r="O35" i="5"/>
  <c r="O31" i="5"/>
  <c r="S22" i="5"/>
  <c r="S20" i="5"/>
  <c r="O18" i="5"/>
  <c r="O16" i="5"/>
  <c r="E10" i="5"/>
  <c r="O8" i="5"/>
  <c r="O85" i="4"/>
  <c r="E80" i="4"/>
  <c r="O77" i="4"/>
  <c r="O68" i="4"/>
  <c r="O64" i="4"/>
  <c r="O60" i="4"/>
  <c r="O56" i="4"/>
  <c r="O52" i="4"/>
  <c r="E48" i="4"/>
  <c r="I18" i="6"/>
  <c r="I6" i="6"/>
  <c r="I91" i="5"/>
  <c r="S82" i="5"/>
  <c r="I80" i="5"/>
  <c r="U76" i="5"/>
  <c r="U71" i="5"/>
  <c r="E69" i="5"/>
  <c r="U40" i="5"/>
  <c r="U36" i="5"/>
  <c r="U34" i="5"/>
  <c r="U21" i="5"/>
  <c r="U15" i="5"/>
  <c r="U13" i="5"/>
  <c r="U10" i="5"/>
  <c r="S6" i="5"/>
  <c r="U3" i="5"/>
  <c r="W84" i="4"/>
  <c r="I78" i="4"/>
  <c r="E72" i="4"/>
  <c r="E70" i="4"/>
  <c r="I68" i="4"/>
  <c r="E65" i="4"/>
  <c r="I64" i="4"/>
  <c r="E61" i="4"/>
  <c r="I60" i="4"/>
  <c r="E57" i="4"/>
  <c r="I56" i="4"/>
  <c r="S39" i="6"/>
  <c r="U13" i="6"/>
  <c r="E94" i="5"/>
  <c r="S87" i="5"/>
  <c r="E85" i="5"/>
  <c r="S60" i="5"/>
  <c r="E47" i="5"/>
  <c r="I27" i="5"/>
  <c r="U23" i="5"/>
  <c r="S21" i="5"/>
  <c r="S19" i="5"/>
  <c r="O17" i="5"/>
  <c r="O13" i="5"/>
  <c r="E12" i="5"/>
  <c r="S10" i="5"/>
  <c r="U7" i="5"/>
  <c r="E92" i="4"/>
  <c r="W87" i="4"/>
  <c r="E77" i="4"/>
  <c r="I76" i="4"/>
  <c r="W72" i="4"/>
  <c r="W70" i="4"/>
  <c r="O66" i="4"/>
  <c r="O62" i="4"/>
  <c r="O58" i="4"/>
  <c r="O54" i="4"/>
  <c r="E50" i="4"/>
  <c r="I49" i="4"/>
  <c r="E43" i="6"/>
  <c r="U16" i="6"/>
  <c r="I88" i="5"/>
  <c r="W63" i="5"/>
  <c r="O9" i="5"/>
  <c r="W6" i="5"/>
  <c r="O89" i="4"/>
  <c r="O76" i="4"/>
  <c r="E66" i="4"/>
  <c r="I61" i="4"/>
  <c r="W57" i="4"/>
  <c r="W50" i="4"/>
  <c r="I46" i="4"/>
  <c r="O40" i="4"/>
  <c r="W36" i="4"/>
  <c r="E36" i="4"/>
  <c r="O32" i="4"/>
  <c r="W27" i="4"/>
  <c r="W23" i="4"/>
  <c r="W19" i="4"/>
  <c r="W15" i="4"/>
  <c r="W11" i="4"/>
  <c r="W7" i="4"/>
  <c r="E93" i="3"/>
  <c r="I92" i="3"/>
  <c r="E89" i="3"/>
  <c r="I88" i="3"/>
  <c r="S91" i="5"/>
  <c r="S83" i="5"/>
  <c r="O22" i="5"/>
  <c r="U11" i="5"/>
  <c r="E84" i="4"/>
  <c r="O67" i="4"/>
  <c r="E56" i="4"/>
  <c r="I45" i="4"/>
  <c r="O39" i="4"/>
  <c r="I34" i="4"/>
  <c r="E27" i="4"/>
  <c r="I26" i="4"/>
  <c r="E23" i="4"/>
  <c r="I22" i="4"/>
  <c r="E19" i="4"/>
  <c r="I18" i="4"/>
  <c r="E15" i="4"/>
  <c r="I14" i="4"/>
  <c r="E11" i="4"/>
  <c r="I10" i="4"/>
  <c r="E7" i="4"/>
  <c r="I6" i="4"/>
  <c r="E3" i="4"/>
  <c r="O94" i="3"/>
  <c r="O90" i="3"/>
  <c r="O86" i="3"/>
  <c r="O82" i="3"/>
  <c r="O78" i="3"/>
  <c r="O91" i="5"/>
  <c r="I72" i="5"/>
  <c r="W58" i="5"/>
  <c r="U25" i="5"/>
  <c r="U6" i="5"/>
  <c r="I4" i="5"/>
  <c r="W93" i="4"/>
  <c r="E73" i="4"/>
  <c r="W65" i="4"/>
  <c r="I59" i="4"/>
  <c r="E53" i="4"/>
  <c r="E47" i="4"/>
  <c r="I43" i="4"/>
  <c r="W35" i="4"/>
  <c r="E35" i="4"/>
  <c r="O31" i="4"/>
  <c r="O28" i="4"/>
  <c r="O24" i="4"/>
  <c r="O20" i="4"/>
  <c r="O16" i="4"/>
  <c r="O12" i="4"/>
  <c r="O8" i="4"/>
  <c r="O4" i="4"/>
  <c r="W88" i="3"/>
  <c r="I37" i="6"/>
  <c r="W31" i="6"/>
  <c r="W66" i="5"/>
  <c r="I55" i="5"/>
  <c r="U31" i="6"/>
  <c r="E83" i="5"/>
  <c r="O58" i="5"/>
  <c r="I18" i="5"/>
  <c r="O3" i="5"/>
  <c r="I91" i="4"/>
  <c r="W80" i="4"/>
  <c r="E71" i="4"/>
  <c r="I69" i="4"/>
  <c r="I67" i="4"/>
  <c r="O55" i="4"/>
  <c r="W46" i="4"/>
  <c r="W44" i="4"/>
  <c r="I41" i="4"/>
  <c r="W34" i="4"/>
  <c r="E34" i="4"/>
  <c r="I29" i="4"/>
  <c r="E26" i="4"/>
  <c r="I25" i="4"/>
  <c r="E22" i="4"/>
  <c r="I21" i="4"/>
  <c r="E18" i="4"/>
  <c r="I17" i="4"/>
  <c r="E14" i="4"/>
  <c r="I13" i="4"/>
  <c r="E10" i="4"/>
  <c r="I9" i="4"/>
  <c r="E6" i="4"/>
  <c r="I5" i="4"/>
  <c r="W81" i="6"/>
  <c r="W64" i="6"/>
  <c r="I24" i="6"/>
  <c r="I15" i="6"/>
  <c r="I95" i="5"/>
  <c r="O33" i="5"/>
  <c r="O93" i="4"/>
  <c r="W66" i="4"/>
  <c r="E62" i="4"/>
  <c r="I57" i="4"/>
  <c r="W53" i="4"/>
  <c r="W48" i="4"/>
  <c r="W43" i="4"/>
  <c r="E43" i="4"/>
  <c r="I39" i="4"/>
  <c r="O36" i="4"/>
  <c r="I32" i="4"/>
  <c r="O27" i="4"/>
  <c r="O23" i="4"/>
  <c r="O19" i="4"/>
  <c r="O15" i="4"/>
  <c r="O11" i="4"/>
  <c r="O7" i="4"/>
  <c r="O3" i="4"/>
  <c r="W95" i="3"/>
  <c r="W91" i="3"/>
  <c r="W87" i="3"/>
  <c r="S49" i="5"/>
  <c r="O29" i="5"/>
  <c r="W23" i="5"/>
  <c r="E16" i="5"/>
  <c r="O12" i="5"/>
  <c r="I95" i="4"/>
  <c r="E68" i="4"/>
  <c r="W62" i="4"/>
  <c r="E58" i="4"/>
  <c r="E52" i="4"/>
  <c r="O43" i="4"/>
  <c r="W38" i="4"/>
  <c r="I36" i="4"/>
  <c r="O33" i="4"/>
  <c r="E28" i="4"/>
  <c r="I27" i="4"/>
  <c r="E24" i="4"/>
  <c r="I23" i="4"/>
  <c r="E20" i="4"/>
  <c r="I19" i="4"/>
  <c r="E16" i="4"/>
  <c r="I15" i="4"/>
  <c r="E12" i="4"/>
  <c r="I11" i="4"/>
  <c r="E8" i="4"/>
  <c r="I7" i="4"/>
  <c r="E4" i="4"/>
  <c r="I3" i="4"/>
  <c r="S85" i="5"/>
  <c r="I73" i="4"/>
  <c r="I65" i="4"/>
  <c r="E60" i="4"/>
  <c r="O35" i="4"/>
  <c r="W33" i="4"/>
  <c r="W29" i="4"/>
  <c r="W22" i="4"/>
  <c r="O21" i="4"/>
  <c r="I20" i="4"/>
  <c r="W94" i="3"/>
  <c r="W93" i="3"/>
  <c r="O91" i="3"/>
  <c r="E87" i="3"/>
  <c r="I85" i="3"/>
  <c r="I78" i="3"/>
  <c r="O76" i="3"/>
  <c r="E72" i="3"/>
  <c r="I71" i="3"/>
  <c r="E68" i="3"/>
  <c r="I67" i="3"/>
  <c r="E64" i="3"/>
  <c r="I63" i="3"/>
  <c r="U40" i="6"/>
  <c r="E22" i="6"/>
  <c r="O85" i="5"/>
  <c r="W60" i="5"/>
  <c r="I26" i="5"/>
  <c r="I16" i="5"/>
  <c r="I8" i="5"/>
  <c r="O92" i="4"/>
  <c r="I70" i="4"/>
  <c r="O48" i="4"/>
  <c r="O41" i="4"/>
  <c r="E40" i="4"/>
  <c r="I37" i="4"/>
  <c r="E31" i="4"/>
  <c r="O18" i="4"/>
  <c r="E13" i="4"/>
  <c r="W8" i="4"/>
  <c r="O92" i="3"/>
  <c r="E88" i="3"/>
  <c r="E86" i="3"/>
  <c r="W79" i="3"/>
  <c r="E79" i="3"/>
  <c r="O73" i="3"/>
  <c r="O69" i="3"/>
  <c r="O65" i="3"/>
  <c r="O61" i="3"/>
  <c r="E90" i="5"/>
  <c r="I47" i="5"/>
  <c r="W42" i="5"/>
  <c r="E54" i="4"/>
  <c r="W47" i="4"/>
  <c r="E46" i="4"/>
  <c r="E32" i="4"/>
  <c r="O29" i="4"/>
  <c r="I28" i="4"/>
  <c r="W13" i="4"/>
  <c r="W6" i="4"/>
  <c r="O5" i="4"/>
  <c r="I4" i="4"/>
  <c r="W84" i="3"/>
  <c r="E84" i="3"/>
  <c r="O80" i="3"/>
  <c r="O72" i="3"/>
  <c r="O68" i="3"/>
  <c r="O64" i="3"/>
  <c r="O60" i="3"/>
  <c r="O56" i="3"/>
  <c r="O52" i="3"/>
  <c r="E48" i="3"/>
  <c r="I47" i="3"/>
  <c r="E44" i="3"/>
  <c r="I43" i="3"/>
  <c r="E40" i="3"/>
  <c r="I39" i="3"/>
  <c r="E36" i="3"/>
  <c r="I35" i="3"/>
  <c r="E54" i="5"/>
  <c r="I72" i="4"/>
  <c r="E64" i="4"/>
  <c r="W58" i="4"/>
  <c r="O26" i="4"/>
  <c r="E21" i="4"/>
  <c r="W16" i="4"/>
  <c r="O95" i="3"/>
  <c r="E91" i="3"/>
  <c r="E90" i="3"/>
  <c r="I82" i="3"/>
  <c r="W77" i="3"/>
  <c r="E77" i="3"/>
  <c r="I76" i="3"/>
  <c r="W70" i="3"/>
  <c r="W66" i="3"/>
  <c r="W62" i="3"/>
  <c r="W58" i="3"/>
  <c r="W54" i="3"/>
  <c r="O49" i="3"/>
  <c r="O45" i="3"/>
  <c r="O41" i="3"/>
  <c r="O37" i="3"/>
  <c r="U22" i="6"/>
  <c r="W81" i="5"/>
  <c r="E57" i="5"/>
  <c r="O75" i="4"/>
  <c r="I71" i="4"/>
  <c r="I55" i="4"/>
  <c r="E39" i="4"/>
  <c r="I31" i="4"/>
  <c r="W25" i="4"/>
  <c r="W18" i="4"/>
  <c r="O17" i="4"/>
  <c r="I16" i="4"/>
  <c r="E95" i="3"/>
  <c r="E94" i="3"/>
  <c r="I87" i="3"/>
  <c r="I86" i="3"/>
  <c r="W81" i="3"/>
  <c r="E81" i="3"/>
  <c r="I79" i="3"/>
  <c r="W75" i="3"/>
  <c r="O70" i="3"/>
  <c r="O66" i="3"/>
  <c r="O62" i="3"/>
  <c r="O58" i="3"/>
  <c r="O54" i="3"/>
  <c r="E50" i="3"/>
  <c r="I49" i="3"/>
  <c r="E46" i="3"/>
  <c r="I45" i="3"/>
  <c r="E42" i="3"/>
  <c r="I41" i="3"/>
  <c r="I86" i="5"/>
  <c r="W54" i="4"/>
  <c r="W41" i="4"/>
  <c r="W28" i="4"/>
  <c r="O14" i="4"/>
  <c r="E9" i="4"/>
  <c r="W4" i="4"/>
  <c r="O83" i="3"/>
  <c r="W80" i="3"/>
  <c r="E80" i="3"/>
  <c r="E75" i="3"/>
  <c r="W72" i="3"/>
  <c r="W68" i="3"/>
  <c r="W64" i="3"/>
  <c r="W60" i="3"/>
  <c r="W56" i="3"/>
  <c r="W52" i="3"/>
  <c r="O47" i="3"/>
  <c r="O43" i="3"/>
  <c r="O39" i="3"/>
  <c r="O35" i="3"/>
  <c r="O31" i="3"/>
  <c r="S12" i="5"/>
  <c r="I9" i="5"/>
  <c r="E42" i="4"/>
  <c r="E37" i="4"/>
  <c r="I12" i="4"/>
  <c r="E85" i="3"/>
  <c r="I69" i="3"/>
  <c r="E65" i="3"/>
  <c r="E62" i="3"/>
  <c r="E56" i="3"/>
  <c r="O50" i="3"/>
  <c r="O42" i="3"/>
  <c r="E34" i="3"/>
  <c r="I32" i="3"/>
  <c r="W29" i="3"/>
  <c r="I28" i="3"/>
  <c r="E25" i="3"/>
  <c r="I24" i="3"/>
  <c r="E21" i="3"/>
  <c r="I20" i="3"/>
  <c r="E17" i="3"/>
  <c r="I16" i="3"/>
  <c r="E13" i="3"/>
  <c r="I12" i="3"/>
  <c r="E9" i="3"/>
  <c r="I8" i="3"/>
  <c r="W77" i="4"/>
  <c r="O63" i="4"/>
  <c r="I53" i="4"/>
  <c r="I47" i="4"/>
  <c r="E44" i="4"/>
  <c r="W31" i="4"/>
  <c r="O9" i="4"/>
  <c r="I94" i="3"/>
  <c r="E92" i="3"/>
  <c r="W78" i="3"/>
  <c r="E76" i="3"/>
  <c r="I72" i="3"/>
  <c r="I48" i="3"/>
  <c r="E47" i="3"/>
  <c r="I40" i="3"/>
  <c r="E39" i="3"/>
  <c r="E37" i="3"/>
  <c r="W35" i="3"/>
  <c r="W34" i="3"/>
  <c r="W33" i="3"/>
  <c r="E33" i="3"/>
  <c r="E29" i="3"/>
  <c r="O26" i="3"/>
  <c r="O22" i="3"/>
  <c r="O18" i="3"/>
  <c r="O14" i="3"/>
  <c r="O10" i="3"/>
  <c r="O6" i="3"/>
  <c r="W94" i="2"/>
  <c r="W90" i="2"/>
  <c r="I37" i="5"/>
  <c r="I50" i="4"/>
  <c r="E5" i="4"/>
  <c r="I90" i="3"/>
  <c r="O88" i="3"/>
  <c r="E82" i="3"/>
  <c r="I77" i="3"/>
  <c r="W71" i="3"/>
  <c r="O67" i="3"/>
  <c r="I66" i="3"/>
  <c r="W61" i="3"/>
  <c r="I59" i="3"/>
  <c r="I58" i="3"/>
  <c r="E57" i="3"/>
  <c r="W55" i="3"/>
  <c r="O53" i="3"/>
  <c r="E38" i="3"/>
  <c r="I31" i="3"/>
  <c r="W24" i="3"/>
  <c r="W20" i="3"/>
  <c r="W16" i="3"/>
  <c r="W12" i="3"/>
  <c r="W8" i="3"/>
  <c r="W4" i="3"/>
  <c r="E94" i="2"/>
  <c r="I93" i="2"/>
  <c r="O45" i="5"/>
  <c r="S7" i="5"/>
  <c r="O59" i="4"/>
  <c r="W40" i="4"/>
  <c r="E25" i="4"/>
  <c r="O22" i="4"/>
  <c r="W17" i="4"/>
  <c r="I73" i="3"/>
  <c r="E69" i="3"/>
  <c r="E66" i="3"/>
  <c r="E63" i="3"/>
  <c r="E58" i="3"/>
  <c r="W46" i="3"/>
  <c r="O44" i="3"/>
  <c r="W38" i="3"/>
  <c r="W36" i="3"/>
  <c r="W32" i="3"/>
  <c r="E32" i="3"/>
  <c r="W28" i="3"/>
  <c r="E28" i="3"/>
  <c r="I27" i="3"/>
  <c r="E24" i="3"/>
  <c r="I23" i="3"/>
  <c r="E20" i="3"/>
  <c r="I19" i="3"/>
  <c r="E16" i="3"/>
  <c r="I15" i="3"/>
  <c r="E12" i="3"/>
  <c r="I11" i="3"/>
  <c r="E8" i="3"/>
  <c r="E19" i="6"/>
  <c r="W53" i="5"/>
  <c r="W76" i="4"/>
  <c r="W73" i="4"/>
  <c r="I63" i="4"/>
  <c r="O49" i="4"/>
  <c r="O13" i="4"/>
  <c r="O93" i="3"/>
  <c r="O84" i="3"/>
  <c r="I83" i="3"/>
  <c r="O81" i="3"/>
  <c r="O75" i="3"/>
  <c r="I50" i="3"/>
  <c r="E49" i="3"/>
  <c r="W47" i="3"/>
  <c r="I42" i="3"/>
  <c r="E41" i="3"/>
  <c r="W39" i="3"/>
  <c r="O25" i="3"/>
  <c r="O21" i="3"/>
  <c r="O17" i="3"/>
  <c r="O13" i="3"/>
  <c r="O9" i="3"/>
  <c r="O5" i="3"/>
  <c r="W93" i="2"/>
  <c r="O49" i="5"/>
  <c r="W10" i="5"/>
  <c r="I52" i="4"/>
  <c r="I38" i="4"/>
  <c r="I33" i="4"/>
  <c r="W26" i="4"/>
  <c r="W24" i="4"/>
  <c r="W10" i="4"/>
  <c r="O6" i="4"/>
  <c r="W89" i="3"/>
  <c r="E83" i="3"/>
  <c r="I80" i="3"/>
  <c r="W76" i="3"/>
  <c r="O71" i="3"/>
  <c r="I70" i="3"/>
  <c r="W65" i="3"/>
  <c r="I60" i="3"/>
  <c r="E59" i="3"/>
  <c r="W57" i="3"/>
  <c r="O55" i="3"/>
  <c r="I53" i="3"/>
  <c r="I52" i="3"/>
  <c r="O34" i="3"/>
  <c r="W31" i="3"/>
  <c r="E31" i="3"/>
  <c r="O29" i="3"/>
  <c r="W27" i="3"/>
  <c r="W23" i="3"/>
  <c r="W19" i="3"/>
  <c r="W15" i="3"/>
  <c r="W11" i="3"/>
  <c r="W7" i="3"/>
  <c r="W3" i="3"/>
  <c r="O20" i="5"/>
  <c r="O45" i="4"/>
  <c r="E38" i="4"/>
  <c r="E33" i="4"/>
  <c r="I24" i="5"/>
  <c r="O44" i="4"/>
  <c r="W39" i="4"/>
  <c r="E17" i="4"/>
  <c r="I89" i="3"/>
  <c r="I68" i="3"/>
  <c r="I46" i="3"/>
  <c r="E45" i="3"/>
  <c r="W43" i="3"/>
  <c r="I36" i="3"/>
  <c r="I29" i="3"/>
  <c r="O27" i="3"/>
  <c r="O23" i="3"/>
  <c r="O19" i="3"/>
  <c r="O15" i="3"/>
  <c r="O11" i="3"/>
  <c r="O7" i="3"/>
  <c r="O3" i="3"/>
  <c r="W95" i="2"/>
  <c r="O5" i="5"/>
  <c r="W79" i="4"/>
  <c r="I42" i="4"/>
  <c r="W12" i="4"/>
  <c r="I91" i="3"/>
  <c r="W82" i="3"/>
  <c r="W67" i="3"/>
  <c r="I65" i="3"/>
  <c r="I56" i="3"/>
  <c r="W53" i="3"/>
  <c r="I34" i="3"/>
  <c r="E14" i="3"/>
  <c r="I7" i="3"/>
  <c r="E6" i="3"/>
  <c r="I95" i="2"/>
  <c r="I94" i="2"/>
  <c r="O90" i="2"/>
  <c r="E88" i="2"/>
  <c r="O85" i="2"/>
  <c r="O81" i="2"/>
  <c r="O77" i="2"/>
  <c r="E73" i="2"/>
  <c r="I72" i="2"/>
  <c r="E69" i="2"/>
  <c r="I68" i="2"/>
  <c r="E65" i="2"/>
  <c r="I64" i="2"/>
  <c r="E61" i="2"/>
  <c r="I60" i="2"/>
  <c r="E57" i="2"/>
  <c r="I56" i="2"/>
  <c r="E53" i="2"/>
  <c r="I52" i="2"/>
  <c r="W50" i="2"/>
  <c r="W42" i="2"/>
  <c r="W34" i="2"/>
  <c r="O29" i="2"/>
  <c r="O25" i="2"/>
  <c r="W32" i="4"/>
  <c r="O77" i="3"/>
  <c r="I75" i="3"/>
  <c r="E73" i="3"/>
  <c r="E60" i="3"/>
  <c r="W49" i="3"/>
  <c r="O28" i="3"/>
  <c r="W26" i="3"/>
  <c r="I17" i="3"/>
  <c r="W13" i="3"/>
  <c r="E7" i="3"/>
  <c r="W5" i="3"/>
  <c r="O4" i="3"/>
  <c r="I3" i="3"/>
  <c r="E93" i="2"/>
  <c r="I92" i="2"/>
  <c r="W83" i="2"/>
  <c r="W75" i="2"/>
  <c r="O70" i="2"/>
  <c r="O66" i="2"/>
  <c r="O62" i="2"/>
  <c r="O58" i="2"/>
  <c r="O54" i="2"/>
  <c r="I49" i="2"/>
  <c r="E46" i="2"/>
  <c r="I45" i="2"/>
  <c r="E42" i="2"/>
  <c r="I41" i="2"/>
  <c r="E38" i="2"/>
  <c r="I37" i="2"/>
  <c r="E34" i="2"/>
  <c r="I33" i="2"/>
  <c r="W27" i="2"/>
  <c r="W23" i="2"/>
  <c r="W19" i="2"/>
  <c r="W15" i="2"/>
  <c r="W11" i="2"/>
  <c r="W7" i="2"/>
  <c r="W3" i="2"/>
  <c r="W83" i="4"/>
  <c r="W90" i="3"/>
  <c r="E70" i="3"/>
  <c r="E43" i="3"/>
  <c r="W40" i="3"/>
  <c r="O38" i="3"/>
  <c r="O33" i="3"/>
  <c r="E22" i="3"/>
  <c r="E15" i="3"/>
  <c r="I10" i="3"/>
  <c r="O8" i="3"/>
  <c r="E3" i="3"/>
  <c r="O89" i="2"/>
  <c r="E87" i="2"/>
  <c r="I86" i="2"/>
  <c r="E83" i="2"/>
  <c r="I82" i="2"/>
  <c r="E79" i="2"/>
  <c r="I78" i="2"/>
  <c r="E75" i="2"/>
  <c r="W72" i="2"/>
  <c r="W68" i="2"/>
  <c r="W64" i="2"/>
  <c r="W60" i="2"/>
  <c r="W56" i="2"/>
  <c r="W52" i="2"/>
  <c r="O47" i="2"/>
  <c r="O43" i="2"/>
  <c r="O39" i="2"/>
  <c r="O35" i="2"/>
  <c r="O31" i="2"/>
  <c r="E27" i="2"/>
  <c r="I26" i="2"/>
  <c r="E23" i="2"/>
  <c r="I22" i="2"/>
  <c r="E19" i="2"/>
  <c r="I18" i="2"/>
  <c r="E15" i="2"/>
  <c r="I14" i="2"/>
  <c r="O87" i="3"/>
  <c r="O79" i="3"/>
  <c r="E67" i="3"/>
  <c r="I62" i="3"/>
  <c r="W59" i="3"/>
  <c r="I55" i="3"/>
  <c r="I25" i="3"/>
  <c r="W21" i="3"/>
  <c r="W6" i="3"/>
  <c r="E95" i="2"/>
  <c r="W92" i="2"/>
  <c r="I91" i="2"/>
  <c r="O84" i="2"/>
  <c r="O80" i="2"/>
  <c r="O76" i="2"/>
  <c r="E72" i="2"/>
  <c r="I71" i="2"/>
  <c r="E68" i="2"/>
  <c r="I67" i="2"/>
  <c r="E64" i="2"/>
  <c r="I63" i="2"/>
  <c r="E60" i="2"/>
  <c r="I59" i="2"/>
  <c r="E56" i="2"/>
  <c r="I55" i="2"/>
  <c r="E52" i="2"/>
  <c r="W49" i="2"/>
  <c r="W45" i="2"/>
  <c r="W41" i="2"/>
  <c r="W37" i="2"/>
  <c r="W33" i="2"/>
  <c r="O28" i="2"/>
  <c r="O24" i="2"/>
  <c r="O25" i="4"/>
  <c r="I8" i="4"/>
  <c r="W69" i="3"/>
  <c r="O57" i="3"/>
  <c r="W42" i="3"/>
  <c r="E23" i="3"/>
  <c r="I18" i="3"/>
  <c r="O16" i="3"/>
  <c r="W14" i="3"/>
  <c r="E92" i="2"/>
  <c r="O88" i="2"/>
  <c r="W86" i="2"/>
  <c r="W82" i="2"/>
  <c r="W78" i="2"/>
  <c r="O73" i="2"/>
  <c r="O69" i="2"/>
  <c r="O65" i="2"/>
  <c r="O61" i="2"/>
  <c r="O57" i="2"/>
  <c r="O53" i="2"/>
  <c r="E49" i="2"/>
  <c r="E45" i="2"/>
  <c r="E41" i="2"/>
  <c r="E37" i="2"/>
  <c r="E33" i="2"/>
  <c r="I32" i="2"/>
  <c r="W26" i="2"/>
  <c r="W22" i="2"/>
  <c r="W18" i="2"/>
  <c r="W14" i="2"/>
  <c r="W10" i="2"/>
  <c r="E88" i="4"/>
  <c r="W21" i="4"/>
  <c r="W14" i="4"/>
  <c r="I84" i="3"/>
  <c r="I64" i="3"/>
  <c r="O59" i="3"/>
  <c r="E55" i="3"/>
  <c r="E53" i="3"/>
  <c r="O46" i="3"/>
  <c r="O40" i="3"/>
  <c r="I38" i="3"/>
  <c r="E10" i="3"/>
  <c r="I4" i="3"/>
  <c r="I90" i="2"/>
  <c r="E86" i="2"/>
  <c r="I85" i="2"/>
  <c r="E82" i="2"/>
  <c r="I81" i="2"/>
  <c r="E78" i="2"/>
  <c r="I77" i="2"/>
  <c r="W71" i="2"/>
  <c r="W67" i="2"/>
  <c r="W59" i="2"/>
  <c r="W55" i="2"/>
  <c r="O50" i="2"/>
  <c r="O46" i="2"/>
  <c r="O42" i="2"/>
  <c r="O38" i="2"/>
  <c r="O34" i="2"/>
  <c r="I29" i="2"/>
  <c r="E26" i="2"/>
  <c r="I25" i="2"/>
  <c r="E22" i="2"/>
  <c r="I21" i="2"/>
  <c r="E18" i="2"/>
  <c r="I17" i="2"/>
  <c r="E14" i="2"/>
  <c r="I13" i="2"/>
  <c r="U92" i="6"/>
  <c r="E29" i="4"/>
  <c r="I93" i="3"/>
  <c r="W86" i="3"/>
  <c r="W63" i="3"/>
  <c r="I61" i="3"/>
  <c r="W48" i="3"/>
  <c r="I33" i="3"/>
  <c r="I26" i="3"/>
  <c r="O24" i="3"/>
  <c r="W22" i="3"/>
  <c r="I13" i="3"/>
  <c r="W9" i="3"/>
  <c r="E4" i="3"/>
  <c r="W91" i="2"/>
  <c r="E91" i="2"/>
  <c r="I89" i="2"/>
  <c r="O87" i="2"/>
  <c r="O83" i="2"/>
  <c r="O79" i="2"/>
  <c r="O75" i="2"/>
  <c r="E71" i="2"/>
  <c r="I70" i="2"/>
  <c r="E67" i="2"/>
  <c r="I66" i="2"/>
  <c r="E63" i="2"/>
  <c r="I62" i="2"/>
  <c r="E59" i="2"/>
  <c r="I58" i="2"/>
  <c r="E55" i="2"/>
  <c r="I54" i="2"/>
  <c r="W44" i="2"/>
  <c r="W40" i="2"/>
  <c r="W37" i="4"/>
  <c r="E78" i="3"/>
  <c r="W73" i="3"/>
  <c r="E71" i="3"/>
  <c r="I54" i="3"/>
  <c r="E52" i="3"/>
  <c r="I37" i="3"/>
  <c r="W25" i="3"/>
  <c r="E5" i="3"/>
  <c r="O91" i="2"/>
  <c r="W84" i="2"/>
  <c r="W80" i="2"/>
  <c r="W76" i="2"/>
  <c r="O71" i="2"/>
  <c r="O67" i="2"/>
  <c r="O63" i="2"/>
  <c r="O59" i="2"/>
  <c r="O55" i="2"/>
  <c r="I46" i="2"/>
  <c r="E43" i="2"/>
  <c r="I42" i="2"/>
  <c r="E39" i="2"/>
  <c r="I38" i="2"/>
  <c r="E35" i="2"/>
  <c r="I34" i="2"/>
  <c r="E31" i="2"/>
  <c r="W28" i="2"/>
  <c r="W24" i="2"/>
  <c r="W16" i="2"/>
  <c r="W8" i="2"/>
  <c r="W4" i="2"/>
  <c r="O85" i="3"/>
  <c r="I80" i="2"/>
  <c r="W77" i="2"/>
  <c r="O72" i="2"/>
  <c r="I65" i="2"/>
  <c r="W62" i="2"/>
  <c r="W35" i="2"/>
  <c r="O32" i="2"/>
  <c r="W29" i="2"/>
  <c r="E24" i="2"/>
  <c r="O22" i="2"/>
  <c r="O16" i="2"/>
  <c r="E13" i="2"/>
  <c r="E12" i="2"/>
  <c r="I6" i="2"/>
  <c r="O27" i="2"/>
  <c r="E18" i="3"/>
  <c r="E77" i="2"/>
  <c r="E16" i="2"/>
  <c r="O7" i="2"/>
  <c r="W61" i="4"/>
  <c r="I21" i="3"/>
  <c r="O20" i="2"/>
  <c r="O6" i="2"/>
  <c r="O36" i="3"/>
  <c r="I5" i="3"/>
  <c r="W9" i="4"/>
  <c r="I95" i="3"/>
  <c r="E54" i="3"/>
  <c r="W50" i="3"/>
  <c r="O93" i="2"/>
  <c r="E84" i="2"/>
  <c r="I76" i="2"/>
  <c r="O68" i="2"/>
  <c r="I61" i="2"/>
  <c r="W58" i="2"/>
  <c r="O41" i="2"/>
  <c r="I20" i="2"/>
  <c r="W9" i="2"/>
  <c r="E9" i="2"/>
  <c r="E8" i="2"/>
  <c r="E7" i="2"/>
  <c r="B8" i="1" a="1"/>
  <c r="O23" i="2"/>
  <c r="O17" i="2"/>
  <c r="W13" i="2"/>
  <c r="I81" i="3"/>
  <c r="E19" i="3"/>
  <c r="E76" i="2"/>
  <c r="O60" i="2"/>
  <c r="I43" i="2"/>
  <c r="E20" i="2"/>
  <c r="I4" i="2"/>
  <c r="W25" i="2"/>
  <c r="O40" i="2"/>
  <c r="E29" i="2"/>
  <c r="O14" i="2"/>
  <c r="I10" i="2"/>
  <c r="O89" i="3"/>
  <c r="E61" i="3"/>
  <c r="I57" i="3"/>
  <c r="E80" i="2"/>
  <c r="O64" i="2"/>
  <c r="I57" i="2"/>
  <c r="W54" i="2"/>
  <c r="O26" i="2"/>
  <c r="E25" i="2"/>
  <c r="I15" i="2"/>
  <c r="I5" i="2"/>
  <c r="I24" i="4"/>
  <c r="E35" i="3"/>
  <c r="I53" i="2"/>
  <c r="W6" i="2"/>
  <c r="E66" i="2"/>
  <c r="O82" i="2"/>
  <c r="W61" i="2"/>
  <c r="W17" i="3"/>
  <c r="I39" i="2"/>
  <c r="I11" i="2"/>
  <c r="O37" i="4"/>
  <c r="O63" i="3"/>
  <c r="I22" i="3"/>
  <c r="W18" i="3"/>
  <c r="O12" i="3"/>
  <c r="I6" i="3"/>
  <c r="I87" i="2"/>
  <c r="O56" i="2"/>
  <c r="O49" i="2"/>
  <c r="O44" i="2"/>
  <c r="W39" i="2"/>
  <c r="O36" i="2"/>
  <c r="O33" i="2"/>
  <c r="E32" i="2"/>
  <c r="E21" i="2"/>
  <c r="O18" i="2"/>
  <c r="I9" i="3"/>
  <c r="E81" i="2"/>
  <c r="I23" i="2"/>
  <c r="I75" i="2"/>
  <c r="E17" i="2"/>
  <c r="O94" i="2"/>
  <c r="O78" i="2"/>
  <c r="O5" i="2"/>
  <c r="W42" i="4"/>
  <c r="W83" i="3"/>
  <c r="O95" i="2"/>
  <c r="E89" i="2"/>
  <c r="E85" i="2"/>
  <c r="I83" i="2"/>
  <c r="W73" i="2"/>
  <c r="E70" i="2"/>
  <c r="O52" i="2"/>
  <c r="I35" i="2"/>
  <c r="E28" i="2"/>
  <c r="I16" i="2"/>
  <c r="O12" i="2"/>
  <c r="O11" i="2"/>
  <c r="O10" i="2"/>
  <c r="O9" i="2"/>
  <c r="W5" i="2"/>
  <c r="E5" i="2"/>
  <c r="E4" i="2"/>
  <c r="E3" i="2"/>
  <c r="E95" i="5"/>
  <c r="W41" i="3"/>
  <c r="O92" i="2"/>
  <c r="W88" i="2"/>
  <c r="I79" i="2"/>
  <c r="W69" i="2"/>
  <c r="W47" i="2"/>
  <c r="W31" i="2"/>
  <c r="O19" i="2"/>
  <c r="O8" i="2"/>
  <c r="E62" i="2"/>
  <c r="E11" i="3"/>
  <c r="E90" i="2"/>
  <c r="W57" i="2"/>
  <c r="O45" i="2"/>
  <c r="B10" i="1" a="1"/>
  <c r="O10" i="4"/>
  <c r="I44" i="3"/>
  <c r="E27" i="3"/>
  <c r="O20" i="3"/>
  <c r="I14" i="3"/>
  <c r="W85" i="2"/>
  <c r="I73" i="2"/>
  <c r="W70" i="2"/>
  <c r="W53" i="2"/>
  <c r="I27" i="2"/>
  <c r="I24" i="2"/>
  <c r="O21" i="2"/>
  <c r="I19" i="2"/>
  <c r="W17" i="2"/>
  <c r="O15" i="2"/>
  <c r="I12" i="2"/>
  <c r="I9" i="2"/>
  <c r="O4" i="2"/>
  <c r="I3" i="2"/>
  <c r="W21" i="2"/>
  <c r="O13" i="2"/>
  <c r="W65" i="2"/>
  <c r="O37" i="2"/>
  <c r="O48" i="3"/>
  <c r="E54" i="2"/>
  <c r="I35" i="4"/>
  <c r="W85" i="3"/>
  <c r="O32" i="3"/>
  <c r="W10" i="3"/>
  <c r="W89" i="2"/>
  <c r="I88" i="2"/>
  <c r="I84" i="2"/>
  <c r="W81" i="2"/>
  <c r="I69" i="2"/>
  <c r="W66" i="2"/>
  <c r="O48" i="2"/>
  <c r="W43" i="2"/>
  <c r="I31" i="2"/>
  <c r="E11" i="2"/>
  <c r="E10" i="2"/>
  <c r="I8" i="2"/>
  <c r="I7" i="2"/>
  <c r="O3" i="2"/>
  <c r="B9" i="1" a="1"/>
  <c r="E26" i="3"/>
  <c r="I28" i="2"/>
  <c r="E6" i="2"/>
  <c r="B7" i="1" a="1"/>
  <c r="O86" i="2"/>
  <c r="E58" i="2"/>
  <c r="W81" i="4"/>
  <c r="W91" i="4"/>
  <c r="W3" i="4"/>
  <c r="W85" i="4"/>
  <c r="W92" i="3"/>
  <c r="W45" i="4"/>
  <c r="W49" i="4"/>
  <c r="W20" i="4"/>
  <c r="W45" i="3"/>
  <c r="W44" i="3"/>
  <c r="W5" i="4"/>
  <c r="W38" i="2"/>
  <c r="W87" i="2"/>
  <c r="W79" i="2"/>
  <c r="W46" i="2"/>
  <c r="W36" i="2"/>
  <c r="W37" i="3"/>
  <c r="W63" i="2"/>
  <c r="W12" i="2"/>
  <c r="W20" i="2"/>
  <c r="W48" i="2"/>
  <c r="W32" i="2"/>
  <c r="F58" i="2" l="1"/>
  <c r="G58" i="2" s="1"/>
  <c r="X86" i="2"/>
  <c r="B7" i="1"/>
  <c r="F6" i="2"/>
  <c r="G6" i="2" s="1"/>
  <c r="J28" i="2"/>
  <c r="K28" i="2" s="1"/>
  <c r="F26" i="3"/>
  <c r="G26" i="3" s="1"/>
  <c r="B9" i="1"/>
  <c r="O30" i="2"/>
  <c r="X3" i="2"/>
  <c r="J7" i="2"/>
  <c r="K7" i="2" s="1"/>
  <c r="J8" i="2"/>
  <c r="K8" i="2" s="1"/>
  <c r="F10" i="2"/>
  <c r="G10" i="2" s="1"/>
  <c r="F11" i="2"/>
  <c r="G11" i="2" s="1"/>
  <c r="I51" i="2"/>
  <c r="J31" i="2"/>
  <c r="X48" i="2"/>
  <c r="J69" i="2"/>
  <c r="K69" i="2" s="1"/>
  <c r="J84" i="2"/>
  <c r="K84" i="2" s="1"/>
  <c r="J88" i="2"/>
  <c r="K88" i="2" s="1"/>
  <c r="X32" i="3"/>
  <c r="J35" i="4"/>
  <c r="K35" i="4" s="1"/>
  <c r="F54" i="2"/>
  <c r="G54" i="2" s="1"/>
  <c r="X48" i="3"/>
  <c r="X37" i="2"/>
  <c r="X13" i="2"/>
  <c r="J3" i="2"/>
  <c r="I30" i="2"/>
  <c r="X4" i="2"/>
  <c r="J9" i="2"/>
  <c r="K9" i="2" s="1"/>
  <c r="J12" i="2"/>
  <c r="K12" i="2" s="1"/>
  <c r="X15" i="2"/>
  <c r="J19" i="2"/>
  <c r="K19" i="2" s="1"/>
  <c r="X21" i="2"/>
  <c r="J24" i="2"/>
  <c r="K24" i="2" s="1"/>
  <c r="J27" i="2"/>
  <c r="K27" i="2" s="1"/>
  <c r="J73" i="2"/>
  <c r="K73" i="2" s="1"/>
  <c r="J14" i="3"/>
  <c r="K14" i="3" s="1"/>
  <c r="X20" i="3"/>
  <c r="F27" i="3"/>
  <c r="G27" i="3" s="1"/>
  <c r="J44" i="3"/>
  <c r="K44" i="3" s="1"/>
  <c r="X10" i="4"/>
  <c r="B10" i="1"/>
  <c r="X45" i="2"/>
  <c r="F90" i="2"/>
  <c r="G90" i="2" s="1"/>
  <c r="F11" i="3"/>
  <c r="G11" i="3" s="1"/>
  <c r="F62" i="2"/>
  <c r="G62" i="2" s="1"/>
  <c r="X8" i="2"/>
  <c r="X19" i="2"/>
  <c r="J79" i="2"/>
  <c r="K79" i="2" s="1"/>
  <c r="X92" i="2"/>
  <c r="F95" i="5"/>
  <c r="G95" i="5" s="1"/>
  <c r="F3" i="2"/>
  <c r="E30" i="2"/>
  <c r="F4" i="2"/>
  <c r="G4" i="2" s="1"/>
  <c r="F5" i="2"/>
  <c r="G5" i="2" s="1"/>
  <c r="X9" i="2"/>
  <c r="X10" i="2"/>
  <c r="X11" i="2"/>
  <c r="X12" i="2"/>
  <c r="J16" i="2"/>
  <c r="K16" i="2" s="1"/>
  <c r="F28" i="2"/>
  <c r="G28" i="2" s="1"/>
  <c r="J35" i="2"/>
  <c r="K35" i="2" s="1"/>
  <c r="X52" i="2"/>
  <c r="O74" i="2"/>
  <c r="F70" i="2"/>
  <c r="G70" i="2" s="1"/>
  <c r="J83" i="2"/>
  <c r="K83" i="2" s="1"/>
  <c r="F85" i="2"/>
  <c r="G85" i="2" s="1"/>
  <c r="F89" i="2"/>
  <c r="G89" i="2" s="1"/>
  <c r="X95" i="2"/>
  <c r="X5" i="2"/>
  <c r="X78" i="2"/>
  <c r="X94" i="2"/>
  <c r="F17" i="2"/>
  <c r="G17" i="2" s="1"/>
  <c r="I96" i="2"/>
  <c r="J75" i="2"/>
  <c r="J23" i="2"/>
  <c r="K23" i="2" s="1"/>
  <c r="F81" i="2"/>
  <c r="G81" i="2" s="1"/>
  <c r="J9" i="3"/>
  <c r="K9" i="3" s="1"/>
  <c r="X18" i="2"/>
  <c r="F21" i="2"/>
  <c r="G21" i="2" s="1"/>
  <c r="F32" i="2"/>
  <c r="G32" i="2" s="1"/>
  <c r="X33" i="2"/>
  <c r="X36" i="2"/>
  <c r="X44" i="2"/>
  <c r="X49" i="2"/>
  <c r="X56" i="2"/>
  <c r="J87" i="2"/>
  <c r="K87" i="2" s="1"/>
  <c r="J6" i="3"/>
  <c r="K6" i="3" s="1"/>
  <c r="X12" i="3"/>
  <c r="J22" i="3"/>
  <c r="K22" i="3" s="1"/>
  <c r="X63" i="3"/>
  <c r="X37" i="4"/>
  <c r="J11" i="2"/>
  <c r="K11" i="2" s="1"/>
  <c r="J39" i="2"/>
  <c r="K39" i="2" s="1"/>
  <c r="X82" i="2"/>
  <c r="F66" i="2"/>
  <c r="G66" i="2" s="1"/>
  <c r="J53" i="2"/>
  <c r="K53" i="2" s="1"/>
  <c r="F35" i="3"/>
  <c r="G35" i="3" s="1"/>
  <c r="J24" i="4"/>
  <c r="K24" i="4" s="1"/>
  <c r="J5" i="2"/>
  <c r="K5" i="2" s="1"/>
  <c r="J15" i="2"/>
  <c r="K15" i="2" s="1"/>
  <c r="F25" i="2"/>
  <c r="G25" i="2" s="1"/>
  <c r="X26" i="2"/>
  <c r="J57" i="2"/>
  <c r="K57" i="2" s="1"/>
  <c r="X64" i="2"/>
  <c r="F80" i="2"/>
  <c r="G80" i="2" s="1"/>
  <c r="J57" i="3"/>
  <c r="K57" i="3" s="1"/>
  <c r="F61" i="3"/>
  <c r="G61" i="3" s="1"/>
  <c r="X89" i="3"/>
  <c r="J10" i="2"/>
  <c r="K10" i="2" s="1"/>
  <c r="X14" i="2"/>
  <c r="F29" i="2"/>
  <c r="G29" i="2" s="1"/>
  <c r="X40" i="2"/>
  <c r="J4" i="2"/>
  <c r="K4" i="2" s="1"/>
  <c r="F20" i="2"/>
  <c r="G20" i="2" s="1"/>
  <c r="J43" i="2"/>
  <c r="K43" i="2" s="1"/>
  <c r="X60" i="2"/>
  <c r="F76" i="2"/>
  <c r="G76" i="2" s="1"/>
  <c r="F19" i="3"/>
  <c r="G19" i="3" s="1"/>
  <c r="J81" i="3"/>
  <c r="K81" i="3" s="1"/>
  <c r="X17" i="2"/>
  <c r="X23" i="2"/>
  <c r="B8" i="1"/>
  <c r="F7" i="2"/>
  <c r="G7" i="2" s="1"/>
  <c r="F8" i="2"/>
  <c r="G8" i="2" s="1"/>
  <c r="F9" i="2"/>
  <c r="G9" i="2" s="1"/>
  <c r="J20" i="2"/>
  <c r="K20" i="2" s="1"/>
  <c r="X41" i="2"/>
  <c r="J61" i="2"/>
  <c r="K61" i="2" s="1"/>
  <c r="X68" i="2"/>
  <c r="J76" i="2"/>
  <c r="K76" i="2" s="1"/>
  <c r="F84" i="2"/>
  <c r="G84" i="2" s="1"/>
  <c r="X93" i="2"/>
  <c r="F54" i="3"/>
  <c r="G54" i="3" s="1"/>
  <c r="J95" i="3"/>
  <c r="K95" i="3" s="1"/>
  <c r="J5" i="3"/>
  <c r="K5" i="3" s="1"/>
  <c r="X36" i="3"/>
  <c r="X6" i="2"/>
  <c r="X20" i="2"/>
  <c r="J21" i="3"/>
  <c r="K21" i="3" s="1"/>
  <c r="X7" i="2"/>
  <c r="F16" i="2"/>
  <c r="G16" i="2" s="1"/>
  <c r="F77" i="2"/>
  <c r="G77" i="2" s="1"/>
  <c r="F18" i="3"/>
  <c r="G18" i="3" s="1"/>
  <c r="X27" i="2"/>
  <c r="J6" i="2"/>
  <c r="K6" i="2" s="1"/>
  <c r="F12" i="2"/>
  <c r="G12" i="2" s="1"/>
  <c r="F13" i="2"/>
  <c r="G13" i="2" s="1"/>
  <c r="X16" i="2"/>
  <c r="X22" i="2"/>
  <c r="F24" i="2"/>
  <c r="G24" i="2" s="1"/>
  <c r="X32" i="2"/>
  <c r="J65" i="2"/>
  <c r="K65" i="2" s="1"/>
  <c r="X72" i="2"/>
  <c r="J80" i="2"/>
  <c r="K80" i="2" s="1"/>
  <c r="X85" i="3"/>
  <c r="F31" i="2"/>
  <c r="E51" i="2"/>
  <c r="J34" i="2"/>
  <c r="K34" i="2" s="1"/>
  <c r="F35" i="2"/>
  <c r="G35" i="2" s="1"/>
  <c r="J38" i="2"/>
  <c r="K38" i="2" s="1"/>
  <c r="F39" i="2"/>
  <c r="G39" i="2" s="1"/>
  <c r="J42" i="2"/>
  <c r="K42" i="2" s="1"/>
  <c r="F43" i="2"/>
  <c r="G43" i="2" s="1"/>
  <c r="J46" i="2"/>
  <c r="K46" i="2" s="1"/>
  <c r="X55" i="2"/>
  <c r="X59" i="2"/>
  <c r="X63" i="2"/>
  <c r="X67" i="2"/>
  <c r="X71" i="2"/>
  <c r="X91" i="2"/>
  <c r="F5" i="3"/>
  <c r="G5" i="3" s="1"/>
  <c r="J37" i="3"/>
  <c r="K37" i="3" s="1"/>
  <c r="E74" i="3"/>
  <c r="F52" i="3"/>
  <c r="J54" i="3"/>
  <c r="K54" i="3" s="1"/>
  <c r="F71" i="3"/>
  <c r="G71" i="3" s="1"/>
  <c r="F78" i="3"/>
  <c r="G78" i="3" s="1"/>
  <c r="J54" i="2"/>
  <c r="K54" i="2" s="1"/>
  <c r="F55" i="2"/>
  <c r="G55" i="2" s="1"/>
  <c r="J58" i="2"/>
  <c r="K58" i="2" s="1"/>
  <c r="F59" i="2"/>
  <c r="G59" i="2" s="1"/>
  <c r="J62" i="2"/>
  <c r="K62" i="2" s="1"/>
  <c r="F63" i="2"/>
  <c r="G63" i="2" s="1"/>
  <c r="J66" i="2"/>
  <c r="K66" i="2" s="1"/>
  <c r="F67" i="2"/>
  <c r="G67" i="2" s="1"/>
  <c r="J70" i="2"/>
  <c r="K70" i="2" s="1"/>
  <c r="F71" i="2"/>
  <c r="G71" i="2" s="1"/>
  <c r="X75" i="2"/>
  <c r="O96" i="2"/>
  <c r="X79" i="2"/>
  <c r="X83" i="2"/>
  <c r="X87" i="2"/>
  <c r="J89" i="2"/>
  <c r="K89" i="2" s="1"/>
  <c r="F91" i="2"/>
  <c r="G91" i="2" s="1"/>
  <c r="F4" i="3"/>
  <c r="G4" i="3" s="1"/>
  <c r="J13" i="3"/>
  <c r="K13" i="3" s="1"/>
  <c r="X24" i="3"/>
  <c r="J26" i="3"/>
  <c r="K26" i="3" s="1"/>
  <c r="J33" i="3"/>
  <c r="K33" i="3" s="1"/>
  <c r="J61" i="3"/>
  <c r="K61" i="3" s="1"/>
  <c r="J93" i="3"/>
  <c r="K93" i="3" s="1"/>
  <c r="F29" i="4"/>
  <c r="G29" i="4" s="1"/>
  <c r="V92" i="6"/>
  <c r="J13" i="2"/>
  <c r="K13" i="2" s="1"/>
  <c r="F14" i="2"/>
  <c r="G14" i="2" s="1"/>
  <c r="J17" i="2"/>
  <c r="K17" i="2" s="1"/>
  <c r="F18" i="2"/>
  <c r="G18" i="2" s="1"/>
  <c r="J21" i="2"/>
  <c r="K21" i="2" s="1"/>
  <c r="F22" i="2"/>
  <c r="G22" i="2" s="1"/>
  <c r="J25" i="2"/>
  <c r="K25" i="2" s="1"/>
  <c r="F26" i="2"/>
  <c r="G26" i="2" s="1"/>
  <c r="J29" i="2"/>
  <c r="K29" i="2" s="1"/>
  <c r="X34" i="2"/>
  <c r="X38" i="2"/>
  <c r="X42" i="2"/>
  <c r="X46" i="2"/>
  <c r="X50" i="2"/>
  <c r="J77" i="2"/>
  <c r="K77" i="2" s="1"/>
  <c r="F78" i="2"/>
  <c r="G78" i="2" s="1"/>
  <c r="J81" i="2"/>
  <c r="K81" i="2" s="1"/>
  <c r="F82" i="2"/>
  <c r="G82" i="2" s="1"/>
  <c r="J85" i="2"/>
  <c r="K85" i="2" s="1"/>
  <c r="F86" i="2"/>
  <c r="G86" i="2" s="1"/>
  <c r="J90" i="2"/>
  <c r="K90" i="2" s="1"/>
  <c r="J4" i="3"/>
  <c r="K4" i="3" s="1"/>
  <c r="F10" i="3"/>
  <c r="G10" i="3" s="1"/>
  <c r="J38" i="3"/>
  <c r="K38" i="3" s="1"/>
  <c r="X40" i="3"/>
  <c r="X46" i="3"/>
  <c r="F53" i="3"/>
  <c r="G53" i="3" s="1"/>
  <c r="F55" i="3"/>
  <c r="G55" i="3" s="1"/>
  <c r="X59" i="3"/>
  <c r="J64" i="3"/>
  <c r="K64" i="3" s="1"/>
  <c r="J84" i="3"/>
  <c r="K84" i="3" s="1"/>
  <c r="F88" i="4"/>
  <c r="G88" i="4" s="1"/>
  <c r="J32" i="2"/>
  <c r="K32" i="2" s="1"/>
  <c r="F33" i="2"/>
  <c r="G33" i="2" s="1"/>
  <c r="F37" i="2"/>
  <c r="G37" i="2" s="1"/>
  <c r="F41" i="2"/>
  <c r="G41" i="2" s="1"/>
  <c r="F45" i="2"/>
  <c r="G45" i="2" s="1"/>
  <c r="F49" i="2"/>
  <c r="G49" i="2" s="1"/>
  <c r="X53" i="2"/>
  <c r="X57" i="2"/>
  <c r="X61" i="2"/>
  <c r="X65" i="2"/>
  <c r="X69" i="2"/>
  <c r="X73" i="2"/>
  <c r="X88" i="2"/>
  <c r="F92" i="2"/>
  <c r="G92" i="2" s="1"/>
  <c r="X16" i="3"/>
  <c r="J18" i="3"/>
  <c r="K18" i="3" s="1"/>
  <c r="F23" i="3"/>
  <c r="G23" i="3" s="1"/>
  <c r="X57" i="3"/>
  <c r="J8" i="4"/>
  <c r="K8" i="4" s="1"/>
  <c r="X25" i="4"/>
  <c r="X24" i="2"/>
  <c r="X28" i="2"/>
  <c r="F52" i="2"/>
  <c r="E74" i="2"/>
  <c r="J55" i="2"/>
  <c r="K55" i="2" s="1"/>
  <c r="F56" i="2"/>
  <c r="G56" i="2" s="1"/>
  <c r="J59" i="2"/>
  <c r="K59" i="2" s="1"/>
  <c r="F60" i="2"/>
  <c r="G60" i="2" s="1"/>
  <c r="J63" i="2"/>
  <c r="K63" i="2" s="1"/>
  <c r="F64" i="2"/>
  <c r="G64" i="2" s="1"/>
  <c r="J67" i="2"/>
  <c r="K67" i="2" s="1"/>
  <c r="F68" i="2"/>
  <c r="G68" i="2" s="1"/>
  <c r="J71" i="2"/>
  <c r="K71" i="2" s="1"/>
  <c r="F72" i="2"/>
  <c r="G72" i="2" s="1"/>
  <c r="X76" i="2"/>
  <c r="X80" i="2"/>
  <c r="X84" i="2"/>
  <c r="J91" i="2"/>
  <c r="K91" i="2" s="1"/>
  <c r="F95" i="2"/>
  <c r="G95" i="2" s="1"/>
  <c r="J25" i="3"/>
  <c r="K25" i="3" s="1"/>
  <c r="J55" i="3"/>
  <c r="K55" i="3" s="1"/>
  <c r="J62" i="3"/>
  <c r="K62" i="3" s="1"/>
  <c r="F67" i="3"/>
  <c r="G67" i="3" s="1"/>
  <c r="X79" i="3"/>
  <c r="X87" i="3"/>
  <c r="J14" i="2"/>
  <c r="K14" i="2" s="1"/>
  <c r="F15" i="2"/>
  <c r="G15" i="2" s="1"/>
  <c r="J18" i="2"/>
  <c r="K18" i="2" s="1"/>
  <c r="F19" i="2"/>
  <c r="G19" i="2" s="1"/>
  <c r="J22" i="2"/>
  <c r="K22" i="2" s="1"/>
  <c r="F23" i="2"/>
  <c r="G23" i="2" s="1"/>
  <c r="J26" i="2"/>
  <c r="K26" i="2" s="1"/>
  <c r="F27" i="2"/>
  <c r="G27" i="2" s="1"/>
  <c r="O51" i="2"/>
  <c r="X31" i="2"/>
  <c r="X35" i="2"/>
  <c r="X39" i="2"/>
  <c r="X43" i="2"/>
  <c r="X47" i="2"/>
  <c r="E96" i="2"/>
  <c r="F75" i="2"/>
  <c r="J78" i="2"/>
  <c r="K78" i="2" s="1"/>
  <c r="F79" i="2"/>
  <c r="G79" i="2" s="1"/>
  <c r="J82" i="2"/>
  <c r="K82" i="2" s="1"/>
  <c r="F83" i="2"/>
  <c r="G83" i="2" s="1"/>
  <c r="J86" i="2"/>
  <c r="K86" i="2" s="1"/>
  <c r="F87" i="2"/>
  <c r="G87" i="2" s="1"/>
  <c r="X89" i="2"/>
  <c r="F3" i="3"/>
  <c r="E30" i="3"/>
  <c r="X8" i="3"/>
  <c r="J10" i="3"/>
  <c r="K10" i="3" s="1"/>
  <c r="F15" i="3"/>
  <c r="G15" i="3" s="1"/>
  <c r="F22" i="3"/>
  <c r="G22" i="3" s="1"/>
  <c r="X33" i="3"/>
  <c r="X38" i="3"/>
  <c r="F43" i="3"/>
  <c r="G43" i="3" s="1"/>
  <c r="F70" i="3"/>
  <c r="G70" i="3" s="1"/>
  <c r="J33" i="2"/>
  <c r="K33" i="2" s="1"/>
  <c r="F34" i="2"/>
  <c r="G34" i="2" s="1"/>
  <c r="J37" i="2"/>
  <c r="K37" i="2" s="1"/>
  <c r="F38" i="2"/>
  <c r="G38" i="2" s="1"/>
  <c r="J41" i="2"/>
  <c r="K41" i="2" s="1"/>
  <c r="F42" i="2"/>
  <c r="G42" i="2" s="1"/>
  <c r="J45" i="2"/>
  <c r="K45" i="2" s="1"/>
  <c r="F46" i="2"/>
  <c r="G46" i="2" s="1"/>
  <c r="J49" i="2"/>
  <c r="K49" i="2" s="1"/>
  <c r="X54" i="2"/>
  <c r="X58" i="2"/>
  <c r="X62" i="2"/>
  <c r="X66" i="2"/>
  <c r="X70" i="2"/>
  <c r="J92" i="2"/>
  <c r="K92" i="2" s="1"/>
  <c r="F93" i="2"/>
  <c r="G93" i="2" s="1"/>
  <c r="J3" i="3"/>
  <c r="I30" i="3"/>
  <c r="X4" i="3"/>
  <c r="F7" i="3"/>
  <c r="G7" i="3" s="1"/>
  <c r="J17" i="3"/>
  <c r="K17" i="3" s="1"/>
  <c r="X28" i="3"/>
  <c r="F60" i="3"/>
  <c r="G60" i="3" s="1"/>
  <c r="F73" i="3"/>
  <c r="G73" i="3" s="1"/>
  <c r="J75" i="3"/>
  <c r="I96" i="3"/>
  <c r="X77" i="3"/>
  <c r="X25" i="2"/>
  <c r="X29" i="2"/>
  <c r="I74" i="2"/>
  <c r="J52" i="2"/>
  <c r="F53" i="2"/>
  <c r="G53" i="2" s="1"/>
  <c r="J56" i="2"/>
  <c r="K56" i="2" s="1"/>
  <c r="F57" i="2"/>
  <c r="G57" i="2" s="1"/>
  <c r="J60" i="2"/>
  <c r="K60" i="2" s="1"/>
  <c r="F61" i="2"/>
  <c r="G61" i="2" s="1"/>
  <c r="J64" i="2"/>
  <c r="K64" i="2" s="1"/>
  <c r="F65" i="2"/>
  <c r="G65" i="2" s="1"/>
  <c r="J68" i="2"/>
  <c r="K68" i="2" s="1"/>
  <c r="F69" i="2"/>
  <c r="G69" i="2" s="1"/>
  <c r="J72" i="2"/>
  <c r="K72" i="2" s="1"/>
  <c r="F73" i="2"/>
  <c r="G73" i="2" s="1"/>
  <c r="X77" i="2"/>
  <c r="X81" i="2"/>
  <c r="X85" i="2"/>
  <c r="F88" i="2"/>
  <c r="G88" i="2" s="1"/>
  <c r="X90" i="2"/>
  <c r="J94" i="2"/>
  <c r="K94" i="2" s="1"/>
  <c r="J95" i="2"/>
  <c r="K95" i="2" s="1"/>
  <c r="F6" i="3"/>
  <c r="G6" i="3" s="1"/>
  <c r="J7" i="3"/>
  <c r="K7" i="3" s="1"/>
  <c r="F14" i="3"/>
  <c r="G14" i="3" s="1"/>
  <c r="J34" i="3"/>
  <c r="K34" i="3" s="1"/>
  <c r="J56" i="3"/>
  <c r="K56" i="3" s="1"/>
  <c r="J65" i="3"/>
  <c r="K65" i="3" s="1"/>
  <c r="J91" i="3"/>
  <c r="K91" i="3" s="1"/>
  <c r="J42" i="4"/>
  <c r="K42" i="4" s="1"/>
  <c r="X5" i="5"/>
  <c r="X3" i="3"/>
  <c r="O30" i="3"/>
  <c r="X7" i="3"/>
  <c r="X11" i="3"/>
  <c r="X15" i="3"/>
  <c r="X19" i="3"/>
  <c r="X23" i="3"/>
  <c r="X27" i="3"/>
  <c r="J29" i="3"/>
  <c r="K29" i="3" s="1"/>
  <c r="J36" i="3"/>
  <c r="K36" i="3" s="1"/>
  <c r="F45" i="3"/>
  <c r="G45" i="3" s="1"/>
  <c r="J46" i="3"/>
  <c r="K46" i="3" s="1"/>
  <c r="J68" i="3"/>
  <c r="K68" i="3" s="1"/>
  <c r="J89" i="3"/>
  <c r="K89" i="3" s="1"/>
  <c r="F17" i="4"/>
  <c r="G17" i="4" s="1"/>
  <c r="X44" i="4"/>
  <c r="J24" i="5"/>
  <c r="K24" i="5" s="1"/>
  <c r="F33" i="4"/>
  <c r="G33" i="4" s="1"/>
  <c r="F38" i="4"/>
  <c r="G38" i="4" s="1"/>
  <c r="X45" i="4"/>
  <c r="X20" i="5"/>
  <c r="X29" i="3"/>
  <c r="E51" i="3"/>
  <c r="F31" i="3"/>
  <c r="X34" i="3"/>
  <c r="I74" i="3"/>
  <c r="J52" i="3"/>
  <c r="J53" i="3"/>
  <c r="K53" i="3" s="1"/>
  <c r="X55" i="3"/>
  <c r="F59" i="3"/>
  <c r="G59" i="3" s="1"/>
  <c r="J60" i="3"/>
  <c r="K60" i="3" s="1"/>
  <c r="J70" i="3"/>
  <c r="K70" i="3" s="1"/>
  <c r="X71" i="3"/>
  <c r="J80" i="3"/>
  <c r="K80" i="3" s="1"/>
  <c r="F83" i="3"/>
  <c r="G83" i="3" s="1"/>
  <c r="X6" i="4"/>
  <c r="J33" i="4"/>
  <c r="K33" i="4" s="1"/>
  <c r="J38" i="4"/>
  <c r="K38" i="4" s="1"/>
  <c r="I74" i="4"/>
  <c r="J52" i="4"/>
  <c r="X49" i="5"/>
  <c r="X5" i="3"/>
  <c r="X9" i="3"/>
  <c r="X13" i="3"/>
  <c r="X17" i="3"/>
  <c r="X21" i="3"/>
  <c r="X25" i="3"/>
  <c r="F41" i="3"/>
  <c r="G41" i="3" s="1"/>
  <c r="J42" i="3"/>
  <c r="K42" i="3" s="1"/>
  <c r="F49" i="3"/>
  <c r="G49" i="3" s="1"/>
  <c r="J50" i="3"/>
  <c r="K50" i="3" s="1"/>
  <c r="X75" i="3"/>
  <c r="O96" i="3"/>
  <c r="X81" i="3"/>
  <c r="J83" i="3"/>
  <c r="K83" i="3" s="1"/>
  <c r="X84" i="3"/>
  <c r="X93" i="3"/>
  <c r="X13" i="4"/>
  <c r="X49" i="4"/>
  <c r="J63" i="4"/>
  <c r="K63" i="4" s="1"/>
  <c r="F8" i="3"/>
  <c r="G8" i="3" s="1"/>
  <c r="J11" i="3"/>
  <c r="K11" i="3" s="1"/>
  <c r="F12" i="3"/>
  <c r="G12" i="3" s="1"/>
  <c r="J15" i="3"/>
  <c r="K15" i="3" s="1"/>
  <c r="F16" i="3"/>
  <c r="G16" i="3" s="1"/>
  <c r="J19" i="3"/>
  <c r="K19" i="3" s="1"/>
  <c r="F20" i="3"/>
  <c r="G20" i="3" s="1"/>
  <c r="J23" i="3"/>
  <c r="K23" i="3" s="1"/>
  <c r="F24" i="3"/>
  <c r="G24" i="3" s="1"/>
  <c r="J27" i="3"/>
  <c r="K27" i="3" s="1"/>
  <c r="F28" i="3"/>
  <c r="G28" i="3" s="1"/>
  <c r="F32" i="3"/>
  <c r="G32" i="3" s="1"/>
  <c r="X44" i="3"/>
  <c r="F58" i="3"/>
  <c r="G58" i="3" s="1"/>
  <c r="F63" i="3"/>
  <c r="G63" i="3" s="1"/>
  <c r="F66" i="3"/>
  <c r="G66" i="3" s="1"/>
  <c r="F69" i="3"/>
  <c r="G69" i="3" s="1"/>
  <c r="J73" i="3"/>
  <c r="K73" i="3" s="1"/>
  <c r="X22" i="4"/>
  <c r="F25" i="4"/>
  <c r="G25" i="4" s="1"/>
  <c r="X59" i="4"/>
  <c r="X45" i="5"/>
  <c r="J93" i="2"/>
  <c r="K93" i="2" s="1"/>
  <c r="F94" i="2"/>
  <c r="G94" i="2" s="1"/>
  <c r="J31" i="3"/>
  <c r="I51" i="3"/>
  <c r="F38" i="3"/>
  <c r="G38" i="3" s="1"/>
  <c r="X53" i="3"/>
  <c r="F57" i="3"/>
  <c r="G57" i="3" s="1"/>
  <c r="J58" i="3"/>
  <c r="K58" i="3" s="1"/>
  <c r="J59" i="3"/>
  <c r="K59" i="3" s="1"/>
  <c r="J66" i="3"/>
  <c r="K66" i="3" s="1"/>
  <c r="X67" i="3"/>
  <c r="J77" i="3"/>
  <c r="K77" i="3" s="1"/>
  <c r="F82" i="3"/>
  <c r="G82" i="3" s="1"/>
  <c r="X88" i="3"/>
  <c r="J90" i="3"/>
  <c r="K90" i="3" s="1"/>
  <c r="F5" i="4"/>
  <c r="G5" i="4" s="1"/>
  <c r="J50" i="4"/>
  <c r="K50" i="4" s="1"/>
  <c r="J37" i="5"/>
  <c r="K37" i="5" s="1"/>
  <c r="X6" i="3"/>
  <c r="X10" i="3"/>
  <c r="X14" i="3"/>
  <c r="X18" i="3"/>
  <c r="X22" i="3"/>
  <c r="X26" i="3"/>
  <c r="F29" i="3"/>
  <c r="G29" i="3" s="1"/>
  <c r="F33" i="3"/>
  <c r="G33" i="3" s="1"/>
  <c r="F37" i="3"/>
  <c r="G37" i="3" s="1"/>
  <c r="F39" i="3"/>
  <c r="G39" i="3" s="1"/>
  <c r="J40" i="3"/>
  <c r="K40" i="3" s="1"/>
  <c r="F47" i="3"/>
  <c r="G47" i="3" s="1"/>
  <c r="J48" i="3"/>
  <c r="K48" i="3" s="1"/>
  <c r="J72" i="3"/>
  <c r="K72" i="3" s="1"/>
  <c r="F76" i="3"/>
  <c r="G76" i="3" s="1"/>
  <c r="F92" i="3"/>
  <c r="G92" i="3" s="1"/>
  <c r="J94" i="3"/>
  <c r="K94" i="3" s="1"/>
  <c r="X9" i="4"/>
  <c r="F44" i="4"/>
  <c r="G44" i="4" s="1"/>
  <c r="J47" i="4"/>
  <c r="K47" i="4" s="1"/>
  <c r="J53" i="4"/>
  <c r="K53" i="4" s="1"/>
  <c r="X63" i="4"/>
  <c r="J8" i="3"/>
  <c r="K8" i="3" s="1"/>
  <c r="F9" i="3"/>
  <c r="G9" i="3" s="1"/>
  <c r="J12" i="3"/>
  <c r="K12" i="3" s="1"/>
  <c r="F13" i="3"/>
  <c r="G13" i="3" s="1"/>
  <c r="J16" i="3"/>
  <c r="K16" i="3" s="1"/>
  <c r="F17" i="3"/>
  <c r="G17" i="3" s="1"/>
  <c r="J20" i="3"/>
  <c r="K20" i="3" s="1"/>
  <c r="F21" i="3"/>
  <c r="G21" i="3" s="1"/>
  <c r="J24" i="3"/>
  <c r="K24" i="3" s="1"/>
  <c r="F25" i="3"/>
  <c r="G25" i="3" s="1"/>
  <c r="J28" i="3"/>
  <c r="K28" i="3" s="1"/>
  <c r="J32" i="3"/>
  <c r="K32" i="3" s="1"/>
  <c r="F34" i="3"/>
  <c r="G34" i="3" s="1"/>
  <c r="X42" i="3"/>
  <c r="X50" i="3"/>
  <c r="F56" i="3"/>
  <c r="G56" i="3" s="1"/>
  <c r="F62" i="3"/>
  <c r="G62" i="3" s="1"/>
  <c r="F65" i="3"/>
  <c r="G65" i="3" s="1"/>
  <c r="J69" i="3"/>
  <c r="K69" i="3" s="1"/>
  <c r="F85" i="3"/>
  <c r="G85" i="3" s="1"/>
  <c r="J12" i="4"/>
  <c r="K12" i="4" s="1"/>
  <c r="F37" i="4"/>
  <c r="G37" i="4" s="1"/>
  <c r="F42" i="4"/>
  <c r="G42" i="4" s="1"/>
  <c r="J9" i="5"/>
  <c r="K9" i="5" s="1"/>
  <c r="X31" i="3"/>
  <c r="O51" i="3"/>
  <c r="X35" i="3"/>
  <c r="X39" i="3"/>
  <c r="X43" i="3"/>
  <c r="X47" i="3"/>
  <c r="E96" i="3"/>
  <c r="F75" i="3"/>
  <c r="F80" i="3"/>
  <c r="G80" i="3" s="1"/>
  <c r="X83" i="3"/>
  <c r="F9" i="4"/>
  <c r="G9" i="4" s="1"/>
  <c r="X14" i="4"/>
  <c r="J86" i="5"/>
  <c r="K86" i="5" s="1"/>
  <c r="J41" i="3"/>
  <c r="K41" i="3" s="1"/>
  <c r="F42" i="3"/>
  <c r="G42" i="3" s="1"/>
  <c r="J45" i="3"/>
  <c r="K45" i="3" s="1"/>
  <c r="F46" i="3"/>
  <c r="G46" i="3" s="1"/>
  <c r="J49" i="3"/>
  <c r="K49" i="3" s="1"/>
  <c r="F50" i="3"/>
  <c r="G50" i="3" s="1"/>
  <c r="X54" i="3"/>
  <c r="X58" i="3"/>
  <c r="X62" i="3"/>
  <c r="X66" i="3"/>
  <c r="X70" i="3"/>
  <c r="J79" i="3"/>
  <c r="K79" i="3" s="1"/>
  <c r="F81" i="3"/>
  <c r="G81" i="3" s="1"/>
  <c r="J86" i="3"/>
  <c r="K86" i="3" s="1"/>
  <c r="J87" i="3"/>
  <c r="K87" i="3" s="1"/>
  <c r="F94" i="3"/>
  <c r="G94" i="3" s="1"/>
  <c r="F95" i="3"/>
  <c r="G95" i="3" s="1"/>
  <c r="J16" i="4"/>
  <c r="K16" i="4" s="1"/>
  <c r="X17" i="4"/>
  <c r="I51" i="4"/>
  <c r="J31" i="4"/>
  <c r="F39" i="4"/>
  <c r="G39" i="4" s="1"/>
  <c r="J55" i="4"/>
  <c r="K55" i="4" s="1"/>
  <c r="J71" i="4"/>
  <c r="K71" i="4" s="1"/>
  <c r="X75" i="4"/>
  <c r="O96" i="4"/>
  <c r="F57" i="5"/>
  <c r="G57" i="5" s="1"/>
  <c r="V22" i="6"/>
  <c r="X37" i="3"/>
  <c r="X41" i="3"/>
  <c r="X45" i="3"/>
  <c r="X49" i="3"/>
  <c r="J76" i="3"/>
  <c r="K76" i="3" s="1"/>
  <c r="F77" i="3"/>
  <c r="G77" i="3" s="1"/>
  <c r="J82" i="3"/>
  <c r="K82" i="3" s="1"/>
  <c r="F90" i="3"/>
  <c r="G90" i="3" s="1"/>
  <c r="F91" i="3"/>
  <c r="G91" i="3" s="1"/>
  <c r="X95" i="3"/>
  <c r="F21" i="4"/>
  <c r="G21" i="4" s="1"/>
  <c r="X26" i="4"/>
  <c r="F64" i="4"/>
  <c r="G64" i="4" s="1"/>
  <c r="J72" i="4"/>
  <c r="K72" i="4" s="1"/>
  <c r="F54" i="5"/>
  <c r="G54" i="5" s="1"/>
  <c r="J35" i="3"/>
  <c r="K35" i="3" s="1"/>
  <c r="F36" i="3"/>
  <c r="G36" i="3" s="1"/>
  <c r="J39" i="3"/>
  <c r="K39" i="3" s="1"/>
  <c r="F40" i="3"/>
  <c r="G40" i="3" s="1"/>
  <c r="J43" i="3"/>
  <c r="K43" i="3" s="1"/>
  <c r="F44" i="3"/>
  <c r="G44" i="3" s="1"/>
  <c r="J47" i="3"/>
  <c r="K47" i="3" s="1"/>
  <c r="F48" i="3"/>
  <c r="G48" i="3" s="1"/>
  <c r="X52" i="3"/>
  <c r="O74" i="3"/>
  <c r="X56" i="3"/>
  <c r="X60" i="3"/>
  <c r="X64" i="3"/>
  <c r="X68" i="3"/>
  <c r="X72" i="3"/>
  <c r="X80" i="3"/>
  <c r="F84" i="3"/>
  <c r="G84" i="3" s="1"/>
  <c r="J4" i="4"/>
  <c r="K4" i="4" s="1"/>
  <c r="X5" i="4"/>
  <c r="J28" i="4"/>
  <c r="K28" i="4" s="1"/>
  <c r="X29" i="4"/>
  <c r="F32" i="4"/>
  <c r="G32" i="4" s="1"/>
  <c r="F46" i="4"/>
  <c r="G46" i="4" s="1"/>
  <c r="F54" i="4"/>
  <c r="G54" i="4" s="1"/>
  <c r="J47" i="5"/>
  <c r="K47" i="5" s="1"/>
  <c r="F90" i="5"/>
  <c r="G90" i="5" s="1"/>
  <c r="X61" i="3"/>
  <c r="X65" i="3"/>
  <c r="X69" i="3"/>
  <c r="X73" i="3"/>
  <c r="F79" i="3"/>
  <c r="G79" i="3" s="1"/>
  <c r="F86" i="3"/>
  <c r="G86" i="3" s="1"/>
  <c r="F88" i="3"/>
  <c r="G88" i="3" s="1"/>
  <c r="X92" i="3"/>
  <c r="F13" i="4"/>
  <c r="G13" i="4" s="1"/>
  <c r="X18" i="4"/>
  <c r="F31" i="4"/>
  <c r="E51" i="4"/>
  <c r="J37" i="4"/>
  <c r="K37" i="4" s="1"/>
  <c r="F40" i="4"/>
  <c r="G40" i="4" s="1"/>
  <c r="X41" i="4"/>
  <c r="X48" i="4"/>
  <c r="J70" i="4"/>
  <c r="K70" i="4" s="1"/>
  <c r="X92" i="4"/>
  <c r="J8" i="5"/>
  <c r="K8" i="5" s="1"/>
  <c r="J16" i="5"/>
  <c r="K16" i="5" s="1"/>
  <c r="J26" i="5"/>
  <c r="K26" i="5" s="1"/>
  <c r="X85" i="5"/>
  <c r="V40" i="6"/>
  <c r="J63" i="3"/>
  <c r="K63" i="3" s="1"/>
  <c r="F64" i="3"/>
  <c r="G64" i="3" s="1"/>
  <c r="J67" i="3"/>
  <c r="K67" i="3" s="1"/>
  <c r="F68" i="3"/>
  <c r="G68" i="3" s="1"/>
  <c r="J71" i="3"/>
  <c r="K71" i="3" s="1"/>
  <c r="F72" i="3"/>
  <c r="G72" i="3" s="1"/>
  <c r="X76" i="3"/>
  <c r="J78" i="3"/>
  <c r="K78" i="3" s="1"/>
  <c r="J85" i="3"/>
  <c r="K85" i="3" s="1"/>
  <c r="F87" i="3"/>
  <c r="G87" i="3" s="1"/>
  <c r="X91" i="3"/>
  <c r="J20" i="4"/>
  <c r="K20" i="4" s="1"/>
  <c r="X21" i="4"/>
  <c r="X35" i="4"/>
  <c r="F60" i="4"/>
  <c r="G60" i="4" s="1"/>
  <c r="J65" i="4"/>
  <c r="K65" i="4" s="1"/>
  <c r="J73" i="4"/>
  <c r="K73" i="4" s="1"/>
  <c r="I30" i="4"/>
  <c r="J3" i="4"/>
  <c r="F4" i="4"/>
  <c r="G4" i="4" s="1"/>
  <c r="J7" i="4"/>
  <c r="K7" i="4" s="1"/>
  <c r="F8" i="4"/>
  <c r="G8" i="4" s="1"/>
  <c r="J11" i="4"/>
  <c r="K11" i="4" s="1"/>
  <c r="F12" i="4"/>
  <c r="G12" i="4" s="1"/>
  <c r="J15" i="4"/>
  <c r="K15" i="4" s="1"/>
  <c r="F16" i="4"/>
  <c r="G16" i="4" s="1"/>
  <c r="J19" i="4"/>
  <c r="K19" i="4" s="1"/>
  <c r="F20" i="4"/>
  <c r="G20" i="4" s="1"/>
  <c r="J23" i="4"/>
  <c r="K23" i="4" s="1"/>
  <c r="F24" i="4"/>
  <c r="G24" i="4" s="1"/>
  <c r="J27" i="4"/>
  <c r="K27" i="4" s="1"/>
  <c r="F28" i="4"/>
  <c r="G28" i="4" s="1"/>
  <c r="X33" i="4"/>
  <c r="J36" i="4"/>
  <c r="K36" i="4" s="1"/>
  <c r="X43" i="4"/>
  <c r="F52" i="4"/>
  <c r="E74" i="4"/>
  <c r="F58" i="4"/>
  <c r="G58" i="4" s="1"/>
  <c r="F68" i="4"/>
  <c r="G68" i="4" s="1"/>
  <c r="J95" i="4"/>
  <c r="K95" i="4" s="1"/>
  <c r="X12" i="5"/>
  <c r="F16" i="5"/>
  <c r="G16" i="5" s="1"/>
  <c r="X29" i="5"/>
  <c r="O30" i="4"/>
  <c r="X3" i="4"/>
  <c r="X7" i="4"/>
  <c r="X11" i="4"/>
  <c r="X15" i="4"/>
  <c r="X19" i="4"/>
  <c r="X23" i="4"/>
  <c r="X27" i="4"/>
  <c r="J32" i="4"/>
  <c r="K32" i="4" s="1"/>
  <c r="X36" i="4"/>
  <c r="J39" i="4"/>
  <c r="K39" i="4" s="1"/>
  <c r="F43" i="4"/>
  <c r="G43" i="4" s="1"/>
  <c r="J57" i="4"/>
  <c r="K57" i="4" s="1"/>
  <c r="F62" i="4"/>
  <c r="G62" i="4" s="1"/>
  <c r="X93" i="4"/>
  <c r="X33" i="5"/>
  <c r="J95" i="5"/>
  <c r="K95" i="5" s="1"/>
  <c r="X64" i="6"/>
  <c r="X81" i="6"/>
  <c r="J5" i="4"/>
  <c r="K5" i="4" s="1"/>
  <c r="F6" i="4"/>
  <c r="G6" i="4" s="1"/>
  <c r="J9" i="4"/>
  <c r="K9" i="4" s="1"/>
  <c r="F10" i="4"/>
  <c r="G10" i="4" s="1"/>
  <c r="J13" i="4"/>
  <c r="K13" i="4" s="1"/>
  <c r="F14" i="4"/>
  <c r="G14" i="4" s="1"/>
  <c r="J17" i="4"/>
  <c r="K17" i="4" s="1"/>
  <c r="F18" i="4"/>
  <c r="G18" i="4" s="1"/>
  <c r="J21" i="4"/>
  <c r="K21" i="4" s="1"/>
  <c r="F22" i="4"/>
  <c r="G22" i="4" s="1"/>
  <c r="J25" i="4"/>
  <c r="K25" i="4" s="1"/>
  <c r="F26" i="4"/>
  <c r="G26" i="4" s="1"/>
  <c r="J29" i="4"/>
  <c r="K29" i="4" s="1"/>
  <c r="F34" i="4"/>
  <c r="G34" i="4" s="1"/>
  <c r="J41" i="4"/>
  <c r="K41" i="4" s="1"/>
  <c r="X55" i="4"/>
  <c r="J67" i="4"/>
  <c r="K67" i="4" s="1"/>
  <c r="J69" i="4"/>
  <c r="K69" i="4" s="1"/>
  <c r="F71" i="4"/>
  <c r="G71" i="4" s="1"/>
  <c r="J91" i="4"/>
  <c r="K91" i="4" s="1"/>
  <c r="O30" i="5"/>
  <c r="X3" i="5"/>
  <c r="J18" i="5"/>
  <c r="K18" i="5" s="1"/>
  <c r="X58" i="5"/>
  <c r="F83" i="5"/>
  <c r="G83" i="5" s="1"/>
  <c r="V31" i="6"/>
  <c r="J55" i="5"/>
  <c r="K55" i="5" s="1"/>
  <c r="X31" i="6"/>
  <c r="X4" i="4"/>
  <c r="X8" i="4"/>
  <c r="X12" i="4"/>
  <c r="X16" i="4"/>
  <c r="X20" i="4"/>
  <c r="X24" i="4"/>
  <c r="X28" i="4"/>
  <c r="O51" i="4"/>
  <c r="X31" i="4"/>
  <c r="F35" i="4"/>
  <c r="G35" i="4" s="1"/>
  <c r="J43" i="4"/>
  <c r="K43" i="4" s="1"/>
  <c r="F47" i="4"/>
  <c r="G47" i="4" s="1"/>
  <c r="F53" i="4"/>
  <c r="G53" i="4" s="1"/>
  <c r="J59" i="4"/>
  <c r="K59" i="4" s="1"/>
  <c r="F73" i="4"/>
  <c r="G73" i="4" s="1"/>
  <c r="J4" i="5"/>
  <c r="K4" i="5" s="1"/>
  <c r="J72" i="5"/>
  <c r="K72" i="5" s="1"/>
  <c r="X91" i="5"/>
  <c r="X78" i="3"/>
  <c r="X82" i="3"/>
  <c r="X86" i="3"/>
  <c r="X90" i="3"/>
  <c r="X94" i="3"/>
  <c r="F3" i="4"/>
  <c r="E30" i="4"/>
  <c r="J6" i="4"/>
  <c r="K6" i="4" s="1"/>
  <c r="F7" i="4"/>
  <c r="G7" i="4" s="1"/>
  <c r="J10" i="4"/>
  <c r="K10" i="4" s="1"/>
  <c r="F11" i="4"/>
  <c r="G11" i="4" s="1"/>
  <c r="J14" i="4"/>
  <c r="K14" i="4" s="1"/>
  <c r="F15" i="4"/>
  <c r="G15" i="4" s="1"/>
  <c r="J18" i="4"/>
  <c r="K18" i="4" s="1"/>
  <c r="F19" i="4"/>
  <c r="G19" i="4" s="1"/>
  <c r="J22" i="4"/>
  <c r="K22" i="4" s="1"/>
  <c r="F23" i="4"/>
  <c r="G23" i="4" s="1"/>
  <c r="J26" i="4"/>
  <c r="K26" i="4" s="1"/>
  <c r="F27" i="4"/>
  <c r="G27" i="4" s="1"/>
  <c r="J34" i="4"/>
  <c r="K34" i="4" s="1"/>
  <c r="X39" i="4"/>
  <c r="J45" i="4"/>
  <c r="K45" i="4" s="1"/>
  <c r="F56" i="4"/>
  <c r="G56" i="4" s="1"/>
  <c r="X67" i="4"/>
  <c r="F84" i="4"/>
  <c r="G84" i="4" s="1"/>
  <c r="X22" i="5"/>
  <c r="J88" i="3"/>
  <c r="K88" i="3" s="1"/>
  <c r="F89" i="3"/>
  <c r="G89" i="3" s="1"/>
  <c r="J92" i="3"/>
  <c r="K92" i="3" s="1"/>
  <c r="F93" i="3"/>
  <c r="G93" i="3" s="1"/>
  <c r="X32" i="4"/>
  <c r="F36" i="4"/>
  <c r="G36" i="4" s="1"/>
  <c r="X40" i="4"/>
  <c r="J46" i="4"/>
  <c r="K46" i="4" s="1"/>
  <c r="J61" i="4"/>
  <c r="K61" i="4" s="1"/>
  <c r="F66" i="4"/>
  <c r="G66" i="4" s="1"/>
  <c r="X76" i="4"/>
  <c r="X89" i="4"/>
  <c r="X9" i="5"/>
  <c r="J88" i="5"/>
  <c r="K88" i="5" s="1"/>
  <c r="V16" i="6"/>
  <c r="J49" i="4"/>
  <c r="K49" i="4" s="1"/>
  <c r="F50" i="4"/>
  <c r="G50" i="4" s="1"/>
  <c r="X54" i="4"/>
  <c r="X58" i="4"/>
  <c r="X62" i="4"/>
  <c r="X66" i="4"/>
  <c r="J76" i="4"/>
  <c r="K76" i="4" s="1"/>
  <c r="F77" i="4"/>
  <c r="G77" i="4" s="1"/>
  <c r="F92" i="4"/>
  <c r="G92" i="4" s="1"/>
  <c r="F12" i="5"/>
  <c r="G12" i="5" s="1"/>
  <c r="X13" i="5"/>
  <c r="X17" i="5"/>
  <c r="J27" i="5"/>
  <c r="K27" i="5" s="1"/>
  <c r="F47" i="5"/>
  <c r="G47" i="5" s="1"/>
  <c r="F85" i="5"/>
  <c r="G85" i="5" s="1"/>
  <c r="F94" i="5"/>
  <c r="G94" i="5" s="1"/>
  <c r="V13" i="6"/>
  <c r="T39" i="6"/>
  <c r="J56" i="4"/>
  <c r="K56" i="4" s="1"/>
  <c r="F57" i="4"/>
  <c r="G57" i="4" s="1"/>
  <c r="J60" i="4"/>
  <c r="K60" i="4" s="1"/>
  <c r="F61" i="4"/>
  <c r="G61" i="4" s="1"/>
  <c r="J64" i="4"/>
  <c r="K64" i="4" s="1"/>
  <c r="F65" i="4"/>
  <c r="G65" i="4" s="1"/>
  <c r="J68" i="4"/>
  <c r="K68" i="4" s="1"/>
  <c r="F70" i="4"/>
  <c r="G70" i="4" s="1"/>
  <c r="F72" i="4"/>
  <c r="G72" i="4" s="1"/>
  <c r="J78" i="4"/>
  <c r="K78" i="4" s="1"/>
  <c r="F69" i="5"/>
  <c r="G69" i="5" s="1"/>
  <c r="J80" i="5"/>
  <c r="K80" i="5" s="1"/>
  <c r="J91" i="5"/>
  <c r="K91" i="5" s="1"/>
  <c r="F48" i="4"/>
  <c r="G48" i="4" s="1"/>
  <c r="X52" i="4"/>
  <c r="O74" i="4"/>
  <c r="X56" i="4"/>
  <c r="X60" i="4"/>
  <c r="X64" i="4"/>
  <c r="X68" i="4"/>
  <c r="X77" i="4"/>
  <c r="F80" i="4"/>
  <c r="G80" i="4" s="1"/>
  <c r="X85" i="4"/>
  <c r="X8" i="5"/>
  <c r="F10" i="5"/>
  <c r="G10" i="5" s="1"/>
  <c r="X16" i="5"/>
  <c r="X18" i="5"/>
  <c r="O51" i="5"/>
  <c r="X51" i="5" s="1"/>
  <c r="X31" i="5"/>
  <c r="X35" i="5"/>
  <c r="X39" i="5"/>
  <c r="F46" i="5"/>
  <c r="G46" i="5" s="1"/>
  <c r="E74" i="5"/>
  <c r="F52" i="5"/>
  <c r="J70" i="5"/>
  <c r="K70" i="5" s="1"/>
  <c r="F73" i="5"/>
  <c r="G73" i="5" s="1"/>
  <c r="J75" i="5"/>
  <c r="I96" i="5"/>
  <c r="X11" i="6"/>
  <c r="V37" i="6"/>
  <c r="J54" i="4"/>
  <c r="K54" i="4" s="1"/>
  <c r="F55" i="4"/>
  <c r="G55" i="4" s="1"/>
  <c r="J58" i="4"/>
  <c r="K58" i="4" s="1"/>
  <c r="F59" i="4"/>
  <c r="G59" i="4" s="1"/>
  <c r="J62" i="4"/>
  <c r="K62" i="4" s="1"/>
  <c r="F63" i="4"/>
  <c r="G63" i="4" s="1"/>
  <c r="J66" i="4"/>
  <c r="K66" i="4" s="1"/>
  <c r="F67" i="4"/>
  <c r="G67" i="4" s="1"/>
  <c r="X70" i="4"/>
  <c r="J87" i="4"/>
  <c r="K87" i="4" s="1"/>
  <c r="X88" i="4"/>
  <c r="X4" i="5"/>
  <c r="F6" i="5"/>
  <c r="G6" i="5" s="1"/>
  <c r="J28" i="5"/>
  <c r="K28" i="5" s="1"/>
  <c r="J62" i="5"/>
  <c r="K62" i="5" s="1"/>
  <c r="F84" i="5"/>
  <c r="G84" i="5" s="1"/>
  <c r="X49" i="6"/>
  <c r="X34" i="4"/>
  <c r="X38" i="4"/>
  <c r="X42" i="4"/>
  <c r="X46" i="4"/>
  <c r="X50" i="4"/>
  <c r="X71" i="4"/>
  <c r="E96" i="4"/>
  <c r="F75" i="4"/>
  <c r="X81" i="4"/>
  <c r="F9" i="5"/>
  <c r="G9" i="5" s="1"/>
  <c r="J13" i="5"/>
  <c r="K13" i="5" s="1"/>
  <c r="J17" i="5"/>
  <c r="K17" i="5" s="1"/>
  <c r="X37" i="5"/>
  <c r="F42" i="5"/>
  <c r="G42" i="5" s="1"/>
  <c r="I74" i="5"/>
  <c r="J52" i="5"/>
  <c r="J84" i="5"/>
  <c r="K84" i="5" s="1"/>
  <c r="F93" i="5"/>
  <c r="G93" i="5" s="1"/>
  <c r="T16" i="6"/>
  <c r="V23" i="6"/>
  <c r="J40" i="4"/>
  <c r="K40" i="4" s="1"/>
  <c r="F41" i="4"/>
  <c r="G41" i="4" s="1"/>
  <c r="J44" i="4"/>
  <c r="K44" i="4" s="1"/>
  <c r="F45" i="4"/>
  <c r="G45" i="4" s="1"/>
  <c r="J48" i="4"/>
  <c r="K48" i="4" s="1"/>
  <c r="F49" i="4"/>
  <c r="G49" i="4" s="1"/>
  <c r="X53" i="4"/>
  <c r="X57" i="4"/>
  <c r="X61" i="4"/>
  <c r="X65" i="4"/>
  <c r="X72" i="4"/>
  <c r="F76" i="4"/>
  <c r="G76" i="4" s="1"/>
  <c r="J83" i="4"/>
  <c r="K83" i="4" s="1"/>
  <c r="X84" i="4"/>
  <c r="F5" i="5"/>
  <c r="G5" i="5" s="1"/>
  <c r="X7" i="5"/>
  <c r="J15" i="5"/>
  <c r="K15" i="5" s="1"/>
  <c r="F55" i="5"/>
  <c r="G55" i="5" s="1"/>
  <c r="J68" i="5"/>
  <c r="K68" i="5" s="1"/>
  <c r="J76" i="5"/>
  <c r="K76" i="5" s="1"/>
  <c r="F79" i="5"/>
  <c r="G79" i="5" s="1"/>
  <c r="X81" i="5"/>
  <c r="J93" i="5"/>
  <c r="K93" i="5" s="1"/>
  <c r="X12" i="6"/>
  <c r="X23" i="6"/>
  <c r="X47" i="4"/>
  <c r="F69" i="4"/>
  <c r="G69" i="4" s="1"/>
  <c r="I96" i="4"/>
  <c r="J75" i="4"/>
  <c r="J79" i="4"/>
  <c r="K79" i="4" s="1"/>
  <c r="X80" i="4"/>
  <c r="J5" i="5"/>
  <c r="K5" i="5" s="1"/>
  <c r="X21" i="5"/>
  <c r="F25" i="5"/>
  <c r="G25" i="5" s="1"/>
  <c r="F29" i="5"/>
  <c r="G29" i="5" s="1"/>
  <c r="X32" i="5"/>
  <c r="X44" i="5"/>
  <c r="X48" i="5"/>
  <c r="X60" i="5"/>
  <c r="F79" i="4"/>
  <c r="G79" i="4" s="1"/>
  <c r="J82" i="4"/>
  <c r="K82" i="4" s="1"/>
  <c r="F83" i="4"/>
  <c r="G83" i="4" s="1"/>
  <c r="J86" i="4"/>
  <c r="K86" i="4" s="1"/>
  <c r="F87" i="4"/>
  <c r="G87" i="4" s="1"/>
  <c r="J90" i="4"/>
  <c r="K90" i="4" s="1"/>
  <c r="F91" i="4"/>
  <c r="G91" i="4" s="1"/>
  <c r="J94" i="4"/>
  <c r="K94" i="4" s="1"/>
  <c r="F95" i="4"/>
  <c r="G95" i="4" s="1"/>
  <c r="J14" i="5"/>
  <c r="K14" i="5" s="1"/>
  <c r="J19" i="5"/>
  <c r="K19" i="5" s="1"/>
  <c r="J20" i="5"/>
  <c r="K20" i="5" s="1"/>
  <c r="F27" i="5"/>
  <c r="G27" i="5" s="1"/>
  <c r="F28" i="5"/>
  <c r="G28" i="5" s="1"/>
  <c r="X40" i="5"/>
  <c r="X56" i="5"/>
  <c r="F78" i="5"/>
  <c r="G78" i="5" s="1"/>
  <c r="F80" i="5"/>
  <c r="G80" i="5" s="1"/>
  <c r="X87" i="5"/>
  <c r="X5" i="6"/>
  <c r="V81" i="6"/>
  <c r="T6" i="6"/>
  <c r="T9" i="6"/>
  <c r="T27" i="6"/>
  <c r="T35" i="6"/>
  <c r="X40" i="6"/>
  <c r="T79" i="6"/>
  <c r="X78" i="4"/>
  <c r="X82" i="4"/>
  <c r="X86" i="4"/>
  <c r="X90" i="4"/>
  <c r="X94" i="4"/>
  <c r="E30" i="5"/>
  <c r="F3" i="5"/>
  <c r="J6" i="5"/>
  <c r="K6" i="5" s="1"/>
  <c r="F7" i="5"/>
  <c r="G7" i="5" s="1"/>
  <c r="J10" i="5"/>
  <c r="K10" i="5" s="1"/>
  <c r="F11" i="5"/>
  <c r="G11" i="5" s="1"/>
  <c r="X14" i="5"/>
  <c r="F23" i="5"/>
  <c r="G23" i="5" s="1"/>
  <c r="F24" i="5"/>
  <c r="G24" i="5" s="1"/>
  <c r="X28" i="5"/>
  <c r="J41" i="5"/>
  <c r="K41" i="5" s="1"/>
  <c r="X43" i="5"/>
  <c r="F61" i="5"/>
  <c r="G61" i="5" s="1"/>
  <c r="J64" i="5"/>
  <c r="K64" i="5" s="1"/>
  <c r="F75" i="5"/>
  <c r="E96" i="5"/>
  <c r="J90" i="5"/>
  <c r="K90" i="5" s="1"/>
  <c r="F92" i="5"/>
  <c r="G92" i="5" s="1"/>
  <c r="T44" i="6"/>
  <c r="T47" i="6"/>
  <c r="X82" i="6"/>
  <c r="J80" i="4"/>
  <c r="K80" i="4" s="1"/>
  <c r="F81" i="4"/>
  <c r="G81" i="4" s="1"/>
  <c r="J84" i="4"/>
  <c r="K84" i="4" s="1"/>
  <c r="F85" i="4"/>
  <c r="G85" i="4" s="1"/>
  <c r="J88" i="4"/>
  <c r="K88" i="4" s="1"/>
  <c r="F89" i="4"/>
  <c r="G89" i="4" s="1"/>
  <c r="J92" i="4"/>
  <c r="K92" i="4" s="1"/>
  <c r="F93" i="4"/>
  <c r="G93" i="4" s="1"/>
  <c r="F33" i="5"/>
  <c r="G33" i="5" s="1"/>
  <c r="F34" i="5"/>
  <c r="G34" i="5" s="1"/>
  <c r="J46" i="5"/>
  <c r="K46" i="5" s="1"/>
  <c r="F50" i="5"/>
  <c r="G50" i="5" s="1"/>
  <c r="O74" i="5"/>
  <c r="X52" i="5"/>
  <c r="J54" i="5"/>
  <c r="K54" i="5" s="1"/>
  <c r="J66" i="5"/>
  <c r="K66" i="5" s="1"/>
  <c r="V4" i="6"/>
  <c r="X14" i="6"/>
  <c r="X38" i="6"/>
  <c r="V47" i="6"/>
  <c r="X79" i="4"/>
  <c r="X83" i="4"/>
  <c r="X87" i="4"/>
  <c r="X91" i="4"/>
  <c r="X95" i="4"/>
  <c r="J3" i="5"/>
  <c r="I30" i="5"/>
  <c r="F4" i="5"/>
  <c r="G4" i="5" s="1"/>
  <c r="J7" i="5"/>
  <c r="K7" i="5" s="1"/>
  <c r="F8" i="5"/>
  <c r="G8" i="5" s="1"/>
  <c r="J11" i="5"/>
  <c r="K11" i="5" s="1"/>
  <c r="F18" i="5"/>
  <c r="G18" i="5" s="1"/>
  <c r="J22" i="5"/>
  <c r="K22" i="5" s="1"/>
  <c r="J23" i="5"/>
  <c r="K23" i="5" s="1"/>
  <c r="X26" i="5"/>
  <c r="J45" i="5"/>
  <c r="K45" i="5" s="1"/>
  <c r="F53" i="5"/>
  <c r="G53" i="5" s="1"/>
  <c r="J56" i="5"/>
  <c r="K56" i="5" s="1"/>
  <c r="X77" i="5"/>
  <c r="J79" i="5"/>
  <c r="K79" i="5" s="1"/>
  <c r="J81" i="5"/>
  <c r="K81" i="5" s="1"/>
  <c r="J94" i="5"/>
  <c r="K94" i="5" s="1"/>
  <c r="V7" i="6"/>
  <c r="V25" i="6"/>
  <c r="T33" i="6"/>
  <c r="V36" i="6"/>
  <c r="X52" i="6"/>
  <c r="X70" i="6"/>
  <c r="J77" i="4"/>
  <c r="K77" i="4" s="1"/>
  <c r="F78" i="4"/>
  <c r="G78" i="4" s="1"/>
  <c r="J81" i="4"/>
  <c r="K81" i="4" s="1"/>
  <c r="F82" i="4"/>
  <c r="G82" i="4" s="1"/>
  <c r="J85" i="4"/>
  <c r="K85" i="4" s="1"/>
  <c r="F86" i="4"/>
  <c r="G86" i="4" s="1"/>
  <c r="J89" i="4"/>
  <c r="K89" i="4" s="1"/>
  <c r="F90" i="4"/>
  <c r="G90" i="4" s="1"/>
  <c r="J93" i="4"/>
  <c r="K93" i="4" s="1"/>
  <c r="F94" i="4"/>
  <c r="G94" i="4" s="1"/>
  <c r="F13" i="5"/>
  <c r="G13" i="5" s="1"/>
  <c r="F14" i="5"/>
  <c r="G14" i="5" s="1"/>
  <c r="F19" i="5"/>
  <c r="G19" i="5" s="1"/>
  <c r="F21" i="5"/>
  <c r="G21" i="5" s="1"/>
  <c r="X25" i="5"/>
  <c r="J33" i="5"/>
  <c r="K33" i="5" s="1"/>
  <c r="X36" i="5"/>
  <c r="X50" i="5"/>
  <c r="J58" i="5"/>
  <c r="K58" i="5" s="1"/>
  <c r="F63" i="5"/>
  <c r="G63" i="5" s="1"/>
  <c r="X64" i="5"/>
  <c r="V45" i="6"/>
  <c r="T50" i="6"/>
  <c r="X69" i="4"/>
  <c r="X73" i="4"/>
  <c r="X6" i="5"/>
  <c r="X10" i="5"/>
  <c r="J12" i="5"/>
  <c r="K12" i="5" s="1"/>
  <c r="F15" i="5"/>
  <c r="G15" i="5" s="1"/>
  <c r="F17" i="5"/>
  <c r="G17" i="5" s="1"/>
  <c r="F20" i="5"/>
  <c r="G20" i="5" s="1"/>
  <c r="X24" i="5"/>
  <c r="J32" i="5"/>
  <c r="K32" i="5" s="1"/>
  <c r="F38" i="5"/>
  <c r="G38" i="5" s="1"/>
  <c r="X41" i="5"/>
  <c r="J53" i="5"/>
  <c r="K53" i="5" s="1"/>
  <c r="F65" i="5"/>
  <c r="G65" i="5" s="1"/>
  <c r="O96" i="5"/>
  <c r="X96" i="5" s="1"/>
  <c r="X75" i="5"/>
  <c r="J85" i="5"/>
  <c r="K85" i="5" s="1"/>
  <c r="F89" i="5"/>
  <c r="G89" i="5" s="1"/>
  <c r="V5" i="6"/>
  <c r="T15" i="6"/>
  <c r="T18" i="6"/>
  <c r="X20" i="6"/>
  <c r="T42" i="6"/>
  <c r="J21" i="5"/>
  <c r="K21" i="5" s="1"/>
  <c r="F22" i="5"/>
  <c r="G22" i="5" s="1"/>
  <c r="J25" i="5"/>
  <c r="K25" i="5" s="1"/>
  <c r="F26" i="5"/>
  <c r="G26" i="5" s="1"/>
  <c r="J29" i="5"/>
  <c r="K29" i="5" s="1"/>
  <c r="X34" i="5"/>
  <c r="X38" i="5"/>
  <c r="X42" i="5"/>
  <c r="X62" i="5"/>
  <c r="X68" i="5"/>
  <c r="F81" i="5"/>
  <c r="G81" i="5" s="1"/>
  <c r="J82" i="5"/>
  <c r="K82" i="5" s="1"/>
  <c r="J87" i="5"/>
  <c r="K87" i="5" s="1"/>
  <c r="F91" i="5"/>
  <c r="G91" i="5" s="1"/>
  <c r="X93" i="5"/>
  <c r="E51" i="6"/>
  <c r="G51" i="6" s="1"/>
  <c r="V43" i="6"/>
  <c r="T45" i="6"/>
  <c r="V78" i="6"/>
  <c r="J36" i="5"/>
  <c r="K36" i="5" s="1"/>
  <c r="F37" i="5"/>
  <c r="G37" i="5" s="1"/>
  <c r="J40" i="5"/>
  <c r="K40" i="5" s="1"/>
  <c r="F41" i="5"/>
  <c r="G41" i="5" s="1"/>
  <c r="J44" i="5"/>
  <c r="K44" i="5" s="1"/>
  <c r="F45" i="5"/>
  <c r="G45" i="5" s="1"/>
  <c r="X47" i="5"/>
  <c r="X72" i="5"/>
  <c r="F76" i="5"/>
  <c r="G76" i="5" s="1"/>
  <c r="J77" i="5"/>
  <c r="K77" i="5" s="1"/>
  <c r="X83" i="5"/>
  <c r="F86" i="5"/>
  <c r="G86" i="5" s="1"/>
  <c r="T3" i="6"/>
  <c r="X8" i="6"/>
  <c r="V10" i="6"/>
  <c r="T12" i="6"/>
  <c r="X17" i="6"/>
  <c r="V19" i="6"/>
  <c r="T21" i="6"/>
  <c r="X26" i="6"/>
  <c r="V28" i="6"/>
  <c r="I51" i="6"/>
  <c r="X34" i="6"/>
  <c r="T36" i="6"/>
  <c r="T38" i="6"/>
  <c r="X43" i="6"/>
  <c r="X75" i="6"/>
  <c r="T83" i="6"/>
  <c r="V33" i="6"/>
  <c r="V42" i="6"/>
  <c r="X79" i="6"/>
  <c r="V84" i="6"/>
  <c r="X87" i="6"/>
  <c r="V90" i="6"/>
  <c r="E51" i="5"/>
  <c r="F31" i="5"/>
  <c r="J34" i="5"/>
  <c r="K34" i="5" s="1"/>
  <c r="F35" i="5"/>
  <c r="G35" i="5" s="1"/>
  <c r="J38" i="5"/>
  <c r="K38" i="5" s="1"/>
  <c r="F39" i="5"/>
  <c r="G39" i="5" s="1"/>
  <c r="J42" i="5"/>
  <c r="K42" i="5" s="1"/>
  <c r="F43" i="5"/>
  <c r="G43" i="5" s="1"/>
  <c r="F48" i="5"/>
  <c r="G48" i="5" s="1"/>
  <c r="F88" i="5"/>
  <c r="G88" i="5" s="1"/>
  <c r="J89" i="5"/>
  <c r="K89" i="5" s="1"/>
  <c r="X95" i="5"/>
  <c r="T4" i="6"/>
  <c r="V11" i="6"/>
  <c r="X18" i="6"/>
  <c r="T22" i="6"/>
  <c r="V29" i="6"/>
  <c r="X35" i="6"/>
  <c r="X44" i="6"/>
  <c r="T46" i="6"/>
  <c r="T62" i="6"/>
  <c r="T68" i="6"/>
  <c r="T24" i="6"/>
  <c r="X29" i="6"/>
  <c r="T32" i="6"/>
  <c r="X37" i="6"/>
  <c r="T41" i="6"/>
  <c r="X46" i="6"/>
  <c r="X48" i="6"/>
  <c r="E96" i="6"/>
  <c r="G96" i="6" s="1"/>
  <c r="I51" i="5"/>
  <c r="J31" i="5"/>
  <c r="F32" i="5"/>
  <c r="G32" i="5" s="1"/>
  <c r="J35" i="5"/>
  <c r="K35" i="5" s="1"/>
  <c r="F36" i="5"/>
  <c r="G36" i="5" s="1"/>
  <c r="J39" i="5"/>
  <c r="K39" i="5" s="1"/>
  <c r="F40" i="5"/>
  <c r="G40" i="5" s="1"/>
  <c r="J43" i="5"/>
  <c r="K43" i="5" s="1"/>
  <c r="F44" i="5"/>
  <c r="G44" i="5" s="1"/>
  <c r="J49" i="5"/>
  <c r="K49" i="5" s="1"/>
  <c r="X54" i="5"/>
  <c r="F67" i="5"/>
  <c r="G67" i="5" s="1"/>
  <c r="F77" i="5"/>
  <c r="G77" i="5" s="1"/>
  <c r="J78" i="5"/>
  <c r="K78" i="5" s="1"/>
  <c r="J83" i="5"/>
  <c r="K83" i="5" s="1"/>
  <c r="F87" i="5"/>
  <c r="G87" i="5" s="1"/>
  <c r="X89" i="5"/>
  <c r="J92" i="5"/>
  <c r="K92" i="5" s="1"/>
  <c r="I30" i="6"/>
  <c r="V39" i="6"/>
  <c r="V80" i="6"/>
  <c r="X85" i="6"/>
  <c r="T91" i="6"/>
  <c r="X11" i="5"/>
  <c r="X15" i="5"/>
  <c r="X19" i="5"/>
  <c r="X23" i="5"/>
  <c r="X27" i="5"/>
  <c r="X46" i="5"/>
  <c r="F59" i="5"/>
  <c r="G59" i="5" s="1"/>
  <c r="J60" i="5"/>
  <c r="K60" i="5" s="1"/>
  <c r="F71" i="5"/>
  <c r="G71" i="5" s="1"/>
  <c r="X79" i="5"/>
  <c r="F82" i="5"/>
  <c r="G82" i="5" s="1"/>
  <c r="X6" i="6"/>
  <c r="T10" i="6"/>
  <c r="V17" i="6"/>
  <c r="X24" i="6"/>
  <c r="T28" i="6"/>
  <c r="X32" i="6"/>
  <c r="V34" i="6"/>
  <c r="X41" i="6"/>
  <c r="V63" i="6"/>
  <c r="V69" i="6"/>
  <c r="X91" i="6"/>
  <c r="J50" i="5"/>
  <c r="K50" i="5" s="1"/>
  <c r="X55" i="5"/>
  <c r="X59" i="5"/>
  <c r="X63" i="5"/>
  <c r="X67" i="5"/>
  <c r="X71" i="5"/>
  <c r="T34" i="6"/>
  <c r="V35" i="6"/>
  <c r="X36" i="6"/>
  <c r="T40" i="6"/>
  <c r="V41" i="6"/>
  <c r="X42" i="6"/>
  <c r="X47" i="6"/>
  <c r="V57" i="6"/>
  <c r="T85" i="6"/>
  <c r="T89" i="6"/>
  <c r="J57" i="5"/>
  <c r="K57" i="5" s="1"/>
  <c r="F58" i="5"/>
  <c r="G58" i="5" s="1"/>
  <c r="J61" i="5"/>
  <c r="K61" i="5" s="1"/>
  <c r="F62" i="5"/>
  <c r="G62" i="5" s="1"/>
  <c r="J65" i="5"/>
  <c r="K65" i="5" s="1"/>
  <c r="F66" i="5"/>
  <c r="G66" i="5" s="1"/>
  <c r="J69" i="5"/>
  <c r="K69" i="5" s="1"/>
  <c r="F70" i="5"/>
  <c r="G70" i="5" s="1"/>
  <c r="J73" i="5"/>
  <c r="K73" i="5" s="1"/>
  <c r="X78" i="5"/>
  <c r="X82" i="5"/>
  <c r="X86" i="5"/>
  <c r="X90" i="5"/>
  <c r="X94" i="5"/>
  <c r="E30" i="6"/>
  <c r="T5" i="6"/>
  <c r="V6" i="6"/>
  <c r="X7" i="6"/>
  <c r="T11" i="6"/>
  <c r="V12" i="6"/>
  <c r="X13" i="6"/>
  <c r="T17" i="6"/>
  <c r="V18" i="6"/>
  <c r="X19" i="6"/>
  <c r="T23" i="6"/>
  <c r="V24" i="6"/>
  <c r="X25" i="6"/>
  <c r="T29" i="6"/>
  <c r="V46" i="6"/>
  <c r="X76" i="6"/>
  <c r="V87" i="6"/>
  <c r="J48" i="5"/>
  <c r="K48" i="5" s="1"/>
  <c r="F49" i="5"/>
  <c r="G49" i="5" s="1"/>
  <c r="X53" i="5"/>
  <c r="X57" i="5"/>
  <c r="X61" i="5"/>
  <c r="X65" i="5"/>
  <c r="X69" i="5"/>
  <c r="X73" i="5"/>
  <c r="T31" i="6"/>
  <c r="V32" i="6"/>
  <c r="X33" i="6"/>
  <c r="T37" i="6"/>
  <c r="V38" i="6"/>
  <c r="X39" i="6"/>
  <c r="T43" i="6"/>
  <c r="V44" i="6"/>
  <c r="X45" i="6"/>
  <c r="V48" i="6"/>
  <c r="X58" i="6"/>
  <c r="T77" i="6"/>
  <c r="T86" i="6"/>
  <c r="F56" i="5"/>
  <c r="G56" i="5" s="1"/>
  <c r="J59" i="5"/>
  <c r="K59" i="5" s="1"/>
  <c r="F60" i="5"/>
  <c r="G60" i="5" s="1"/>
  <c r="J63" i="5"/>
  <c r="K63" i="5" s="1"/>
  <c r="F64" i="5"/>
  <c r="G64" i="5" s="1"/>
  <c r="J67" i="5"/>
  <c r="K67" i="5" s="1"/>
  <c r="F68" i="5"/>
  <c r="G68" i="5" s="1"/>
  <c r="J71" i="5"/>
  <c r="K71" i="5" s="1"/>
  <c r="F72" i="5"/>
  <c r="G72" i="5" s="1"/>
  <c r="X76" i="5"/>
  <c r="X80" i="5"/>
  <c r="X84" i="5"/>
  <c r="X88" i="5"/>
  <c r="X92" i="5"/>
  <c r="V3" i="6"/>
  <c r="X4" i="6"/>
  <c r="T8" i="6"/>
  <c r="V9" i="6"/>
  <c r="X10" i="6"/>
  <c r="T14" i="6"/>
  <c r="V15" i="6"/>
  <c r="X16" i="6"/>
  <c r="T20" i="6"/>
  <c r="V21" i="6"/>
  <c r="X22" i="6"/>
  <c r="T26" i="6"/>
  <c r="V27" i="6"/>
  <c r="X28" i="6"/>
  <c r="T56" i="6"/>
  <c r="V75" i="6"/>
  <c r="V86" i="6"/>
  <c r="X88" i="6"/>
  <c r="X93" i="6"/>
  <c r="X66" i="5"/>
  <c r="X70" i="5"/>
  <c r="X3" i="6"/>
  <c r="T7" i="6"/>
  <c r="V8" i="6"/>
  <c r="X9" i="6"/>
  <c r="T13" i="6"/>
  <c r="V14" i="6"/>
  <c r="X15" i="6"/>
  <c r="T19" i="6"/>
  <c r="V20" i="6"/>
  <c r="X21" i="6"/>
  <c r="T25" i="6"/>
  <c r="V26" i="6"/>
  <c r="X27" i="6"/>
  <c r="T80" i="6"/>
  <c r="V52" i="6"/>
  <c r="X53" i="6"/>
  <c r="T57" i="6"/>
  <c r="V58" i="6"/>
  <c r="X59" i="6"/>
  <c r="T63" i="6"/>
  <c r="V64" i="6"/>
  <c r="X65" i="6"/>
  <c r="T69" i="6"/>
  <c r="V70" i="6"/>
  <c r="X71" i="6"/>
  <c r="D8" i="7"/>
  <c r="J8" i="7"/>
  <c r="E13" i="7"/>
  <c r="K13" i="7"/>
  <c r="B15" i="7"/>
  <c r="H15" i="7"/>
  <c r="N15" i="7"/>
  <c r="E17" i="7"/>
  <c r="K17" i="7"/>
  <c r="B19" i="7"/>
  <c r="H19" i="7"/>
  <c r="N19" i="7"/>
  <c r="E21" i="7"/>
  <c r="K21" i="7"/>
  <c r="B23" i="7"/>
  <c r="H23" i="7"/>
  <c r="N23" i="7"/>
  <c r="D28" i="7"/>
  <c r="K28" i="7"/>
  <c r="F30" i="7"/>
  <c r="N30" i="7"/>
  <c r="F32" i="7"/>
  <c r="L34" i="7"/>
  <c r="C36" i="7"/>
  <c r="B38" i="7"/>
  <c r="H38" i="7"/>
  <c r="N38" i="7"/>
  <c r="H43" i="7"/>
  <c r="F7" i="7"/>
  <c r="L7" i="7"/>
  <c r="D14" i="7"/>
  <c r="J14" i="7"/>
  <c r="D18" i="7"/>
  <c r="J18" i="7"/>
  <c r="D22" i="7"/>
  <c r="J22" i="7"/>
  <c r="E29" i="7"/>
  <c r="L29" i="7"/>
  <c r="K31" i="7"/>
  <c r="B33" i="7"/>
  <c r="N33" i="7"/>
  <c r="H35" i="7"/>
  <c r="H37" i="7"/>
  <c r="F42" i="7"/>
  <c r="B6" i="7"/>
  <c r="H6" i="7"/>
  <c r="N6" i="7"/>
  <c r="E8" i="7"/>
  <c r="K8" i="7"/>
  <c r="F13" i="7"/>
  <c r="L13" i="7"/>
  <c r="C15" i="7"/>
  <c r="I15" i="7"/>
  <c r="F17" i="7"/>
  <c r="L17" i="7"/>
  <c r="C19" i="7"/>
  <c r="I19" i="7"/>
  <c r="F21" i="7"/>
  <c r="L21" i="7"/>
  <c r="C23" i="7"/>
  <c r="I23" i="7"/>
  <c r="E28" i="7"/>
  <c r="L28" i="7"/>
  <c r="F36" i="7"/>
  <c r="N36" i="7"/>
  <c r="C38" i="7"/>
  <c r="I38" i="7"/>
  <c r="L43" i="7"/>
  <c r="X74" i="6"/>
  <c r="T78" i="6"/>
  <c r="V79" i="6"/>
  <c r="X80" i="6"/>
  <c r="T84" i="6"/>
  <c r="V85" i="6"/>
  <c r="X86" i="6"/>
  <c r="T90" i="6"/>
  <c r="V91" i="6"/>
  <c r="X92" i="6"/>
  <c r="B12" i="7"/>
  <c r="H12" i="7"/>
  <c r="N12" i="7"/>
  <c r="E14" i="7"/>
  <c r="K14" i="7"/>
  <c r="B16" i="7"/>
  <c r="H16" i="7"/>
  <c r="N16" i="7"/>
  <c r="E18" i="7"/>
  <c r="K18" i="7"/>
  <c r="B20" i="7"/>
  <c r="H20" i="7"/>
  <c r="N20" i="7"/>
  <c r="E22" i="7"/>
  <c r="K22" i="7"/>
  <c r="B24" i="7"/>
  <c r="H24" i="7"/>
  <c r="N24" i="7"/>
  <c r="F29" i="7"/>
  <c r="D31" i="7"/>
  <c r="L31" i="7"/>
  <c r="F33" i="7"/>
  <c r="L35" i="7"/>
  <c r="I37" i="7"/>
  <c r="N42" i="7"/>
  <c r="T55" i="6"/>
  <c r="V56" i="6"/>
  <c r="X57" i="6"/>
  <c r="T61" i="6"/>
  <c r="V62" i="6"/>
  <c r="X63" i="6"/>
  <c r="T67" i="6"/>
  <c r="V68" i="6"/>
  <c r="X69" i="6"/>
  <c r="T73" i="6"/>
  <c r="C6" i="7"/>
  <c r="I6" i="7"/>
  <c r="F8" i="7"/>
  <c r="L8" i="7"/>
  <c r="D15" i="7"/>
  <c r="J15" i="7"/>
  <c r="D19" i="7"/>
  <c r="J19" i="7"/>
  <c r="D23" i="7"/>
  <c r="J23" i="7"/>
  <c r="F28" i="7"/>
  <c r="J30" i="7"/>
  <c r="H32" i="7"/>
  <c r="B34" i="7"/>
  <c r="N34" i="7"/>
  <c r="D38" i="7"/>
  <c r="J38" i="7"/>
  <c r="T95" i="6"/>
  <c r="B7" i="7"/>
  <c r="H7" i="7"/>
  <c r="N7" i="7"/>
  <c r="C12" i="7"/>
  <c r="I12" i="7"/>
  <c r="F14" i="7"/>
  <c r="L14" i="7"/>
  <c r="C16" i="7"/>
  <c r="I16" i="7"/>
  <c r="F18" i="7"/>
  <c r="L18" i="7"/>
  <c r="C20" i="7"/>
  <c r="I20" i="7"/>
  <c r="F22" i="7"/>
  <c r="L22" i="7"/>
  <c r="C24" i="7"/>
  <c r="I24" i="7"/>
  <c r="N29" i="7"/>
  <c r="E31" i="7"/>
  <c r="B37" i="7"/>
  <c r="L37" i="7"/>
  <c r="H42" i="7"/>
  <c r="E74" i="6"/>
  <c r="G74" i="6" s="1"/>
  <c r="T54" i="6"/>
  <c r="V55" i="6"/>
  <c r="X56" i="6"/>
  <c r="T60" i="6"/>
  <c r="V61" i="6"/>
  <c r="X62" i="6"/>
  <c r="T66" i="6"/>
  <c r="V67" i="6"/>
  <c r="X68" i="6"/>
  <c r="T72" i="6"/>
  <c r="V73" i="6"/>
  <c r="D6" i="7"/>
  <c r="J6" i="7"/>
  <c r="B13" i="7"/>
  <c r="H13" i="7"/>
  <c r="N13" i="7"/>
  <c r="E15" i="7"/>
  <c r="K15" i="7"/>
  <c r="B17" i="7"/>
  <c r="H17" i="7"/>
  <c r="N17" i="7"/>
  <c r="E19" i="7"/>
  <c r="K19" i="7"/>
  <c r="B21" i="7"/>
  <c r="H21" i="7"/>
  <c r="N21" i="7"/>
  <c r="E23" i="7"/>
  <c r="K23" i="7"/>
  <c r="N28" i="7"/>
  <c r="K30" i="7"/>
  <c r="L32" i="7"/>
  <c r="F34" i="7"/>
  <c r="H36" i="7"/>
  <c r="E38" i="7"/>
  <c r="K38" i="7"/>
  <c r="B43" i="7"/>
  <c r="N43" i="7"/>
  <c r="T49" i="6"/>
  <c r="V50" i="6"/>
  <c r="I74" i="6"/>
  <c r="K74" i="6" s="1"/>
  <c r="T76" i="6"/>
  <c r="V77" i="6"/>
  <c r="X78" i="6"/>
  <c r="T82" i="6"/>
  <c r="V83" i="6"/>
  <c r="X84" i="6"/>
  <c r="T88" i="6"/>
  <c r="V89" i="6"/>
  <c r="X90" i="6"/>
  <c r="T94" i="6"/>
  <c r="V95" i="6"/>
  <c r="C7" i="7"/>
  <c r="I7" i="7"/>
  <c r="D12" i="7"/>
  <c r="J12" i="7"/>
  <c r="D16" i="7"/>
  <c r="J16" i="7"/>
  <c r="D20" i="7"/>
  <c r="J20" i="7"/>
  <c r="D24" i="7"/>
  <c r="J24" i="7"/>
  <c r="H29" i="7"/>
  <c r="F31" i="7"/>
  <c r="N31" i="7"/>
  <c r="H33" i="7"/>
  <c r="B35" i="7"/>
  <c r="N35" i="7"/>
  <c r="C37" i="7"/>
  <c r="B42" i="7"/>
  <c r="I42" i="7"/>
  <c r="I44" i="7" s="1"/>
  <c r="T53" i="6"/>
  <c r="V54" i="6"/>
  <c r="X55" i="6"/>
  <c r="T59" i="6"/>
  <c r="V60" i="6"/>
  <c r="X61" i="6"/>
  <c r="T65" i="6"/>
  <c r="V66" i="6"/>
  <c r="X67" i="6"/>
  <c r="T71" i="6"/>
  <c r="V72" i="6"/>
  <c r="X73" i="6"/>
  <c r="E6" i="7"/>
  <c r="K6" i="7"/>
  <c r="B8" i="7"/>
  <c r="H8" i="7"/>
  <c r="N8" i="7"/>
  <c r="C13" i="7"/>
  <c r="I13" i="7"/>
  <c r="F15" i="7"/>
  <c r="L15" i="7"/>
  <c r="C17" i="7"/>
  <c r="I17" i="7"/>
  <c r="F19" i="7"/>
  <c r="L19" i="7"/>
  <c r="C21" i="7"/>
  <c r="I21" i="7"/>
  <c r="F23" i="7"/>
  <c r="L23" i="7"/>
  <c r="H28" i="7"/>
  <c r="D30" i="7"/>
  <c r="L30" i="7"/>
  <c r="I36" i="7"/>
  <c r="F38" i="7"/>
  <c r="L38" i="7"/>
  <c r="F43" i="7"/>
  <c r="T48" i="6"/>
  <c r="V49" i="6"/>
  <c r="X50" i="6"/>
  <c r="T75" i="6"/>
  <c r="V76" i="6"/>
  <c r="X77" i="6"/>
  <c r="T81" i="6"/>
  <c r="V82" i="6"/>
  <c r="X83" i="6"/>
  <c r="T87" i="6"/>
  <c r="V88" i="6"/>
  <c r="X89" i="6"/>
  <c r="T93" i="6"/>
  <c r="V94" i="6"/>
  <c r="X95" i="6"/>
  <c r="D7" i="7"/>
  <c r="J7" i="7"/>
  <c r="E12" i="7"/>
  <c r="K12" i="7"/>
  <c r="B14" i="7"/>
  <c r="H14" i="7"/>
  <c r="N14" i="7"/>
  <c r="E16" i="7"/>
  <c r="K16" i="7"/>
  <c r="B18" i="7"/>
  <c r="H18" i="7"/>
  <c r="N18" i="7"/>
  <c r="E20" i="7"/>
  <c r="K20" i="7"/>
  <c r="B22" i="7"/>
  <c r="H22" i="7"/>
  <c r="N22" i="7"/>
  <c r="E24" i="7"/>
  <c r="K24" i="7"/>
  <c r="B29" i="7"/>
  <c r="J29" i="7"/>
  <c r="L33" i="7"/>
  <c r="F35" i="7"/>
  <c r="F37" i="7"/>
  <c r="N37" i="7"/>
  <c r="C42" i="7"/>
  <c r="C44" i="7" s="1"/>
  <c r="J42" i="7"/>
  <c r="J44" i="7" s="1"/>
  <c r="T52" i="6"/>
  <c r="V53" i="6"/>
  <c r="X54" i="6"/>
  <c r="T58" i="6"/>
  <c r="V59" i="6"/>
  <c r="X60" i="6"/>
  <c r="T64" i="6"/>
  <c r="V65" i="6"/>
  <c r="X66" i="6"/>
  <c r="T70" i="6"/>
  <c r="V71" i="6"/>
  <c r="X72" i="6"/>
  <c r="F6" i="7"/>
  <c r="L6" i="7"/>
  <c r="C8" i="7"/>
  <c r="I8" i="7"/>
  <c r="D13" i="7"/>
  <c r="J13" i="7"/>
  <c r="D17" i="7"/>
  <c r="J17" i="7"/>
  <c r="D21" i="7"/>
  <c r="J21" i="7"/>
  <c r="B28" i="7"/>
  <c r="J28" i="7"/>
  <c r="E30" i="7"/>
  <c r="B32" i="7"/>
  <c r="N32" i="7"/>
  <c r="H34" i="7"/>
  <c r="B36" i="7"/>
  <c r="L36" i="7"/>
  <c r="T92" i="6"/>
  <c r="V93" i="6"/>
  <c r="X94" i="6"/>
  <c r="E7" i="7"/>
  <c r="K7" i="7"/>
  <c r="F12" i="7"/>
  <c r="L12" i="7"/>
  <c r="C14" i="7"/>
  <c r="I14" i="7"/>
  <c r="F16" i="7"/>
  <c r="L16" i="7"/>
  <c r="C18" i="7"/>
  <c r="I18" i="7"/>
  <c r="F20" i="7"/>
  <c r="L20" i="7"/>
  <c r="C22" i="7"/>
  <c r="I22" i="7"/>
  <c r="F24" i="7"/>
  <c r="L24" i="7"/>
  <c r="D29" i="7"/>
  <c r="K29" i="7"/>
  <c r="J31" i="7"/>
  <c r="D42" i="7"/>
  <c r="D44" i="7" s="1"/>
  <c r="L42" i="7"/>
  <c r="H97" i="4"/>
  <c r="M97" i="4" s="1"/>
  <c r="M30" i="4"/>
  <c r="M51" i="2"/>
  <c r="L51" i="2"/>
  <c r="L74" i="3"/>
  <c r="M97" i="2"/>
  <c r="M74" i="2"/>
  <c r="C97" i="2"/>
  <c r="L97" i="2" s="1"/>
  <c r="L51" i="3"/>
  <c r="D97" i="3"/>
  <c r="L30" i="3"/>
  <c r="M51" i="3"/>
  <c r="M30" i="3"/>
  <c r="H97" i="3"/>
  <c r="N97" i="3"/>
  <c r="C97" i="3"/>
  <c r="L51" i="4"/>
  <c r="M51" i="4"/>
  <c r="D97" i="4"/>
  <c r="N97" i="4"/>
  <c r="C97" i="4"/>
  <c r="M74" i="4"/>
  <c r="L74" i="4"/>
  <c r="L96" i="4"/>
  <c r="J97" i="6"/>
  <c r="D97" i="5"/>
  <c r="L97" i="5" s="1"/>
  <c r="C97" i="5"/>
  <c r="K51" i="6"/>
  <c r="X51" i="6"/>
  <c r="X30" i="6"/>
  <c r="L51" i="6"/>
  <c r="I96" i="6"/>
  <c r="K96" i="6" s="1"/>
  <c r="D97" i="6"/>
  <c r="M97" i="6"/>
  <c r="C97" i="6"/>
  <c r="X97" i="6"/>
  <c r="X96" i="6"/>
  <c r="U14" i="2"/>
  <c r="S23" i="2"/>
  <c r="U55" i="2"/>
  <c r="S43" i="2"/>
  <c r="S60" i="2"/>
  <c r="U68" i="2"/>
  <c r="U33" i="3"/>
  <c r="U42" i="2"/>
  <c r="S8" i="2"/>
  <c r="U90" i="2"/>
  <c r="S37" i="2"/>
  <c r="U53" i="3"/>
  <c r="U28" i="2"/>
  <c r="S42" i="3"/>
  <c r="S9" i="3"/>
  <c r="S39" i="3"/>
  <c r="S77" i="2"/>
  <c r="U39" i="2"/>
  <c r="U37" i="3"/>
  <c r="S64" i="2"/>
  <c r="S16" i="3"/>
  <c r="S58" i="3"/>
  <c r="S26" i="3"/>
  <c r="W51" i="3"/>
  <c r="U18" i="3"/>
  <c r="S92" i="3"/>
  <c r="U60" i="3"/>
  <c r="S93" i="4"/>
  <c r="S25" i="4"/>
  <c r="S91" i="3"/>
  <c r="U41" i="4"/>
  <c r="S81" i="3"/>
  <c r="U56" i="4"/>
  <c r="S78" i="3"/>
  <c r="S21" i="4"/>
  <c r="W96" i="4"/>
  <c r="S26" i="4"/>
  <c r="S76" i="4"/>
  <c r="U89" i="4"/>
  <c r="S36" i="4"/>
  <c r="S62" i="4"/>
  <c r="G23" i="7" a="1"/>
  <c r="G24" i="7" a="1"/>
  <c r="S51" i="5"/>
  <c r="U84" i="2"/>
  <c r="U60" i="2"/>
  <c r="U59" i="2"/>
  <c r="S28" i="3"/>
  <c r="U59" i="3"/>
  <c r="S85" i="4"/>
  <c r="U62" i="3"/>
  <c r="S79" i="3"/>
  <c r="S63" i="4"/>
  <c r="G16" i="7" a="1"/>
  <c r="S88" i="3"/>
  <c r="U66" i="2"/>
  <c r="U49" i="2"/>
  <c r="S73" i="3"/>
  <c r="S94" i="4"/>
  <c r="U22" i="4"/>
  <c r="S81" i="4"/>
  <c r="U35" i="3"/>
  <c r="S71" i="2"/>
  <c r="U69" i="2"/>
  <c r="S46" i="3"/>
  <c r="U4" i="4"/>
  <c r="S69" i="4"/>
  <c r="S55" i="4"/>
  <c r="G19" i="7" a="1"/>
  <c r="U80" i="2"/>
  <c r="S21" i="2"/>
  <c r="S56" i="3"/>
  <c r="U78" i="4"/>
  <c r="S35" i="2"/>
  <c r="S54" i="2"/>
  <c r="U62" i="2"/>
  <c r="S70" i="2"/>
  <c r="S73" i="2"/>
  <c r="P7" i="1" a="1"/>
  <c r="W30" i="2"/>
  <c r="U89" i="2"/>
  <c r="U38" i="3"/>
  <c r="S49" i="2"/>
  <c r="U11" i="2"/>
  <c r="S58" i="2"/>
  <c r="S5" i="3"/>
  <c r="S39" i="2"/>
  <c r="U32" i="2"/>
  <c r="U9" i="4"/>
  <c r="U55" i="3"/>
  <c r="U82" i="2"/>
  <c r="S40" i="2"/>
  <c r="S40" i="3"/>
  <c r="U67" i="2"/>
  <c r="S60" i="3"/>
  <c r="U19" i="3"/>
  <c r="S68" i="3"/>
  <c r="U5" i="3"/>
  <c r="U29" i="3"/>
  <c r="S83" i="4"/>
  <c r="S19" i="3"/>
  <c r="U88" i="2"/>
  <c r="S12" i="4"/>
  <c r="S61" i="3"/>
  <c r="W74" i="3"/>
  <c r="W51" i="4"/>
  <c r="U93" i="4"/>
  <c r="S29" i="4"/>
  <c r="U94" i="3"/>
  <c r="U84" i="3"/>
  <c r="U54" i="4"/>
  <c r="U81" i="3"/>
  <c r="U29" i="4"/>
  <c r="U77" i="4"/>
  <c r="U39" i="4"/>
  <c r="U92" i="4"/>
  <c r="S59" i="4"/>
  <c r="U65" i="4"/>
  <c r="S56" i="4"/>
  <c r="G29" i="7" a="1"/>
  <c r="G22" i="7" a="1"/>
  <c r="G31" i="7" a="1"/>
  <c r="U51" i="5"/>
  <c r="S20" i="2"/>
  <c r="S94" i="2"/>
  <c r="U78" i="2"/>
  <c r="S72" i="3"/>
  <c r="S45" i="3"/>
  <c r="U10" i="4"/>
  <c r="S90" i="3"/>
  <c r="U67" i="4"/>
  <c r="G17" i="7" a="1"/>
  <c r="S25" i="3"/>
  <c r="S32" i="3"/>
  <c r="U17" i="3"/>
  <c r="S28" i="4"/>
  <c r="S41" i="4"/>
  <c r="S67" i="4"/>
  <c r="S15" i="2"/>
  <c r="U29" i="2"/>
  <c r="S24" i="2"/>
  <c r="S87" i="2"/>
  <c r="S18" i="3"/>
  <c r="U46" i="3"/>
  <c r="S83" i="3"/>
  <c r="S34" i="4"/>
  <c r="U42" i="4"/>
  <c r="G30" i="7" a="1"/>
  <c r="G8" i="7" a="1"/>
  <c r="S78" i="2"/>
  <c r="S85" i="2"/>
  <c r="U61" i="3"/>
  <c r="S43" i="4"/>
  <c r="S72" i="4"/>
  <c r="S27" i="2"/>
  <c r="S95" i="4"/>
  <c r="U24" i="3"/>
  <c r="U95" i="2"/>
  <c r="S53" i="2"/>
  <c r="U8" i="3"/>
  <c r="S67" i="2"/>
  <c r="S17" i="3"/>
  <c r="U50" i="2"/>
  <c r="S12" i="2"/>
  <c r="S63" i="2"/>
  <c r="S38" i="2"/>
  <c r="U50" i="3"/>
  <c r="U40" i="2"/>
  <c r="U8" i="2"/>
  <c r="S34" i="2"/>
  <c r="U86" i="4"/>
  <c r="U79" i="2"/>
  <c r="U71" i="3"/>
  <c r="S90" i="2"/>
  <c r="U43" i="2"/>
  <c r="S84" i="2"/>
  <c r="S68" i="2"/>
  <c r="U65" i="3"/>
  <c r="S20" i="3"/>
  <c r="U95" i="3"/>
  <c r="U32" i="3"/>
  <c r="S6" i="3"/>
  <c r="S34" i="3"/>
  <c r="S35" i="3"/>
  <c r="U22" i="3"/>
  <c r="S89" i="2"/>
  <c r="U88" i="4"/>
  <c r="U64" i="3"/>
  <c r="U54" i="3"/>
  <c r="S6" i="4"/>
  <c r="S76" i="3"/>
  <c r="S95" i="3"/>
  <c r="S61" i="4"/>
  <c r="S85" i="3"/>
  <c r="U66" i="4"/>
  <c r="S4" i="4"/>
  <c r="U79" i="4"/>
  <c r="S82" i="3"/>
  <c r="U33" i="4"/>
  <c r="U12" i="4"/>
  <c r="U85" i="4"/>
  <c r="S40" i="4"/>
  <c r="U60" i="4"/>
  <c r="S66" i="4"/>
  <c r="U59" i="4"/>
  <c r="G13" i="7" a="1"/>
  <c r="U83" i="2"/>
  <c r="U16" i="2"/>
  <c r="U8" i="4"/>
  <c r="S14" i="3"/>
  <c r="U34" i="3"/>
  <c r="S27" i="4"/>
  <c r="S18" i="4"/>
  <c r="G34" i="7" a="1"/>
  <c r="U54" i="2"/>
  <c r="U10" i="2"/>
  <c r="U56" i="2"/>
  <c r="S17" i="2"/>
  <c r="U16" i="4"/>
  <c r="S62" i="3"/>
  <c r="S7" i="3"/>
  <c r="U78" i="3"/>
  <c r="U48" i="3"/>
  <c r="S11" i="4"/>
  <c r="U93" i="3"/>
  <c r="S68" i="4"/>
  <c r="S11" i="2"/>
  <c r="S50" i="2"/>
  <c r="S13" i="3"/>
  <c r="U91" i="3"/>
  <c r="S42" i="4"/>
  <c r="U23" i="4"/>
  <c r="U82" i="4"/>
  <c r="U71" i="4"/>
  <c r="S74" i="5"/>
  <c r="U93" i="2"/>
  <c r="U91" i="2"/>
  <c r="U27" i="2"/>
  <c r="S54" i="3"/>
  <c r="U21" i="3"/>
  <c r="U80" i="4"/>
  <c r="S13" i="4"/>
  <c r="U57" i="4"/>
  <c r="U44" i="2"/>
  <c r="U6" i="2"/>
  <c r="U5" i="2"/>
  <c r="S5" i="2"/>
  <c r="S4" i="2"/>
  <c r="S55" i="2"/>
  <c r="S6" i="2"/>
  <c r="U53" i="2"/>
  <c r="U15" i="2"/>
  <c r="S66" i="2"/>
  <c r="U37" i="4"/>
  <c r="S47" i="2"/>
  <c r="S9" i="2"/>
  <c r="P8" i="1" a="1"/>
  <c r="W51" i="2"/>
  <c r="U41" i="2"/>
  <c r="S81" i="2"/>
  <c r="S91" i="2"/>
  <c r="S44" i="2"/>
  <c r="U4" i="3"/>
  <c r="U71" i="2"/>
  <c r="U73" i="3"/>
  <c r="U23" i="3"/>
  <c r="U9" i="3"/>
  <c r="U41" i="3"/>
  <c r="U55" i="4"/>
  <c r="U43" i="3"/>
  <c r="S23" i="3"/>
  <c r="U92" i="2"/>
  <c r="S65" i="3"/>
  <c r="S55" i="3"/>
  <c r="U28" i="4"/>
  <c r="U40" i="3"/>
  <c r="U83" i="3"/>
  <c r="U14" i="4"/>
  <c r="U64" i="4"/>
  <c r="U88" i="3"/>
  <c r="U7" i="4"/>
  <c r="U81" i="4"/>
  <c r="U85" i="3"/>
  <c r="S15" i="4"/>
  <c r="S89" i="4"/>
  <c r="S86" i="4"/>
  <c r="U43" i="4"/>
  <c r="S71" i="4"/>
  <c r="U69" i="4"/>
  <c r="S60" i="4"/>
  <c r="S46" i="2"/>
  <c r="S88" i="2"/>
  <c r="U57" i="3"/>
  <c r="U17" i="4"/>
  <c r="U40" i="4"/>
  <c r="U33" i="2"/>
  <c r="U70" i="2"/>
  <c r="S92" i="2"/>
  <c r="S64" i="3"/>
  <c r="U15" i="4"/>
  <c r="S92" i="4"/>
  <c r="U32" i="4"/>
  <c r="S39" i="4"/>
  <c r="U61" i="2"/>
  <c r="S8" i="3"/>
  <c r="U70" i="4"/>
  <c r="U79" i="3"/>
  <c r="S38" i="4"/>
  <c r="S22" i="2"/>
  <c r="U77" i="2"/>
  <c r="W30" i="4"/>
  <c r="U86" i="3"/>
  <c r="S45" i="4"/>
  <c r="U37" i="2"/>
  <c r="U13" i="2"/>
  <c r="U7" i="2"/>
  <c r="U24" i="4"/>
  <c r="P10" i="1" a="1"/>
  <c r="W96" i="2"/>
  <c r="S16" i="2"/>
  <c r="S69" i="2"/>
  <c r="S57" i="2"/>
  <c r="U48" i="2"/>
  <c r="U12" i="2"/>
  <c r="S42" i="2"/>
  <c r="U86" i="2"/>
  <c r="W96" i="3"/>
  <c r="U47" i="2"/>
  <c r="S79" i="2"/>
  <c r="U70" i="3"/>
  <c r="S72" i="2"/>
  <c r="S24" i="3"/>
  <c r="S16" i="4"/>
  <c r="U39" i="3"/>
  <c r="S10" i="3"/>
  <c r="S47" i="3"/>
  <c r="U26" i="3"/>
  <c r="S93" i="2"/>
  <c r="U49" i="3"/>
  <c r="U27" i="4"/>
  <c r="U68" i="3"/>
  <c r="U58" i="3"/>
  <c r="U62" i="4"/>
  <c r="S9" i="4"/>
  <c r="S41" i="3"/>
  <c r="U19" i="4"/>
  <c r="U6" i="4"/>
  <c r="S89" i="3"/>
  <c r="S8" i="4"/>
  <c r="U94" i="4"/>
  <c r="S86" i="3"/>
  <c r="S17" i="4"/>
  <c r="U36" i="4"/>
  <c r="U34" i="4"/>
  <c r="S44" i="4"/>
  <c r="S70" i="4"/>
  <c r="U48" i="4"/>
  <c r="U63" i="4"/>
  <c r="G36" i="7" a="1"/>
  <c r="G33" i="7" a="1"/>
  <c r="G15" i="7" a="1"/>
  <c r="U26" i="2"/>
  <c r="S38" i="3"/>
  <c r="S62" i="2"/>
  <c r="S4" i="3"/>
  <c r="U69" i="3"/>
  <c r="S36" i="3"/>
  <c r="U90" i="4"/>
  <c r="G38" i="7" a="1"/>
  <c r="U21" i="2"/>
  <c r="S65" i="2"/>
  <c r="P9" i="1" a="1"/>
  <c r="W74" i="2"/>
  <c r="U7" i="3"/>
  <c r="S63" i="3"/>
  <c r="U82" i="3"/>
  <c r="U65" i="2"/>
  <c r="U20" i="2"/>
  <c r="U72" i="3"/>
  <c r="U36" i="3"/>
  <c r="U10" i="3"/>
  <c r="S49" i="3"/>
  <c r="S94" i="3"/>
  <c r="S77" i="4"/>
  <c r="G43" i="7" a="1"/>
  <c r="U4" i="2"/>
  <c r="U36" i="2"/>
  <c r="S54" i="4"/>
  <c r="U72" i="4"/>
  <c r="S73" i="4"/>
  <c r="S26" i="2"/>
  <c r="U9" i="2"/>
  <c r="U22" i="2"/>
  <c r="U64" i="2"/>
  <c r="S14" i="2"/>
  <c r="S33" i="3"/>
  <c r="S59" i="2"/>
  <c r="U19" i="2"/>
  <c r="U73" i="2"/>
  <c r="U58" i="2"/>
  <c r="U72" i="2"/>
  <c r="S13" i="2"/>
  <c r="S56" i="2"/>
  <c r="U45" i="2"/>
  <c r="U87" i="2"/>
  <c r="S57" i="4"/>
  <c r="S21" i="3"/>
  <c r="S48" i="2"/>
  <c r="U28" i="3"/>
  <c r="S86" i="2"/>
  <c r="U27" i="3"/>
  <c r="S43" i="3"/>
  <c r="U13" i="3"/>
  <c r="U67" i="3"/>
  <c r="S53" i="3"/>
  <c r="S27" i="3"/>
  <c r="S50" i="3"/>
  <c r="S47" i="4"/>
  <c r="S70" i="3"/>
  <c r="S46" i="4"/>
  <c r="S59" i="3"/>
  <c r="S84" i="4"/>
  <c r="U13" i="4"/>
  <c r="U44" i="3"/>
  <c r="S5" i="4"/>
  <c r="S69" i="3"/>
  <c r="U20" i="4"/>
  <c r="S7" i="4"/>
  <c r="U92" i="3"/>
  <c r="U11" i="4"/>
  <c r="U89" i="3"/>
  <c r="U58" i="4"/>
  <c r="S20" i="4"/>
  <c r="S37" i="4"/>
  <c r="S35" i="4"/>
  <c r="U49" i="4"/>
  <c r="S82" i="4"/>
  <c r="U50" i="4"/>
  <c r="U73" i="4"/>
  <c r="S49" i="4"/>
  <c r="S64" i="4"/>
  <c r="G7" i="7" a="1"/>
  <c r="G14" i="7" a="1"/>
  <c r="U34" i="2"/>
  <c r="S76" i="2"/>
  <c r="W30" i="3"/>
  <c r="U6" i="3"/>
  <c r="S93" i="3"/>
  <c r="U38" i="4"/>
  <c r="U23" i="2"/>
  <c r="S95" i="2"/>
  <c r="U85" i="2"/>
  <c r="S71" i="3"/>
  <c r="S80" i="3"/>
  <c r="S33" i="4"/>
  <c r="U94" i="2"/>
  <c r="U16" i="3"/>
  <c r="U26" i="4"/>
  <c r="U45" i="3"/>
  <c r="U66" i="3"/>
  <c r="U44" i="4"/>
  <c r="U11" i="3"/>
  <c r="S11" i="3"/>
  <c r="S67" i="3"/>
  <c r="S23" i="4"/>
  <c r="U21" i="4"/>
  <c r="U57" i="2"/>
  <c r="S19" i="2"/>
  <c r="S29" i="3"/>
  <c r="S10" i="2"/>
  <c r="U17" i="2"/>
  <c r="U42" i="3"/>
  <c r="S45" i="2"/>
  <c r="S83" i="2"/>
  <c r="S28" i="2"/>
  <c r="S82" i="2"/>
  <c r="S29" i="2"/>
  <c r="S44" i="3"/>
  <c r="U24" i="2"/>
  <c r="U12" i="3"/>
  <c r="S80" i="2"/>
  <c r="U35" i="2"/>
  <c r="U47" i="4"/>
  <c r="U20" i="3"/>
  <c r="S12" i="3"/>
  <c r="U95" i="4"/>
  <c r="S22" i="3"/>
  <c r="U14" i="3"/>
  <c r="S66" i="3"/>
  <c r="U76" i="3"/>
  <c r="U56" i="3"/>
  <c r="U91" i="4"/>
  <c r="S10" i="4"/>
  <c r="U76" i="4"/>
  <c r="U5" i="4"/>
  <c r="S87" i="3"/>
  <c r="S78" i="4"/>
  <c r="S24" i="4"/>
  <c r="S50" i="4"/>
  <c r="U45" i="4"/>
  <c r="S14" i="4"/>
  <c r="U53" i="4"/>
  <c r="S22" i="4"/>
  <c r="S91" i="4"/>
  <c r="S48" i="4"/>
  <c r="S32" i="4"/>
  <c r="U83" i="4"/>
  <c r="S58" i="4"/>
  <c r="G32" i="7" a="1"/>
  <c r="G21" i="7" a="1"/>
  <c r="G35" i="7" a="1"/>
  <c r="G20" i="7" a="1"/>
  <c r="S61" i="2"/>
  <c r="U81" i="2"/>
  <c r="S18" i="2"/>
  <c r="U38" i="2"/>
  <c r="U18" i="2"/>
  <c r="U25" i="2"/>
  <c r="U46" i="2"/>
  <c r="S41" i="2"/>
  <c r="U63" i="3"/>
  <c r="S32" i="2"/>
  <c r="S33" i="2"/>
  <c r="U47" i="3"/>
  <c r="S25" i="2"/>
  <c r="S37" i="3"/>
  <c r="U76" i="2"/>
  <c r="S36" i="2"/>
  <c r="S90" i="4"/>
  <c r="U63" i="2"/>
  <c r="U15" i="3"/>
  <c r="U25" i="3"/>
  <c r="U18" i="4"/>
  <c r="S15" i="3"/>
  <c r="S84" i="3"/>
  <c r="S77" i="3"/>
  <c r="S57" i="3"/>
  <c r="S48" i="3"/>
  <c r="U87" i="3"/>
  <c r="U84" i="4"/>
  <c r="S79" i="4"/>
  <c r="U90" i="3"/>
  <c r="S80" i="4"/>
  <c r="U80" i="3"/>
  <c r="W74" i="4"/>
  <c r="S53" i="4"/>
  <c r="U77" i="3"/>
  <c r="S19" i="4"/>
  <c r="S65" i="4"/>
  <c r="U25" i="4"/>
  <c r="S88" i="4"/>
  <c r="U35" i="4"/>
  <c r="S87" i="4"/>
  <c r="U61" i="4"/>
  <c r="G37" i="7" a="1"/>
  <c r="S7" i="2"/>
  <c r="U68" i="4"/>
  <c r="U46" i="4"/>
  <c r="U87" i="4"/>
  <c r="G18" i="7" a="1"/>
  <c r="U96" i="5"/>
  <c r="U74" i="5"/>
  <c r="S96" i="5"/>
  <c r="E9" i="7" l="1"/>
  <c r="N9" i="7"/>
  <c r="J9" i="7"/>
  <c r="H44" i="7"/>
  <c r="B44" i="7"/>
  <c r="C9" i="7"/>
  <c r="I9" i="7"/>
  <c r="I97" i="3"/>
  <c r="B9" i="7"/>
  <c r="H25" i="7"/>
  <c r="N25" i="7"/>
  <c r="G18" i="7"/>
  <c r="G37" i="7"/>
  <c r="X74" i="4"/>
  <c r="T36" i="2"/>
  <c r="G20" i="7"/>
  <c r="G35" i="7"/>
  <c r="G21" i="7"/>
  <c r="G32" i="7"/>
  <c r="G14" i="7"/>
  <c r="G7" i="7"/>
  <c r="T48" i="2"/>
  <c r="V36" i="2"/>
  <c r="G43" i="7"/>
  <c r="X74" i="2"/>
  <c r="P9" i="1"/>
  <c r="G38" i="7"/>
  <c r="G15" i="7"/>
  <c r="G33" i="7"/>
  <c r="G36" i="7"/>
  <c r="V47" i="2"/>
  <c r="V48" i="2"/>
  <c r="P10" i="1"/>
  <c r="T44" i="2"/>
  <c r="P8" i="1"/>
  <c r="T47" i="2"/>
  <c r="V44" i="2"/>
  <c r="T50" i="2"/>
  <c r="G34" i="7"/>
  <c r="G13" i="7"/>
  <c r="V40" i="2"/>
  <c r="V50" i="2"/>
  <c r="G8" i="7"/>
  <c r="G30" i="7"/>
  <c r="G17" i="7"/>
  <c r="G31" i="7"/>
  <c r="G22" i="7"/>
  <c r="G29" i="7"/>
  <c r="X51" i="4"/>
  <c r="T40" i="2"/>
  <c r="P7" i="1"/>
  <c r="G19" i="7"/>
  <c r="G16" i="7"/>
  <c r="G24" i="7"/>
  <c r="G23" i="7"/>
  <c r="X96" i="4"/>
  <c r="X96" i="2"/>
  <c r="T96" i="6"/>
  <c r="V74" i="6"/>
  <c r="V96" i="6"/>
  <c r="O33" i="7"/>
  <c r="O8" i="7"/>
  <c r="V87" i="5"/>
  <c r="V46" i="5"/>
  <c r="V68" i="5"/>
  <c r="T7" i="3"/>
  <c r="T33" i="2"/>
  <c r="T54" i="2"/>
  <c r="M97" i="5"/>
  <c r="O20" i="7"/>
  <c r="O21" i="7"/>
  <c r="O34" i="7"/>
  <c r="E97" i="6"/>
  <c r="G97" i="6" s="1"/>
  <c r="G30" i="6"/>
  <c r="V61" i="5"/>
  <c r="T87" i="5"/>
  <c r="V35" i="5"/>
  <c r="T88" i="5"/>
  <c r="V25" i="5"/>
  <c r="T65" i="5"/>
  <c r="T19" i="5"/>
  <c r="V77" i="4"/>
  <c r="T53" i="5"/>
  <c r="V80" i="4"/>
  <c r="T80" i="5"/>
  <c r="V90" i="4"/>
  <c r="T79" i="5"/>
  <c r="V84" i="5"/>
  <c r="V87" i="4"/>
  <c r="T48" i="4"/>
  <c r="T57" i="4"/>
  <c r="T77" i="4"/>
  <c r="T84" i="4"/>
  <c r="T15" i="4"/>
  <c r="V18" i="5"/>
  <c r="V25" i="4"/>
  <c r="V15" i="4"/>
  <c r="V63" i="3"/>
  <c r="T90" i="5"/>
  <c r="T36" i="3"/>
  <c r="V76" i="3"/>
  <c r="K31" i="4"/>
  <c r="J51" i="4"/>
  <c r="K51" i="4" s="1"/>
  <c r="T37" i="4"/>
  <c r="T25" i="3"/>
  <c r="V47" i="4"/>
  <c r="T33" i="3"/>
  <c r="T94" i="2"/>
  <c r="T32" i="3"/>
  <c r="V63" i="4"/>
  <c r="T41" i="3"/>
  <c r="F51" i="3"/>
  <c r="G51" i="3" s="1"/>
  <c r="G31" i="3"/>
  <c r="V46" i="3"/>
  <c r="T88" i="2"/>
  <c r="T57" i="2"/>
  <c r="V82" i="2"/>
  <c r="V26" i="2"/>
  <c r="V25" i="3"/>
  <c r="T60" i="2"/>
  <c r="V18" i="3"/>
  <c r="T41" i="2"/>
  <c r="V38" i="3"/>
  <c r="T55" i="2"/>
  <c r="T18" i="3"/>
  <c r="T84" i="2"/>
  <c r="V81" i="3"/>
  <c r="T61" i="3"/>
  <c r="T66" i="2"/>
  <c r="V16" i="2"/>
  <c r="V73" i="2"/>
  <c r="T10" i="2"/>
  <c r="L97" i="6"/>
  <c r="K9" i="7"/>
  <c r="D9" i="7"/>
  <c r="O18" i="7"/>
  <c r="H9" i="7"/>
  <c r="T58" i="5"/>
  <c r="V83" i="5"/>
  <c r="T32" i="5"/>
  <c r="T48" i="5"/>
  <c r="T91" i="5"/>
  <c r="T22" i="5"/>
  <c r="V53" i="5"/>
  <c r="T14" i="5"/>
  <c r="V45" i="5"/>
  <c r="T50" i="5"/>
  <c r="T24" i="5"/>
  <c r="T78" i="5"/>
  <c r="T87" i="4"/>
  <c r="V5" i="5"/>
  <c r="V76" i="5"/>
  <c r="K52" i="5"/>
  <c r="J74" i="5"/>
  <c r="K74" i="5" s="1"/>
  <c r="J96" i="5"/>
  <c r="K96" i="5" s="1"/>
  <c r="K75" i="5"/>
  <c r="T10" i="5"/>
  <c r="V91" i="5"/>
  <c r="V56" i="4"/>
  <c r="V76" i="4"/>
  <c r="T66" i="4"/>
  <c r="V14" i="4"/>
  <c r="T22" i="4"/>
  <c r="V95" i="5"/>
  <c r="F74" i="4"/>
  <c r="G74" i="4" s="1"/>
  <c r="G52" i="4"/>
  <c r="T12" i="4"/>
  <c r="V20" i="4"/>
  <c r="F51" i="4"/>
  <c r="G51" i="4" s="1"/>
  <c r="G31" i="4"/>
  <c r="V47" i="5"/>
  <c r="V35" i="3"/>
  <c r="T80" i="3"/>
  <c r="V12" i="4"/>
  <c r="V24" i="3"/>
  <c r="T44" i="4"/>
  <c r="T29" i="3"/>
  <c r="T82" i="3"/>
  <c r="V93" i="2"/>
  <c r="T28" i="3"/>
  <c r="T83" i="3"/>
  <c r="T45" i="3"/>
  <c r="V42" i="4"/>
  <c r="V56" i="2"/>
  <c r="V17" i="3"/>
  <c r="V49" i="2"/>
  <c r="T79" i="2"/>
  <c r="T23" i="2"/>
  <c r="T95" i="2"/>
  <c r="V59" i="2"/>
  <c r="T37" i="2"/>
  <c r="T10" i="3"/>
  <c r="T29" i="4"/>
  <c r="V54" i="2"/>
  <c r="V80" i="2"/>
  <c r="T77" i="2"/>
  <c r="V76" i="2"/>
  <c r="T19" i="3"/>
  <c r="V57" i="3"/>
  <c r="V27" i="2"/>
  <c r="V8" i="2"/>
  <c r="V21" i="5"/>
  <c r="T23" i="5"/>
  <c r="T67" i="4"/>
  <c r="T11" i="4"/>
  <c r="V11" i="4"/>
  <c r="T46" i="2"/>
  <c r="V44" i="5"/>
  <c r="V66" i="4"/>
  <c r="V45" i="4"/>
  <c r="V26" i="5"/>
  <c r="V16" i="4"/>
  <c r="V94" i="3"/>
  <c r="J74" i="2"/>
  <c r="K74" i="2" s="1"/>
  <c r="K52" i="2"/>
  <c r="V55" i="2"/>
  <c r="T33" i="5"/>
  <c r="J96" i="4"/>
  <c r="K96" i="4" s="1"/>
  <c r="K75" i="4"/>
  <c r="T80" i="4"/>
  <c r="T71" i="4"/>
  <c r="V85" i="3"/>
  <c r="T95" i="3"/>
  <c r="V23" i="3"/>
  <c r="T73" i="2"/>
  <c r="T26" i="2"/>
  <c r="T89" i="2"/>
  <c r="O14" i="7"/>
  <c r="V38" i="5"/>
  <c r="T93" i="4"/>
  <c r="V6" i="4"/>
  <c r="O97" i="4"/>
  <c r="T76" i="3"/>
  <c r="V34" i="3"/>
  <c r="L97" i="3"/>
  <c r="I39" i="7"/>
  <c r="O15" i="7"/>
  <c r="J25" i="7"/>
  <c r="O32" i="7"/>
  <c r="O35" i="7"/>
  <c r="T64" i="5"/>
  <c r="T49" i="5"/>
  <c r="V73" i="5"/>
  <c r="V50" i="5"/>
  <c r="T82" i="5"/>
  <c r="V49" i="5"/>
  <c r="T35" i="5"/>
  <c r="T37" i="5"/>
  <c r="T20" i="5"/>
  <c r="V58" i="5"/>
  <c r="V89" i="4"/>
  <c r="V11" i="5"/>
  <c r="V92" i="4"/>
  <c r="T7" i="5"/>
  <c r="V20" i="5"/>
  <c r="T69" i="4"/>
  <c r="T5" i="5"/>
  <c r="V44" i="4"/>
  <c r="V13" i="5"/>
  <c r="T84" i="5"/>
  <c r="T59" i="4"/>
  <c r="T46" i="5"/>
  <c r="T70" i="4"/>
  <c r="T47" i="5"/>
  <c r="T50" i="4"/>
  <c r="T27" i="4"/>
  <c r="E97" i="4"/>
  <c r="T53" i="4"/>
  <c r="V67" i="4"/>
  <c r="V13" i="4"/>
  <c r="T43" i="4"/>
  <c r="V27" i="4"/>
  <c r="K3" i="4"/>
  <c r="J30" i="4"/>
  <c r="T86" i="3"/>
  <c r="V28" i="4"/>
  <c r="T48" i="3"/>
  <c r="T21" i="4"/>
  <c r="T57" i="5"/>
  <c r="V87" i="3"/>
  <c r="V45" i="3"/>
  <c r="T56" i="3"/>
  <c r="T13" i="3"/>
  <c r="V72" i="3"/>
  <c r="V58" i="3"/>
  <c r="V73" i="3"/>
  <c r="V19" i="3"/>
  <c r="T59" i="3"/>
  <c r="T33" i="4"/>
  <c r="T14" i="3"/>
  <c r="T69" i="2"/>
  <c r="T93" i="2"/>
  <c r="T38" i="2"/>
  <c r="E97" i="3"/>
  <c r="V14" i="2"/>
  <c r="T72" i="2"/>
  <c r="V64" i="3"/>
  <c r="T82" i="2"/>
  <c r="T22" i="2"/>
  <c r="T67" i="2"/>
  <c r="T39" i="2"/>
  <c r="T9" i="2"/>
  <c r="V4" i="2"/>
  <c r="T25" i="2"/>
  <c r="V22" i="3"/>
  <c r="V9" i="3"/>
  <c r="V83" i="2"/>
  <c r="T4" i="2"/>
  <c r="V12" i="2"/>
  <c r="V84" i="2"/>
  <c r="T26" i="3"/>
  <c r="T73" i="5"/>
  <c r="V72" i="5"/>
  <c r="T54" i="5"/>
  <c r="V36" i="3"/>
  <c r="V78" i="2"/>
  <c r="V4" i="3"/>
  <c r="V7" i="2"/>
  <c r="O36" i="7"/>
  <c r="O37" i="7"/>
  <c r="O43" i="7"/>
  <c r="T77" i="5"/>
  <c r="T94" i="4"/>
  <c r="T49" i="4"/>
  <c r="V10" i="4"/>
  <c r="V36" i="4"/>
  <c r="V72" i="4"/>
  <c r="V20" i="3"/>
  <c r="V65" i="3"/>
  <c r="T19" i="2"/>
  <c r="V29" i="2"/>
  <c r="V61" i="2"/>
  <c r="V82" i="4"/>
  <c r="T63" i="4"/>
  <c r="V7" i="4"/>
  <c r="T65" i="3"/>
  <c r="T71" i="2"/>
  <c r="V21" i="3"/>
  <c r="V19" i="2"/>
  <c r="V90" i="5"/>
  <c r="T36" i="4"/>
  <c r="V69" i="4"/>
  <c r="T4" i="4"/>
  <c r="T62" i="3"/>
  <c r="T38" i="4"/>
  <c r="V41" i="2"/>
  <c r="V26" i="3"/>
  <c r="G52" i="3"/>
  <c r="F74" i="3"/>
  <c r="G74" i="3" s="1"/>
  <c r="T24" i="2"/>
  <c r="V20" i="2"/>
  <c r="T20" i="2"/>
  <c r="V88" i="2"/>
  <c r="X74" i="3"/>
  <c r="L97" i="4"/>
  <c r="L9" i="7"/>
  <c r="O6" i="7"/>
  <c r="O30" i="7"/>
  <c r="D25" i="7"/>
  <c r="I25" i="7"/>
  <c r="F39" i="7"/>
  <c r="V63" i="5"/>
  <c r="V48" i="5"/>
  <c r="T70" i="5"/>
  <c r="T44" i="5"/>
  <c r="V34" i="5"/>
  <c r="V36" i="5"/>
  <c r="T17" i="5"/>
  <c r="T86" i="4"/>
  <c r="V94" i="5"/>
  <c r="T8" i="5"/>
  <c r="T89" i="4"/>
  <c r="F96" i="5"/>
  <c r="G96" i="5" s="1"/>
  <c r="G75" i="5"/>
  <c r="V6" i="5"/>
  <c r="V19" i="5"/>
  <c r="T41" i="4"/>
  <c r="T9" i="5"/>
  <c r="V62" i="5"/>
  <c r="V58" i="4"/>
  <c r="V68" i="4"/>
  <c r="V27" i="5"/>
  <c r="V49" i="4"/>
  <c r="T93" i="3"/>
  <c r="V26" i="4"/>
  <c r="F30" i="4"/>
  <c r="G3" i="4"/>
  <c r="T47" i="4"/>
  <c r="T10" i="4"/>
  <c r="V39" i="4"/>
  <c r="T16" i="5"/>
  <c r="T24" i="4"/>
  <c r="I97" i="4"/>
  <c r="T72" i="3"/>
  <c r="V70" i="4"/>
  <c r="T79" i="3"/>
  <c r="V47" i="3"/>
  <c r="V86" i="3"/>
  <c r="T42" i="3"/>
  <c r="V12" i="3"/>
  <c r="V48" i="3"/>
  <c r="T57" i="3"/>
  <c r="T69" i="3"/>
  <c r="T16" i="3"/>
  <c r="X96" i="3"/>
  <c r="V24" i="5"/>
  <c r="V7" i="3"/>
  <c r="V68" i="2"/>
  <c r="V92" i="2"/>
  <c r="V37" i="2"/>
  <c r="F30" i="3"/>
  <c r="G3" i="3"/>
  <c r="V71" i="2"/>
  <c r="V81" i="2"/>
  <c r="V21" i="2"/>
  <c r="V13" i="3"/>
  <c r="V66" i="2"/>
  <c r="V37" i="3"/>
  <c r="V38" i="2"/>
  <c r="T8" i="2"/>
  <c r="V15" i="2"/>
  <c r="T81" i="2"/>
  <c r="T70" i="2"/>
  <c r="E97" i="2"/>
  <c r="V9" i="2"/>
  <c r="V69" i="2"/>
  <c r="V28" i="2"/>
  <c r="K31" i="5"/>
  <c r="J51" i="5"/>
  <c r="K51" i="5" s="1"/>
  <c r="T45" i="5"/>
  <c r="V86" i="4"/>
  <c r="O97" i="5"/>
  <c r="X30" i="5"/>
  <c r="V77" i="3"/>
  <c r="T22" i="3"/>
  <c r="T92" i="2"/>
  <c r="T76" i="2"/>
  <c r="V24" i="2"/>
  <c r="T38" i="5"/>
  <c r="V79" i="4"/>
  <c r="V70" i="5"/>
  <c r="T8" i="4"/>
  <c r="V45" i="2"/>
  <c r="V61" i="3"/>
  <c r="T32" i="2"/>
  <c r="N44" i="7"/>
  <c r="T39" i="5"/>
  <c r="V32" i="5"/>
  <c r="T92" i="5"/>
  <c r="V15" i="5"/>
  <c r="F74" i="5"/>
  <c r="G74" i="5" s="1"/>
  <c r="G52" i="5"/>
  <c r="T64" i="4"/>
  <c r="T92" i="3"/>
  <c r="V70" i="3"/>
  <c r="V33" i="3"/>
  <c r="V57" i="2"/>
  <c r="V40" i="5"/>
  <c r="V17" i="5"/>
  <c r="V57" i="4"/>
  <c r="T88" i="3"/>
  <c r="T46" i="3"/>
  <c r="G52" i="2"/>
  <c r="F74" i="2"/>
  <c r="G74" i="2" s="1"/>
  <c r="V70" i="2"/>
  <c r="X30" i="4"/>
  <c r="O24" i="7"/>
  <c r="L25" i="7"/>
  <c r="O12" i="7"/>
  <c r="F9" i="7"/>
  <c r="K25" i="7"/>
  <c r="N39" i="7"/>
  <c r="C25" i="7"/>
  <c r="O31" i="7"/>
  <c r="O28" i="7"/>
  <c r="L39" i="7"/>
  <c r="O13" i="7"/>
  <c r="T60" i="5"/>
  <c r="V69" i="5"/>
  <c r="T71" i="5"/>
  <c r="V43" i="5"/>
  <c r="F51" i="5"/>
  <c r="G51" i="5" s="1"/>
  <c r="G31" i="5"/>
  <c r="T86" i="5"/>
  <c r="T89" i="5"/>
  <c r="T15" i="5"/>
  <c r="V85" i="4"/>
  <c r="V81" i="5"/>
  <c r="V7" i="5"/>
  <c r="V88" i="4"/>
  <c r="V64" i="5"/>
  <c r="F30" i="5"/>
  <c r="G3" i="5"/>
  <c r="V14" i="5"/>
  <c r="V83" i="4"/>
  <c r="V40" i="4"/>
  <c r="V28" i="5"/>
  <c r="T55" i="4"/>
  <c r="T65" i="4"/>
  <c r="V92" i="3"/>
  <c r="T23" i="4"/>
  <c r="V43" i="4"/>
  <c r="V55" i="5"/>
  <c r="V41" i="4"/>
  <c r="V9" i="4"/>
  <c r="V23" i="4"/>
  <c r="V73" i="4"/>
  <c r="V71" i="3"/>
  <c r="V4" i="4"/>
  <c r="T44" i="3"/>
  <c r="T91" i="3"/>
  <c r="T81" i="3"/>
  <c r="V41" i="3"/>
  <c r="X51" i="3"/>
  <c r="T9" i="3"/>
  <c r="T47" i="3"/>
  <c r="V37" i="5"/>
  <c r="T66" i="3"/>
  <c r="V15" i="3"/>
  <c r="J74" i="4"/>
  <c r="K74" i="4" s="1"/>
  <c r="K52" i="4"/>
  <c r="V53" i="3"/>
  <c r="T6" i="3"/>
  <c r="T65" i="2"/>
  <c r="T34" i="2"/>
  <c r="T68" i="2"/>
  <c r="T55" i="3"/>
  <c r="T78" i="2"/>
  <c r="T18" i="2"/>
  <c r="T4" i="3"/>
  <c r="T63" i="2"/>
  <c r="T5" i="3"/>
  <c r="T35" i="2"/>
  <c r="T13" i="2"/>
  <c r="V5" i="3"/>
  <c r="T7" i="2"/>
  <c r="T29" i="2"/>
  <c r="V5" i="2"/>
  <c r="V6" i="3"/>
  <c r="V23" i="2"/>
  <c r="F30" i="2"/>
  <c r="G3" i="2"/>
  <c r="V44" i="3"/>
  <c r="T6" i="2"/>
  <c r="V57" i="5"/>
  <c r="T13" i="5"/>
  <c r="V80" i="5"/>
  <c r="V21" i="4"/>
  <c r="T54" i="4"/>
  <c r="F96" i="3"/>
  <c r="G96" i="3" s="1"/>
  <c r="G75" i="3"/>
  <c r="V27" i="3"/>
  <c r="V91" i="3"/>
  <c r="V91" i="2"/>
  <c r="V93" i="3"/>
  <c r="T62" i="2"/>
  <c r="T74" i="6"/>
  <c r="L44" i="7"/>
  <c r="O42" i="7"/>
  <c r="F44" i="7"/>
  <c r="V71" i="5"/>
  <c r="V82" i="5"/>
  <c r="V23" i="5"/>
  <c r="T42" i="5"/>
  <c r="V91" i="4"/>
  <c r="T13" i="4"/>
  <c r="T50" i="3"/>
  <c r="V32" i="2"/>
  <c r="V46" i="2"/>
  <c r="T11" i="3"/>
  <c r="O17" i="7"/>
  <c r="T68" i="5"/>
  <c r="V93" i="4"/>
  <c r="T11" i="5"/>
  <c r="V48" i="4"/>
  <c r="V78" i="4"/>
  <c r="T7" i="4"/>
  <c r="T62" i="4"/>
  <c r="V16" i="5"/>
  <c r="T17" i="3"/>
  <c r="V56" i="3"/>
  <c r="V10" i="3"/>
  <c r="V54" i="3"/>
  <c r="V43" i="2"/>
  <c r="T21" i="2"/>
  <c r="D39" i="7"/>
  <c r="T18" i="5"/>
  <c r="T27" i="5"/>
  <c r="V34" i="4"/>
  <c r="T14" i="4"/>
  <c r="V8" i="5"/>
  <c r="V16" i="3"/>
  <c r="V83" i="3"/>
  <c r="V85" i="2"/>
  <c r="T5" i="2"/>
  <c r="F25" i="7"/>
  <c r="H39" i="7"/>
  <c r="O22" i="7"/>
  <c r="E39" i="7"/>
  <c r="O29" i="7"/>
  <c r="V59" i="5"/>
  <c r="T66" i="5"/>
  <c r="V60" i="5"/>
  <c r="I97" i="6"/>
  <c r="K97" i="6" s="1"/>
  <c r="K30" i="6"/>
  <c r="T40" i="5"/>
  <c r="V85" i="5"/>
  <c r="V12" i="5"/>
  <c r="V33" i="5"/>
  <c r="T82" i="4"/>
  <c r="V79" i="5"/>
  <c r="T4" i="5"/>
  <c r="V66" i="5"/>
  <c r="T85" i="4"/>
  <c r="T61" i="5"/>
  <c r="E97" i="5"/>
  <c r="T95" i="4"/>
  <c r="T76" i="4"/>
  <c r="F96" i="4"/>
  <c r="G96" i="4" s="1"/>
  <c r="G75" i="4"/>
  <c r="T6" i="5"/>
  <c r="V54" i="4"/>
  <c r="V64" i="4"/>
  <c r="V88" i="5"/>
  <c r="T89" i="3"/>
  <c r="V22" i="4"/>
  <c r="T35" i="4"/>
  <c r="T34" i="4"/>
  <c r="T6" i="4"/>
  <c r="V32" i="4"/>
  <c r="V95" i="4"/>
  <c r="T20" i="4"/>
  <c r="V65" i="4"/>
  <c r="T68" i="3"/>
  <c r="T84" i="3"/>
  <c r="V43" i="3"/>
  <c r="T90" i="3"/>
  <c r="V71" i="4"/>
  <c r="V79" i="3"/>
  <c r="V86" i="5"/>
  <c r="T34" i="3"/>
  <c r="V8" i="3"/>
  <c r="V40" i="3"/>
  <c r="V50" i="4"/>
  <c r="T38" i="3"/>
  <c r="T63" i="3"/>
  <c r="T12" i="3"/>
  <c r="V50" i="3"/>
  <c r="J74" i="3"/>
  <c r="K74" i="3" s="1"/>
  <c r="K52" i="3"/>
  <c r="T17" i="4"/>
  <c r="V95" i="2"/>
  <c r="V64" i="2"/>
  <c r="J96" i="3"/>
  <c r="K96" i="3" s="1"/>
  <c r="K75" i="3"/>
  <c r="V33" i="2"/>
  <c r="T87" i="2"/>
  <c r="T67" i="3"/>
  <c r="V67" i="2"/>
  <c r="V8" i="4"/>
  <c r="T53" i="3"/>
  <c r="V77" i="2"/>
  <c r="V17" i="2"/>
  <c r="T91" i="2"/>
  <c r="V62" i="2"/>
  <c r="V34" i="2"/>
  <c r="T12" i="2"/>
  <c r="V95" i="3"/>
  <c r="V24" i="4"/>
  <c r="V87" i="2"/>
  <c r="J96" i="2"/>
  <c r="K96" i="2" s="1"/>
  <c r="K75" i="2"/>
  <c r="T95" i="5"/>
  <c r="T27" i="3"/>
  <c r="I97" i="2"/>
  <c r="J51" i="2"/>
  <c r="K51" i="2" s="1"/>
  <c r="K31" i="2"/>
  <c r="B11" i="1"/>
  <c r="T72" i="5"/>
  <c r="T43" i="5"/>
  <c r="V61" i="4"/>
  <c r="T85" i="3"/>
  <c r="T53" i="2"/>
  <c r="T56" i="2"/>
  <c r="T78" i="3"/>
  <c r="T80" i="2"/>
  <c r="V42" i="5"/>
  <c r="T34" i="5"/>
  <c r="T83" i="4"/>
  <c r="V46" i="4"/>
  <c r="T18" i="4"/>
  <c r="T87" i="3"/>
  <c r="T24" i="3"/>
  <c r="V29" i="3"/>
  <c r="T15" i="3"/>
  <c r="V90" i="2"/>
  <c r="V65" i="2"/>
  <c r="V11" i="2"/>
  <c r="K39" i="7"/>
  <c r="T67" i="5"/>
  <c r="T41" i="5"/>
  <c r="T28" i="5"/>
  <c r="V17" i="4"/>
  <c r="T32" i="4"/>
  <c r="T25" i="4"/>
  <c r="V18" i="2"/>
  <c r="T86" i="2"/>
  <c r="T90" i="2"/>
  <c r="V67" i="5"/>
  <c r="T90" i="4"/>
  <c r="V10" i="5"/>
  <c r="T45" i="4"/>
  <c r="T72" i="4"/>
  <c r="V78" i="3"/>
  <c r="T94" i="3"/>
  <c r="T20" i="3"/>
  <c r="V72" i="2"/>
  <c r="T15" i="2"/>
  <c r="V25" i="2"/>
  <c r="V42" i="2"/>
  <c r="V51" i="6"/>
  <c r="M97" i="3"/>
  <c r="B39" i="7"/>
  <c r="O23" i="7"/>
  <c r="T56" i="5"/>
  <c r="V65" i="5"/>
  <c r="T59" i="5"/>
  <c r="V92" i="5"/>
  <c r="V39" i="5"/>
  <c r="V77" i="5"/>
  <c r="V29" i="5"/>
  <c r="V81" i="4"/>
  <c r="I97" i="5"/>
  <c r="V54" i="5"/>
  <c r="V84" i="4"/>
  <c r="V94" i="4"/>
  <c r="T29" i="5"/>
  <c r="V93" i="5"/>
  <c r="T61" i="4"/>
  <c r="T12" i="5"/>
  <c r="V88" i="3"/>
  <c r="T19" i="4"/>
  <c r="T83" i="5"/>
  <c r="V29" i="4"/>
  <c r="V5" i="4"/>
  <c r="T68" i="4"/>
  <c r="V19" i="4"/>
  <c r="T60" i="4"/>
  <c r="V67" i="3"/>
  <c r="T40" i="4"/>
  <c r="T40" i="3"/>
  <c r="V82" i="3"/>
  <c r="V55" i="4"/>
  <c r="V9" i="5"/>
  <c r="V32" i="3"/>
  <c r="T39" i="3"/>
  <c r="T5" i="4"/>
  <c r="T58" i="3"/>
  <c r="V11" i="3"/>
  <c r="T49" i="3"/>
  <c r="V38" i="4"/>
  <c r="V89" i="3"/>
  <c r="O97" i="3"/>
  <c r="X30" i="3"/>
  <c r="V94" i="2"/>
  <c r="T61" i="2"/>
  <c r="T73" i="3"/>
  <c r="T70" i="3"/>
  <c r="V86" i="2"/>
  <c r="X51" i="2"/>
  <c r="V62" i="3"/>
  <c r="T64" i="2"/>
  <c r="T49" i="2"/>
  <c r="T14" i="2"/>
  <c r="V89" i="2"/>
  <c r="T59" i="2"/>
  <c r="V6" i="2"/>
  <c r="T54" i="3"/>
  <c r="V10" i="2"/>
  <c r="T35" i="3"/>
  <c r="V35" i="2"/>
  <c r="J30" i="2"/>
  <c r="K3" i="2"/>
  <c r="O19" i="7"/>
  <c r="V78" i="5"/>
  <c r="T56" i="4"/>
  <c r="T21" i="3"/>
  <c r="V80" i="3"/>
  <c r="V22" i="2"/>
  <c r="T16" i="2"/>
  <c r="V39" i="2"/>
  <c r="T55" i="5"/>
  <c r="T69" i="5"/>
  <c r="V4" i="5"/>
  <c r="T46" i="4"/>
  <c r="V69" i="3"/>
  <c r="F96" i="2"/>
  <c r="G96" i="2" s="1"/>
  <c r="G75" i="2"/>
  <c r="T71" i="3"/>
  <c r="V35" i="4"/>
  <c r="O16" i="7"/>
  <c r="O38" i="7"/>
  <c r="B25" i="7"/>
  <c r="T81" i="5"/>
  <c r="V22" i="5"/>
  <c r="T94" i="5"/>
  <c r="T73" i="4"/>
  <c r="V49" i="3"/>
  <c r="V66" i="3"/>
  <c r="T42" i="2"/>
  <c r="T88" i="4"/>
  <c r="T43" i="2"/>
  <c r="O97" i="2"/>
  <c r="X30" i="2"/>
  <c r="X74" i="5"/>
  <c r="O7" i="7"/>
  <c r="T63" i="5"/>
  <c r="T79" i="4"/>
  <c r="V62" i="4"/>
  <c r="T85" i="5"/>
  <c r="V59" i="4"/>
  <c r="T28" i="4"/>
  <c r="V59" i="3"/>
  <c r="V60" i="3"/>
  <c r="K3" i="3"/>
  <c r="J30" i="3"/>
  <c r="V84" i="3"/>
  <c r="T85" i="2"/>
  <c r="T51" i="6"/>
  <c r="J39" i="7"/>
  <c r="E25" i="7"/>
  <c r="C39" i="7"/>
  <c r="T62" i="5"/>
  <c r="T36" i="5"/>
  <c r="V89" i="5"/>
  <c r="T76" i="5"/>
  <c r="T26" i="5"/>
  <c r="T21" i="5"/>
  <c r="T78" i="4"/>
  <c r="V56" i="5"/>
  <c r="J30" i="5"/>
  <c r="K3" i="5"/>
  <c r="T81" i="4"/>
  <c r="V41" i="5"/>
  <c r="T91" i="4"/>
  <c r="T25" i="5"/>
  <c r="T93" i="5"/>
  <c r="V60" i="4"/>
  <c r="T92" i="4"/>
  <c r="V18" i="4"/>
  <c r="T26" i="4"/>
  <c r="T58" i="4"/>
  <c r="T16" i="4"/>
  <c r="T64" i="3"/>
  <c r="V37" i="4"/>
  <c r="V39" i="3"/>
  <c r="T77" i="3"/>
  <c r="T39" i="4"/>
  <c r="T9" i="4"/>
  <c r="T42" i="4"/>
  <c r="V28" i="3"/>
  <c r="V53" i="4"/>
  <c r="T37" i="3"/>
  <c r="V90" i="3"/>
  <c r="K31" i="3"/>
  <c r="J51" i="3"/>
  <c r="K51" i="3" s="1"/>
  <c r="T8" i="3"/>
  <c r="V42" i="3"/>
  <c r="V33" i="4"/>
  <c r="V68" i="3"/>
  <c r="V60" i="2"/>
  <c r="T60" i="3"/>
  <c r="T43" i="3"/>
  <c r="T83" i="2"/>
  <c r="T27" i="2"/>
  <c r="V55" i="3"/>
  <c r="V63" i="2"/>
  <c r="T23" i="3"/>
  <c r="T45" i="2"/>
  <c r="V13" i="2"/>
  <c r="V58" i="2"/>
  <c r="G31" i="2"/>
  <c r="F51" i="2"/>
  <c r="G51" i="2" s="1"/>
  <c r="V53" i="2"/>
  <c r="T17" i="2"/>
  <c r="T28" i="2"/>
  <c r="V79" i="2"/>
  <c r="V14" i="3"/>
  <c r="T11" i="2"/>
  <c r="T58" i="2"/>
  <c r="U31" i="3"/>
  <c r="W97" i="3"/>
  <c r="C10" i="1" a="1"/>
  <c r="S74" i="2"/>
  <c r="L9" i="1" a="1"/>
  <c r="N9" i="1" a="1"/>
  <c r="U74" i="2"/>
  <c r="F8" i="1" a="1"/>
  <c r="F7" i="1" a="1"/>
  <c r="M23" i="7" a="1"/>
  <c r="U75" i="4"/>
  <c r="U3" i="3"/>
  <c r="C9" i="1" a="1"/>
  <c r="U51" i="3"/>
  <c r="D10" i="1" a="1"/>
  <c r="G9" i="1" a="1"/>
  <c r="M42" i="7" a="1"/>
  <c r="U52" i="2"/>
  <c r="K8" i="1" a="1"/>
  <c r="D7" i="1" a="1"/>
  <c r="M19" i="7" a="1"/>
  <c r="M7" i="7" a="1"/>
  <c r="S96" i="3"/>
  <c r="M43" i="7" a="1"/>
  <c r="M22" i="7" a="1"/>
  <c r="M6" i="7" a="1"/>
  <c r="M38" i="7" a="1"/>
  <c r="M33" i="7" a="1"/>
  <c r="M20" i="7" a="1"/>
  <c r="G39" i="7" a="1"/>
  <c r="W97" i="4"/>
  <c r="D9" i="1" a="1"/>
  <c r="M12" i="7" a="1"/>
  <c r="M13" i="7" a="1"/>
  <c r="G42" i="7" a="1"/>
  <c r="C8" i="1" a="1"/>
  <c r="C7" i="1" a="1"/>
  <c r="K7" i="1" a="1"/>
  <c r="U31" i="2"/>
  <c r="M14" i="7" a="1"/>
  <c r="S31" i="3"/>
  <c r="U96" i="3"/>
  <c r="K10" i="1" a="1"/>
  <c r="S74" i="4"/>
  <c r="U74" i="3"/>
  <c r="G10" i="1" a="1"/>
  <c r="G28" i="7" a="1"/>
  <c r="S96" i="4"/>
  <c r="F9" i="1" a="1"/>
  <c r="G9" i="7" a="1"/>
  <c r="L10" i="1" a="1"/>
  <c r="S96" i="2"/>
  <c r="G44" i="7" a="1"/>
  <c r="M17" i="7" a="1"/>
  <c r="J8" i="1" a="1"/>
  <c r="U3" i="4"/>
  <c r="N8" i="1" a="1"/>
  <c r="U51" i="2"/>
  <c r="M37" i="7" a="1"/>
  <c r="S3" i="4"/>
  <c r="S51" i="3"/>
  <c r="M32" i="7" a="1"/>
  <c r="M31" i="7" a="1"/>
  <c r="M21" i="7" a="1"/>
  <c r="U52" i="4"/>
  <c r="S74" i="3"/>
  <c r="J10" i="1" a="1"/>
  <c r="M36" i="7" a="1"/>
  <c r="S75" i="4"/>
  <c r="K9" i="1" a="1"/>
  <c r="G6" i="7" a="1"/>
  <c r="S75" i="2"/>
  <c r="G25" i="7" a="1"/>
  <c r="U30" i="5"/>
  <c r="J7" i="1" a="1"/>
  <c r="P11" i="1" a="1"/>
  <c r="W97" i="2"/>
  <c r="U96" i="4"/>
  <c r="S3" i="2"/>
  <c r="U75" i="2"/>
  <c r="S51" i="4"/>
  <c r="M16" i="7" a="1"/>
  <c r="M8" i="7" a="1"/>
  <c r="U74" i="4"/>
  <c r="S52" i="3"/>
  <c r="M15" i="7" a="1"/>
  <c r="S3" i="3"/>
  <c r="J9" i="1" a="1"/>
  <c r="G12" i="7" a="1"/>
  <c r="N10" i="1" a="1"/>
  <c r="U96" i="2"/>
  <c r="M34" i="7" a="1"/>
  <c r="S97" i="5"/>
  <c r="S75" i="3"/>
  <c r="S30" i="5"/>
  <c r="S31" i="4"/>
  <c r="S51" i="2"/>
  <c r="L8" i="1" a="1"/>
  <c r="U75" i="3"/>
  <c r="F10" i="1" a="1"/>
  <c r="M30" i="7" a="1"/>
  <c r="U31" i="4"/>
  <c r="S52" i="4"/>
  <c r="U52" i="3"/>
  <c r="D8" i="1" a="1"/>
  <c r="U3" i="2"/>
  <c r="U97" i="5"/>
  <c r="S31" i="2"/>
  <c r="M18" i="7" a="1"/>
  <c r="M35" i="7" a="1"/>
  <c r="S52" i="2"/>
  <c r="U51" i="4"/>
  <c r="M24" i="7" a="1"/>
  <c r="M28" i="7" a="1"/>
  <c r="M29" i="7" a="1"/>
  <c r="G8" i="1" a="1"/>
  <c r="G7" i="1" a="1"/>
  <c r="G7" i="1" l="1"/>
  <c r="G8" i="1"/>
  <c r="M29" i="7"/>
  <c r="M28" i="7"/>
  <c r="M24" i="7"/>
  <c r="M35" i="7"/>
  <c r="M18" i="7"/>
  <c r="D8" i="1"/>
  <c r="M30" i="7"/>
  <c r="F10" i="1"/>
  <c r="L8" i="1"/>
  <c r="M34" i="7"/>
  <c r="N10" i="1"/>
  <c r="G12" i="7"/>
  <c r="J9" i="1"/>
  <c r="M15" i="7"/>
  <c r="M8" i="7"/>
  <c r="M16" i="7"/>
  <c r="P11" i="1"/>
  <c r="J7" i="1"/>
  <c r="G25" i="7"/>
  <c r="G6" i="7"/>
  <c r="K9" i="1"/>
  <c r="Q9" i="1" s="1"/>
  <c r="M36" i="7"/>
  <c r="J10" i="1"/>
  <c r="M21" i="7"/>
  <c r="M31" i="7"/>
  <c r="M32" i="7"/>
  <c r="M37" i="7"/>
  <c r="N8" i="1"/>
  <c r="J8" i="1"/>
  <c r="M17" i="7"/>
  <c r="G44" i="7"/>
  <c r="L10" i="1"/>
  <c r="G9" i="7"/>
  <c r="F9" i="1"/>
  <c r="G28" i="7"/>
  <c r="G10" i="1"/>
  <c r="K10" i="1"/>
  <c r="Q10" i="1" s="1"/>
  <c r="M14" i="7"/>
  <c r="K7" i="1"/>
  <c r="C7" i="1"/>
  <c r="C8" i="1"/>
  <c r="G42" i="7"/>
  <c r="M13" i="7"/>
  <c r="M12" i="7"/>
  <c r="D9" i="1"/>
  <c r="G39" i="7"/>
  <c r="M20" i="7"/>
  <c r="M33" i="7"/>
  <c r="M38" i="7"/>
  <c r="M6" i="7"/>
  <c r="M22" i="7"/>
  <c r="M43" i="7"/>
  <c r="M7" i="7"/>
  <c r="M19" i="7"/>
  <c r="D7" i="1"/>
  <c r="K8" i="1"/>
  <c r="Q8" i="1" s="1"/>
  <c r="M42" i="7"/>
  <c r="G9" i="1"/>
  <c r="D10" i="1"/>
  <c r="C9" i="1"/>
  <c r="M23" i="7"/>
  <c r="F7" i="1"/>
  <c r="F8" i="1"/>
  <c r="N9" i="1"/>
  <c r="L9" i="1"/>
  <c r="C10" i="1"/>
  <c r="T52" i="2"/>
  <c r="J97" i="3"/>
  <c r="K97" i="3" s="1"/>
  <c r="K30" i="3"/>
  <c r="K30" i="2"/>
  <c r="J97" i="2"/>
  <c r="K97" i="2" s="1"/>
  <c r="O44" i="7"/>
  <c r="V51" i="5"/>
  <c r="T52" i="3"/>
  <c r="T31" i="3"/>
  <c r="V97" i="6"/>
  <c r="V3" i="3"/>
  <c r="V52" i="4"/>
  <c r="T74" i="2"/>
  <c r="T52" i="5"/>
  <c r="V31" i="5"/>
  <c r="V75" i="4"/>
  <c r="T51" i="3"/>
  <c r="T31" i="5"/>
  <c r="T30" i="6"/>
  <c r="T31" i="2"/>
  <c r="T75" i="4"/>
  <c r="T97" i="6"/>
  <c r="V96" i="3"/>
  <c r="F97" i="5"/>
  <c r="G97" i="5" s="1"/>
  <c r="G30" i="5"/>
  <c r="F97" i="3"/>
  <c r="G97" i="3" s="1"/>
  <c r="G30" i="3"/>
  <c r="T3" i="4"/>
  <c r="V74" i="2"/>
  <c r="T52" i="4"/>
  <c r="V74" i="5"/>
  <c r="J97" i="4"/>
  <c r="K97" i="4" s="1"/>
  <c r="K30" i="4"/>
  <c r="T51" i="2"/>
  <c r="V75" i="2"/>
  <c r="T51" i="5"/>
  <c r="V75" i="3"/>
  <c r="T3" i="3"/>
  <c r="V96" i="5"/>
  <c r="T75" i="2"/>
  <c r="X97" i="3"/>
  <c r="V30" i="6"/>
  <c r="T75" i="3"/>
  <c r="F97" i="4"/>
  <c r="G97" i="4" s="1"/>
  <c r="G30" i="4"/>
  <c r="T75" i="5"/>
  <c r="T74" i="4"/>
  <c r="V52" i="5"/>
  <c r="T51" i="4"/>
  <c r="F97" i="2"/>
  <c r="G97" i="2" s="1"/>
  <c r="G30" i="2"/>
  <c r="T3" i="5"/>
  <c r="V52" i="2"/>
  <c r="V51" i="3"/>
  <c r="V3" i="5"/>
  <c r="T96" i="2"/>
  <c r="T96" i="3"/>
  <c r="T96" i="5"/>
  <c r="V74" i="4"/>
  <c r="T74" i="5"/>
  <c r="V96" i="4"/>
  <c r="T31" i="4"/>
  <c r="V31" i="3"/>
  <c r="J97" i="5"/>
  <c r="K97" i="5" s="1"/>
  <c r="K30" i="5"/>
  <c r="X97" i="5"/>
  <c r="V96" i="2"/>
  <c r="O9" i="7"/>
  <c r="T96" i="4"/>
  <c r="V31" i="2"/>
  <c r="V52" i="3"/>
  <c r="V51" i="4"/>
  <c r="X97" i="2"/>
  <c r="V3" i="4"/>
  <c r="T3" i="2"/>
  <c r="V75" i="5"/>
  <c r="V3" i="2"/>
  <c r="V51" i="2"/>
  <c r="V74" i="3"/>
  <c r="O39" i="7"/>
  <c r="O25" i="7"/>
  <c r="T74" i="3"/>
  <c r="X97" i="4"/>
  <c r="V31" i="4"/>
  <c r="U97" i="4"/>
  <c r="U30" i="4"/>
  <c r="M44" i="7" a="1"/>
  <c r="M25" i="7" a="1"/>
  <c r="U97" i="3"/>
  <c r="S97" i="3"/>
  <c r="M9" i="7" a="1"/>
  <c r="N11" i="1" a="1"/>
  <c r="U97" i="2"/>
  <c r="U30" i="3"/>
  <c r="S30" i="3"/>
  <c r="M39" i="7" a="1"/>
  <c r="S97" i="4"/>
  <c r="S30" i="4"/>
  <c r="N7" i="1" a="1"/>
  <c r="U30" i="2"/>
  <c r="S97" i="2"/>
  <c r="L11" i="1" a="1"/>
  <c r="L7" i="1" a="1"/>
  <c r="S30" i="2"/>
  <c r="E10" i="1" l="1"/>
  <c r="M10" i="1" s="1"/>
  <c r="J11" i="1"/>
  <c r="D11" i="1"/>
  <c r="L7" i="1"/>
  <c r="L11" i="1"/>
  <c r="N7" i="1"/>
  <c r="M39" i="7"/>
  <c r="N11" i="1"/>
  <c r="M9" i="7"/>
  <c r="M25" i="7"/>
  <c r="M44" i="7"/>
  <c r="T30" i="2"/>
  <c r="T30" i="3"/>
  <c r="V30" i="2"/>
  <c r="I9" i="1"/>
  <c r="H9" i="1"/>
  <c r="O9" i="1" s="1"/>
  <c r="T97" i="2"/>
  <c r="T97" i="3"/>
  <c r="V30" i="3"/>
  <c r="T30" i="5"/>
  <c r="E8" i="1"/>
  <c r="M8" i="1" s="1"/>
  <c r="T97" i="5"/>
  <c r="T30" i="4"/>
  <c r="V30" i="4"/>
  <c r="C11" i="1"/>
  <c r="E7" i="1"/>
  <c r="V97" i="3"/>
  <c r="T97" i="4"/>
  <c r="V97" i="4"/>
  <c r="I8" i="1"/>
  <c r="H8" i="1"/>
  <c r="O8" i="1" s="1"/>
  <c r="K11" i="1"/>
  <c r="Q11" i="1" s="1"/>
  <c r="Q7" i="1"/>
  <c r="I7" i="1"/>
  <c r="F11" i="1"/>
  <c r="H7" i="1"/>
  <c r="O7" i="1" s="1"/>
  <c r="V30" i="5"/>
  <c r="E9" i="1"/>
  <c r="M9" i="1" s="1"/>
  <c r="I10" i="1"/>
  <c r="H10" i="1"/>
  <c r="O10" i="1" s="1"/>
  <c r="V97" i="5"/>
  <c r="V97" i="2"/>
  <c r="G11" i="1"/>
  <c r="E11" i="1" l="1"/>
  <c r="M11" i="1" s="1"/>
  <c r="M7" i="1"/>
  <c r="I11" i="1"/>
  <c r="H11" i="1"/>
  <c r="O11" i="1" s="1"/>
</calcChain>
</file>

<file path=xl/sharedStrings.xml><?xml version="1.0" encoding="utf-8"?>
<sst xmlns="http://schemas.openxmlformats.org/spreadsheetml/2006/main" count="1507" uniqueCount="232">
  <si>
    <t>Еженедельный съём соцсетей</t>
  </si>
  <si>
    <t>Текущая неделя — лист:</t>
  </si>
  <si>
    <t>21-27.09</t>
  </si>
  <si>
    <t>Прошлая неделя — лист:</t>
  </si>
  <si>
    <t>14-20.09</t>
  </si>
  <si>
    <t>снято 28.09.2026 · ВК 27/27, ТГ 22/22 (Барков), МАКС 21/21 (MaxStat), ОК 14/20 (админские выгрузки)</t>
  </si>
  <si>
    <t>Площадка</t>
  </si>
  <si>
    <t>Публикаций</t>
  </si>
  <si>
    <t>Просмотры</t>
  </si>
  <si>
    <t>Просмотры
пред. неделя
(сопост. периметр)</t>
  </si>
  <si>
    <t>Δ %</t>
  </si>
  <si>
    <t>Лайки</t>
  </si>
  <si>
    <t>Лайки
пред. неделя
(сопост. периметр)</t>
  </si>
  <si>
    <t>Лайков на 1000
просмотров</t>
  </si>
  <si>
    <t>Подписчики</t>
  </si>
  <si>
    <t>Прирост
подписчиков</t>
  </si>
  <si>
    <t>Δ % просмотров
пред. неделя</t>
  </si>
  <si>
    <t>Ускорение
просмотров, п.п.</t>
  </si>
  <si>
    <t>Δ % лайков
пред. неделя</t>
  </si>
  <si>
    <t>Ускорение
лайков, п.п.</t>
  </si>
  <si>
    <t>Прирост подписч.
пред. неделя</t>
  </si>
  <si>
    <t>Ускорение
подписчиков, чел.</t>
  </si>
  <si>
    <t>ВКонтакте</t>
  </si>
  <si>
    <t>Одноклассники</t>
  </si>
  <si>
    <t>Telegram</t>
  </si>
  <si>
    <t>МАКС</t>
  </si>
  <si>
    <t>ИТОГО</t>
  </si>
  <si>
    <t>ускорение =  насколько прирост этой недели отличается от прироста прошлой, в процентных пунктах.</t>
  </si>
  <si>
    <t>Плюс — рост ускорился, минус — рост замедлился (или падение усилилось). Считается от Δ % листа прошлой недели.</t>
  </si>
  <si>
    <t>Недельный съём · 21–27.09.2026</t>
  </si>
  <si>
    <t>Лист прошлой недели (питает колонки E, I, O):</t>
  </si>
  <si>
    <t>Ресурс</t>
  </si>
  <si>
    <t>Просмотры
пред. неделя</t>
  </si>
  <si>
    <t>Δ просмотров</t>
  </si>
  <si>
    <t>Лайки
пред. неделя</t>
  </si>
  <si>
    <t>Δ лайков</t>
  </si>
  <si>
    <t>Ср. просмотров
на пост</t>
  </si>
  <si>
    <t>Ямал-Медиа</t>
  </si>
  <si>
    <t>Колонки E и I берут прошлую неделю только по строкам, снятым в текущей — сравнение идёт по сопоставимому периметру.</t>
  </si>
  <si>
    <t>Север-Пресс</t>
  </si>
  <si>
    <t>ОК: «просмотры» = VIEWS листа Topics, лайки = сумма LIKES листа Actions (по группе, как в прошлых съёмах).</t>
  </si>
  <si>
    <t>Лента СП</t>
  </si>
  <si>
    <t>Красный Север</t>
  </si>
  <si>
    <t>Новый Уренгой</t>
  </si>
  <si>
    <t>Надым</t>
  </si>
  <si>
    <t>Ноябрьск</t>
  </si>
  <si>
    <t>Салехард</t>
  </si>
  <si>
    <t>Приуралье</t>
  </si>
  <si>
    <t>Лабытнанги</t>
  </si>
  <si>
    <t>Пуровский</t>
  </si>
  <si>
    <t>Тазовский</t>
  </si>
  <si>
    <t>Красноселькуп</t>
  </si>
  <si>
    <t>Ямальский</t>
  </si>
  <si>
    <t>Шурышкарский</t>
  </si>
  <si>
    <t>Муравленко</t>
  </si>
  <si>
    <t>Губкинский</t>
  </si>
  <si>
    <t>Не олени</t>
  </si>
  <si>
    <t>Этноарктика</t>
  </si>
  <si>
    <t>ЗажгиФакел</t>
  </si>
  <si>
    <t>Нярьяна Нгэрм</t>
  </si>
  <si>
    <t>Лух Авт</t>
  </si>
  <si>
    <t>Ямальский меридиан</t>
  </si>
  <si>
    <t>МК-Ямал</t>
  </si>
  <si>
    <t>Арктика Вконтакте</t>
  </si>
  <si>
    <t>Ямал Live</t>
  </si>
  <si>
    <t>Морошка</t>
  </si>
  <si>
    <t>Итого ВКонтакте</t>
  </si>
  <si>
    <t>Итого Одноклассники</t>
  </si>
  <si>
    <t>СМП</t>
  </si>
  <si>
    <t>СШХ</t>
  </si>
  <si>
    <t>Итого Telegram</t>
  </si>
  <si>
    <t>Итого МАКС</t>
  </si>
  <si>
    <t>ИТОГО по холдингу</t>
  </si>
  <si>
    <t>Недельный съём · 14–20.09.2026</t>
  </si>
  <si>
    <t>07-13.09</t>
  </si>
  <si>
    <t>Недельный съём · 07–13.09.2026</t>
  </si>
  <si>
    <t>31.08-06.09</t>
  </si>
  <si>
    <t>Недельный съём · 31.08–06.09.2026</t>
  </si>
  <si>
    <t>24-30.08</t>
  </si>
  <si>
    <t>Недельный съём · 24–30.08.2026 (базовая неделя)</t>
  </si>
  <si>
    <t>Сравнение редакций по всем площадкам</t>
  </si>
  <si>
    <t>Неделя берётся из ячеек B2 и B3 листа «Сводка». «—» — у редакции нет аккаунта на этой площадке.</t>
  </si>
  <si>
    <t>Пока блок площадки не заполнен, Δ % здесь занижен: читать после того, как приедут ВК, ОК и ТГ.</t>
  </si>
  <si>
    <t>Редакция</t>
  </si>
  <si>
    <t>ВК</t>
  </si>
  <si>
    <t>ОК</t>
  </si>
  <si>
    <t>ТГ</t>
  </si>
  <si>
    <t>Итого</t>
  </si>
  <si>
    <t>Δ % к пред.</t>
  </si>
  <si>
    <t>Головные</t>
  </si>
  <si>
    <t>Итого · Головные</t>
  </si>
  <si>
    <t>Города и районы</t>
  </si>
  <si>
    <t>Итого · Города и районы</t>
  </si>
  <si>
    <t>Тематические и нишевые</t>
  </si>
  <si>
    <t>—</t>
  </si>
  <si>
    <t>Итого · Тематические и нишевые</t>
  </si>
  <si>
    <t>Вне редакционного периметра</t>
  </si>
  <si>
    <t>Итого · Вне редакционного периметра</t>
  </si>
  <si>
    <t>Реестр площадок · адреса и идентификаторы</t>
  </si>
  <si>
    <t>Адрес</t>
  </si>
  <si>
    <t>ID для API</t>
  </si>
  <si>
    <t>https://vk.com/yamal.media</t>
  </si>
  <si>
    <t>https://vk.com/severpress</t>
  </si>
  <si>
    <t>https://vk.com/novosti_yamala</t>
  </si>
  <si>
    <t>https://vk.com/ksyanao</t>
  </si>
  <si>
    <t>https://vk.com/yamalmedianur</t>
  </si>
  <si>
    <t>https://vk.com/trknadym</t>
  </si>
  <si>
    <t>https://vk.com/migtv</t>
  </si>
  <si>
    <t>https://vk.com/salekhardonline</t>
  </si>
  <si>
    <t>https://vk.com/iapriuralye</t>
  </si>
  <si>
    <t>https://vk.com/ialbt</t>
  </si>
  <si>
    <t>https://vk.com/purmedia</t>
  </si>
  <si>
    <t>https://vk.com/studiafakt</t>
  </si>
  <si>
    <t>https://vk.com/smi_krasnoselkup</t>
  </si>
  <si>
    <t>https://vk.com/yamaltv</t>
  </si>
  <si>
    <t>https://vk.com/trvmujitrv</t>
  </si>
  <si>
    <t>https://vk.com/muravlenko24</t>
  </si>
  <si>
    <t>https://vk.com/gubvektor</t>
  </si>
  <si>
    <t>https://vk.com/ne_oleni</t>
  </si>
  <si>
    <t>https://vk.com/etnoarktika</t>
  </si>
  <si>
    <t>https://vk.com/fakelcommunity</t>
  </si>
  <si>
    <t>https://vk.com/nn.yanao</t>
  </si>
  <si>
    <t>https://vk.com/la.yanao</t>
  </si>
  <si>
    <t>https://vk.com/ymerid</t>
  </si>
  <si>
    <t>https://vk.com/mkyamal</t>
  </si>
  <si>
    <t>https://vk.com/arcticavk</t>
  </si>
  <si>
    <t>https://vk.com/yamallife</t>
  </si>
  <si>
    <t>https://vk.com/moroshkaYM</t>
  </si>
  <si>
    <t>https://ok.ru/yamal.media.89</t>
  </si>
  <si>
    <t>54376669315327</t>
  </si>
  <si>
    <t>https://ok.ru/novostiyanao</t>
  </si>
  <si>
    <t>56412115304496</t>
  </si>
  <si>
    <t>https://ok.ru/krasnysever</t>
  </si>
  <si>
    <t>52110876147922</t>
  </si>
  <si>
    <t>https://ok.ru/group/70000055266559</t>
  </si>
  <si>
    <t>70000055266559</t>
  </si>
  <si>
    <t>https://ok.ru/trknadym</t>
  </si>
  <si>
    <t>58425128648765</t>
  </si>
  <si>
    <t>https://ok.ru/tvmig</t>
  </si>
  <si>
    <t>53869509607675</t>
  </si>
  <si>
    <t>https://ok.ru/polyarnykrug</t>
  </si>
  <si>
    <t>55935921029300</t>
  </si>
  <si>
    <t>https://ok.ru/iapriuralye</t>
  </si>
  <si>
    <t>53560145412301</t>
  </si>
  <si>
    <t>https://ok.ru/ialbt</t>
  </si>
  <si>
    <t>60442457145504</t>
  </si>
  <si>
    <t>https://ok.ru/purmedia</t>
  </si>
  <si>
    <t>52382505763003</t>
  </si>
  <si>
    <t>https://ok.ru/tvfakt</t>
  </si>
  <si>
    <t>54536542486554</t>
  </si>
  <si>
    <t>https://ok.ru/mbusmikras</t>
  </si>
  <si>
    <t>64337877008639</t>
  </si>
  <si>
    <t>https://ok.ru/novostiyamala</t>
  </si>
  <si>
    <t>57174821896250</t>
  </si>
  <si>
    <t>https://ok.ru/spmuzhi</t>
  </si>
  <si>
    <t>52994913140974</t>
  </si>
  <si>
    <t>https://ok.ru/muravlenko24</t>
  </si>
  <si>
    <t>54543736504430</t>
  </si>
  <si>
    <t>https://ok.ru/gubkins</t>
  </si>
  <si>
    <t>52443888418982</t>
  </si>
  <si>
    <t>https://ok.ru/nn.yanao</t>
  </si>
  <si>
    <t>53850510655624</t>
  </si>
  <si>
    <t>https://ok.ru/la.yanao</t>
  </si>
  <si>
    <t>55104233996390</t>
  </si>
  <si>
    <t>https://ok.ru/mkyamal</t>
  </si>
  <si>
    <t>59360899432491</t>
  </si>
  <si>
    <t>https://ok.ru/moroshkaym</t>
  </si>
  <si>
    <t>70000054026751</t>
  </si>
  <si>
    <t>https://t.me/yamalmedia_89</t>
  </si>
  <si>
    <t>https://t.me/sever_press</t>
  </si>
  <si>
    <t>https://t.me/ksyamal</t>
  </si>
  <si>
    <t>https://t.me/sevmorput</t>
  </si>
  <si>
    <t>https://t.me/sev_shir_hod</t>
  </si>
  <si>
    <t>https://t.me/tvimpulse</t>
  </si>
  <si>
    <t>https://t.me/trknadym89</t>
  </si>
  <si>
    <t>https://t.me/mig_noyabrsk</t>
  </si>
  <si>
    <t>https://t.me/SALEKHARDonline</t>
  </si>
  <si>
    <t>https://t.me/iapriuralye</t>
  </si>
  <si>
    <t>https://t.me/ia_lbt</t>
  </si>
  <si>
    <t>https://t.me/trkluch</t>
  </si>
  <si>
    <t>https://t.me/studiya_fakt</t>
  </si>
  <si>
    <t>https://t.me/smi_Krasnoselkup</t>
  </si>
  <si>
    <t>https://t.me/yamaltv</t>
  </si>
  <si>
    <t>https://t.me/ShuryshkaryYM</t>
  </si>
  <si>
    <t>https://t.me/muravlenko24</t>
  </si>
  <si>
    <t>https://t.me/vektor_gbk</t>
  </si>
  <si>
    <t>https://t.me/mk_yamal</t>
  </si>
  <si>
    <t>https://t.me/ne_oleni</t>
  </si>
  <si>
    <t>https://t.me/ymerid</t>
  </si>
  <si>
    <t>https://t.me/moroshkaYM</t>
  </si>
  <si>
    <t>https://max.ru/yamal_media</t>
  </si>
  <si>
    <t>-68434029368759</t>
  </si>
  <si>
    <t>https://max.ru/severpress</t>
  </si>
  <si>
    <t>-71615612821553</t>
  </si>
  <si>
    <t>https://max.ru/ksyanao</t>
  </si>
  <si>
    <t>-71619244236849</t>
  </si>
  <si>
    <t>https://max.ru/sevmorput</t>
  </si>
  <si>
    <t>-73250828361777</t>
  </si>
  <si>
    <t>https://max.ru/sshh_yamal_media</t>
  </si>
  <si>
    <t>-73313587333658</t>
  </si>
  <si>
    <t>https://max.ru/tvimpulse</t>
  </si>
  <si>
    <t>-68441049030798</t>
  </si>
  <si>
    <t>https://max.ru/trknadym</t>
  </si>
  <si>
    <t>-68502470350143</t>
  </si>
  <si>
    <t>https://max.ru/migtv</t>
  </si>
  <si>
    <t>-68507922347300</t>
  </si>
  <si>
    <t>https://max.ru/salechard_yamal_media</t>
  </si>
  <si>
    <t>-73313476643354</t>
  </si>
  <si>
    <t>https://max.ru/priuralye_yamal_media</t>
  </si>
  <si>
    <t>-73313540934170</t>
  </si>
  <si>
    <t>https://max.ru/ialbt</t>
  </si>
  <si>
    <t>-69147007172717</t>
  </si>
  <si>
    <t>https://max.ru/purmedia</t>
  </si>
  <si>
    <t>-69023342335238</t>
  </si>
  <si>
    <t>https://max.ru/id8910000166_gos</t>
  </si>
  <si>
    <t>-69134405869614</t>
  </si>
  <si>
    <t>https://max.ru/yamalmedia_89</t>
  </si>
  <si>
    <t>-72809031742768</t>
  </si>
  <si>
    <t>https://max.ru/yamaltv</t>
  </si>
  <si>
    <t>-68429251360033</t>
  </si>
  <si>
    <t>https://max.ru/id8907001650_gos</t>
  </si>
  <si>
    <t>-69214461979261</t>
  </si>
  <si>
    <t>https://max.ru/muravlenko24</t>
  </si>
  <si>
    <t>-69134827489818</t>
  </si>
  <si>
    <t>https://max.ru/gubvektor</t>
  </si>
  <si>
    <t>-69026728416632</t>
  </si>
  <si>
    <t>https://max.ru/ne_oleni_pishut</t>
  </si>
  <si>
    <t>-71761351254065</t>
  </si>
  <si>
    <t>https://max.ru/channel_ymerid</t>
  </si>
  <si>
    <t>-70906859438144</t>
  </si>
  <si>
    <t>https://max.ru/channel_moroshkaYM</t>
  </si>
  <si>
    <t>-77160880316465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</si>
</sst>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#,##0;\-#,##0;0"/>
    <numFmt numFmtId="165" formatCode="0.0%"/>
    <numFmt numFmtId="166" formatCode="\+0.0%;\-0.0%;0.0%"/>
    <numFmt numFmtId="167" formatCode="#,##0.0"/>
  </numFmts>
  <fonts count="19" x14ac:knownFonts="1">
    <font>
      <sz val="11"/>
      <color theme="1"/>
      <name val="Calibri"/>
      <scheme val="minor"/>
    </font>
    <font>
      <b/>
      <sz val="14"/>
      <color rgb="FF1F3864"/>
      <name val="Arial"/>
    </font>
    <font>
      <sz val="11"/>
      <color theme="1"/>
      <name val="Calibri"/>
    </font>
    <font>
      <b/>
      <sz val="16"/>
      <color rgb="FF1F3864"/>
      <name val="Arial"/>
    </font>
    <font>
      <b/>
      <sz val="9"/>
      <color rgb="FF7F6000"/>
      <name val="Arial"/>
    </font>
    <font>
      <b/>
      <sz val="9"/>
      <color rgb="FFFFFFFF"/>
      <name val="Arial"/>
    </font>
    <font>
      <b/>
      <sz val="10"/>
      <color theme="1"/>
      <name val="Arial"/>
    </font>
    <font>
      <b/>
      <sz val="11"/>
      <color theme="1"/>
      <name val="Arial"/>
    </font>
    <font>
      <i/>
      <sz val="9"/>
      <color rgb="FF808080"/>
      <name val="Arial"/>
    </font>
    <font>
      <i/>
      <sz val="10"/>
      <color rgb="FF595959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Arial"/>
    </font>
    <font>
      <b/>
      <sz val="11"/>
      <color rgb="FF1F3864"/>
      <name val="Arial"/>
    </font>
    <font>
      <sz val="10"/>
      <color rgb="FF404040"/>
      <name val="Arial"/>
    </font>
    <font>
      <b/>
      <sz val="10"/>
      <color rgb="FFFFFFFF"/>
      <name val="Arial"/>
    </font>
    <font>
      <b/>
      <sz val="10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8" fillId="0" borderId="0" xfId="0" applyFont="1"/>
    <xf numFmtId="0" fontId="7" fillId="3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/>
    <xf numFmtId="3" fontId="10" fillId="0" borderId="1" xfId="0" applyNumberFormat="1" applyFont="1" applyBorder="1" applyAlignment="1">
      <alignment horizontal="right"/>
    </xf>
    <xf numFmtId="0" fontId="11" fillId="0" borderId="1" xfId="0" applyFont="1" applyBorder="1"/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165" fontId="2" fillId="0" borderId="0" xfId="0" applyNumberFormat="1" applyFont="1"/>
    <xf numFmtId="165" fontId="11" fillId="0" borderId="1" xfId="0" applyNumberFormat="1" applyFont="1" applyBorder="1" applyAlignment="1">
      <alignment horizontal="right"/>
    </xf>
    <xf numFmtId="166" fontId="2" fillId="0" borderId="0" xfId="0" applyNumberFormat="1" applyFont="1"/>
    <xf numFmtId="164" fontId="2" fillId="0" borderId="0" xfId="0" applyNumberFormat="1" applyFont="1"/>
    <xf numFmtId="0" fontId="12" fillId="0" borderId="0" xfId="0" applyFont="1"/>
    <xf numFmtId="167" fontId="11" fillId="0" borderId="1" xfId="0" applyNumberFormat="1" applyFont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6" fillId="4" borderId="1" xfId="0" applyFont="1" applyFill="1" applyBorder="1"/>
    <xf numFmtId="3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right"/>
    </xf>
    <xf numFmtId="165" fontId="13" fillId="0" borderId="0" xfId="0" applyNumberFormat="1" applyFont="1"/>
    <xf numFmtId="166" fontId="13" fillId="0" borderId="0" xfId="0" applyNumberFormat="1" applyFont="1"/>
    <xf numFmtId="164" fontId="13" fillId="0" borderId="0" xfId="0" applyNumberFormat="1" applyFont="1"/>
    <xf numFmtId="0" fontId="14" fillId="2" borderId="1" xfId="0" applyFont="1" applyFill="1" applyBorder="1"/>
    <xf numFmtId="3" fontId="14" fillId="2" borderId="1" xfId="0" applyNumberFormat="1" applyFont="1" applyFill="1" applyBorder="1" applyAlignment="1">
      <alignment horizontal="right"/>
    </xf>
    <xf numFmtId="165" fontId="14" fillId="2" borderId="1" xfId="0" applyNumberFormat="1" applyFont="1" applyFill="1" applyBorder="1" applyAlignment="1">
      <alignment horizontal="right"/>
    </xf>
    <xf numFmtId="167" fontId="14" fillId="2" borderId="1" xfId="0" applyNumberFormat="1" applyFont="1" applyFill="1" applyBorder="1" applyAlignment="1">
      <alignment horizontal="right"/>
    </xf>
    <xf numFmtId="164" fontId="14" fillId="2" borderId="1" xfId="0" applyNumberFormat="1" applyFont="1" applyFill="1" applyBorder="1" applyAlignment="1">
      <alignment horizontal="right"/>
    </xf>
    <xf numFmtId="0" fontId="15" fillId="0" borderId="0" xfId="0" applyFont="1"/>
    <xf numFmtId="0" fontId="16" fillId="0" borderId="0" xfId="0" applyFont="1"/>
    <xf numFmtId="0" fontId="17" fillId="2" borderId="1" xfId="0" applyFont="1" applyFill="1" applyBorder="1"/>
    <xf numFmtId="3" fontId="17" fillId="2" borderId="1" xfId="0" applyNumberFormat="1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right"/>
    </xf>
    <xf numFmtId="165" fontId="17" fillId="2" borderId="1" xfId="0" applyNumberFormat="1" applyFont="1" applyFill="1" applyBorder="1" applyAlignment="1">
      <alignment horizontal="right"/>
    </xf>
    <xf numFmtId="0" fontId="18" fillId="5" borderId="1" xfId="0" applyFont="1" applyFill="1" applyBorder="1"/>
    <xf numFmtId="3" fontId="18" fillId="5" borderId="1" xfId="0" applyNumberFormat="1" applyFont="1" applyFill="1" applyBorder="1" applyAlignment="1">
      <alignment horizontal="right"/>
    </xf>
    <xf numFmtId="165" fontId="18" fillId="5" borderId="1" xfId="0" applyNumberFormat="1" applyFont="1" applyFill="1" applyBorder="1" applyAlignment="1">
      <alignment horizontal="right"/>
    </xf>
    <xf numFmtId="167" fontId="18" fillId="5" borderId="1" xfId="0" applyNumberFormat="1" applyFont="1" applyFill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0" fontId="10" fillId="3" borderId="1" xfId="0" applyFont="1" applyFill="1" applyBorder="1"/>
    <xf numFmtId="3" fontId="10" fillId="3" borderId="1" xfId="0" applyNumberFormat="1" applyFont="1" applyFill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165" fontId="10" fillId="3" borderId="1" xfId="0" applyNumberFormat="1" applyFont="1" applyFill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0" xfId="0"/>
    <xf numFmtId="0" fontId="14" fillId="2" borderId="2" xfId="0" applyFont="1" applyFill="1" applyBorder="1" applyAlignment="1">
      <alignment horizontal="center"/>
    </xf>
    <xf numFmtId="0" fontId="0" fillId="0" borderId="0" xfId="0"/>
  </cellXfs>
  <cellStyles count="1">
    <cellStyle name="Обычный" xfId="0" builtinId="0"/>
  </cellStyles>
  <dxfs count="14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600000"/>
      </font>
      <fill>
        <patternFill patternType="solid">
          <fgColor rgb="FFF8696B"/>
          <bgColor rgb="FFF8696B"/>
        </patternFill>
      </fill>
    </dxf>
    <dxf>
      <font>
        <b/>
        <color rgb="FF003300"/>
      </font>
      <fill>
        <patternFill patternType="solid">
          <fgColor rgb="FF63BE7B"/>
          <bgColor rgb="FF63BE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5" sqref="D15"/>
    </sheetView>
  </sheetViews>
  <sheetFormatPr defaultColWidth="14.3984375" defaultRowHeight="15" customHeight="1" x14ac:dyDescent="0.45"/>
  <cols>
    <col min="1" max="1" width="17" style="56" customWidth="1"/>
    <col min="2" max="2" width="12" style="56" customWidth="1"/>
    <col min="3" max="3" width="13" style="56" customWidth="1"/>
    <col min="4" max="4" width="14" style="56" customWidth="1"/>
    <col min="5" max="5" width="9" style="56" customWidth="1"/>
    <col min="6" max="6" width="11" style="56" customWidth="1"/>
    <col min="7" max="7" width="13" style="56" customWidth="1"/>
    <col min="8" max="8" width="9" style="56" customWidth="1"/>
    <col min="9" max="9" width="15" style="56" customWidth="1"/>
    <col min="10" max="11" width="13" style="56" customWidth="1"/>
    <col min="12" max="17" width="15" style="56" customWidth="1"/>
  </cols>
  <sheetData>
    <row r="1" spans="1:26" ht="20.25" customHeight="1" x14ac:dyDescent="0.6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45">
      <c r="A2" s="6" t="s">
        <v>1</v>
      </c>
      <c r="B2" s="7" t="s">
        <v>2</v>
      </c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45">
      <c r="A3" s="6" t="s">
        <v>3</v>
      </c>
      <c r="B3" s="7" t="s">
        <v>4</v>
      </c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45">
      <c r="A4" s="11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" customHeight="1" x14ac:dyDescent="0.4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10</v>
      </c>
      <c r="I6" s="5" t="s">
        <v>13</v>
      </c>
      <c r="J6" s="5" t="s">
        <v>14</v>
      </c>
      <c r="K6" s="5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45">
      <c r="A7" s="14" t="s">
        <v>22</v>
      </c>
      <c r="B7" s="17">
        <f t="array" aca="1" ref="B7" ca="1">INDIRECT("'"&amp;$B$2&amp;"'!C30")</f>
        <v>1883</v>
      </c>
      <c r="C7" s="17">
        <f t="array" aca="1" ref="C7" ca="1">IF($B7=0,"",INDIRECT("'"&amp;$B$2&amp;"'!D30"))</f>
        <v>4273439</v>
      </c>
      <c r="D7" s="17">
        <f t="array" aca="1" ref="D7" ca="1">IF($B7=0,"",INDIRECT("'"&amp;$B$2&amp;"'!E30"))</f>
        <v>3693588</v>
      </c>
      <c r="E7" s="19">
        <f ca="1">IF(B7=0,"",IFERROR(C7/D7-1,""))</f>
        <v>0.15698854338924639</v>
      </c>
      <c r="F7" s="17">
        <f t="array" aca="1" ref="F7" ca="1">IF($B7=0,"",INDIRECT("'"&amp;$B$2&amp;"'!H30"))</f>
        <v>29907</v>
      </c>
      <c r="G7" s="17">
        <f t="array" aca="1" ref="G7" ca="1">IF($B7=0,"",INDIRECT("'"&amp;$B$2&amp;"'!I30"))</f>
        <v>33462</v>
      </c>
      <c r="H7" s="19">
        <f ca="1">IF(B7=0,"",IFERROR(F7/G7-1,""))</f>
        <v>-0.10623991393222165</v>
      </c>
      <c r="I7" s="23">
        <f ca="1">IFERROR(F7/C7*1000,"")</f>
        <v>6.9983448927198912</v>
      </c>
      <c r="J7" s="17">
        <f t="array" aca="1" ref="J7" ca="1">IF($B7=0,"",INDIRECT("'"&amp;$B$2&amp;"'!N30"))</f>
        <v>465281</v>
      </c>
      <c r="K7" s="24">
        <f t="array" aca="1" ref="K7" ca="1">IF($B7=0,"",INDIRECT("'"&amp;$B$2&amp;"'!O30"))</f>
        <v>728</v>
      </c>
      <c r="L7" s="18">
        <f t="array" aca="1" ref="L7" ca="1">IFERROR(IF(INDIRECT("'"&amp;$B$3&amp;"'!G30")="","",INDIRECT("'"&amp;$B$3&amp;"'!G30")),"")</f>
        <v>0.22306668344404193</v>
      </c>
      <c r="M7" s="20">
        <f ca="1">IF(OR($E7="",$L7=""),"",$E7-$L7)</f>
        <v>-6.6078140054795537E-2</v>
      </c>
      <c r="N7" s="18">
        <f t="array" aca="1" ref="N7" ca="1">IFERROR(IF(INDIRECT("'"&amp;$B$3&amp;"'!K30")="","",INDIRECT("'"&amp;$B$3&amp;"'!K30")),"")</f>
        <v>2.9916897506925208E-2</v>
      </c>
      <c r="O7" s="20">
        <f ca="1">IF(OR($H7="",$N7=""),"",$H7-$N7)</f>
        <v>-0.13615681143914687</v>
      </c>
      <c r="P7" s="21">
        <f t="array" aca="1" ref="P7" ca="1">IFERROR(IF(INDIRECT("'"&amp;$B$3&amp;"'!O30")="","",INDIRECT("'"&amp;$B$3&amp;"'!O30")),"")</f>
        <v>3078</v>
      </c>
      <c r="Q7" s="21">
        <f ca="1">IF(OR($B7=0,$K7="",$P7=""),"",$K7-$P7)</f>
        <v>-2350</v>
      </c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45">
      <c r="A8" s="14" t="s">
        <v>23</v>
      </c>
      <c r="B8" s="17">
        <f t="array" aca="1" ref="B8" ca="1">INDIRECT("'"&amp;$B$2&amp;"'!C51")</f>
        <v>1190</v>
      </c>
      <c r="C8" s="17">
        <f t="array" aca="1" ref="C8" ca="1">IF($B8=0,"",INDIRECT("'"&amp;$B$2&amp;"'!D51"))</f>
        <v>177893</v>
      </c>
      <c r="D8" s="17">
        <f t="array" aca="1" ref="D8" ca="1">IF($B8=0,"",INDIRECT("'"&amp;$B$2&amp;"'!E51"))</f>
        <v>210483</v>
      </c>
      <c r="E8" s="19">
        <f ca="1">IF(B8=0,"",IFERROR(C8/D8-1,""))</f>
        <v>-0.15483435716898752</v>
      </c>
      <c r="F8" s="17">
        <f t="array" aca="1" ref="F8" ca="1">IF($B8=0,"",INDIRECT("'"&amp;$B$2&amp;"'!H51"))</f>
        <v>1166</v>
      </c>
      <c r="G8" s="17">
        <f t="array" aca="1" ref="G8" ca="1">IF($B8=0,"",INDIRECT("'"&amp;$B$2&amp;"'!I51"))</f>
        <v>1421</v>
      </c>
      <c r="H8" s="19">
        <f ca="1">IF(B8=0,"",IFERROR(F8/G8-1,""))</f>
        <v>-0.17945109078114008</v>
      </c>
      <c r="I8" s="23">
        <f ca="1">IFERROR(F8/C8*1000,"")</f>
        <v>6.5545018634797323</v>
      </c>
      <c r="J8" s="17">
        <f t="array" aca="1" ref="J8" ca="1">IF($B8=0,"",INDIRECT("'"&amp;$B$2&amp;"'!N51"))</f>
        <v>89518</v>
      </c>
      <c r="K8" s="24">
        <f t="array" aca="1" ref="K8" ca="1">IF($B8=0,"",INDIRECT("'"&amp;$B$2&amp;"'!O51"))</f>
        <v>14</v>
      </c>
      <c r="L8" s="18">
        <f t="array" aca="1" ref="L8" ca="1">IFERROR(IF(INDIRECT("'"&amp;$B$3&amp;"'!G51")="","",INDIRECT("'"&amp;$B$3&amp;"'!G51")),"")</f>
        <v>-0.47715807526327875</v>
      </c>
      <c r="M8" s="20">
        <f ca="1">IF(OR($E8="",$L8=""),"",$E8-$L8)</f>
        <v>0.32232371809429122</v>
      </c>
      <c r="N8" s="18">
        <f t="array" aca="1" ref="N8" ca="1">IFERROR(IF(INDIRECT("'"&amp;$B$3&amp;"'!K51")="","",INDIRECT("'"&amp;$B$3&amp;"'!K51")),"")</f>
        <v>-0.24364765669113495</v>
      </c>
      <c r="O8" s="20">
        <f ca="1">IF(OR($H8="",$N8=""),"",$H8-$N8)</f>
        <v>6.4196565909994868E-2</v>
      </c>
      <c r="P8" s="21">
        <f t="array" aca="1" ref="P8" ca="1">IFERROR(IF(INDIRECT("'"&amp;$B$3&amp;"'!O51")="","",INDIRECT("'"&amp;$B$3&amp;"'!O51")),"")</f>
        <v>48</v>
      </c>
      <c r="Q8" s="21">
        <f ca="1">IF(OR($B8=0,$K8="",$P8=""),"",$K8-$P8)</f>
        <v>-34</v>
      </c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45">
      <c r="A9" s="14" t="s">
        <v>24</v>
      </c>
      <c r="B9" s="17">
        <f t="array" aca="1" ref="B9" ca="1">INDIRECT("'"&amp;$B$2&amp;"'!C74")</f>
        <v>1665</v>
      </c>
      <c r="C9" s="17">
        <f t="array" aca="1" ref="C9" ca="1">IF($B9=0,"",INDIRECT("'"&amp;$B$2&amp;"'!D74"))</f>
        <v>419798</v>
      </c>
      <c r="D9" s="17">
        <f t="array" aca="1" ref="D9" ca="1">IF($B9=0,"",INDIRECT("'"&amp;$B$2&amp;"'!E74"))</f>
        <v>485768</v>
      </c>
      <c r="E9" s="19">
        <f ca="1">IF(B9=0,"",IFERROR(C9/D9-1,""))</f>
        <v>-0.13580556973699376</v>
      </c>
      <c r="F9" s="17">
        <f t="array" aca="1" ref="F9" ca="1">IF($B9=0,"",INDIRECT("'"&amp;$B$2&amp;"'!H74"))</f>
        <v>2673</v>
      </c>
      <c r="G9" s="17">
        <f t="array" aca="1" ref="G9" ca="1">IF($B9=0,"",INDIRECT("'"&amp;$B$2&amp;"'!I74"))</f>
        <v>2618</v>
      </c>
      <c r="H9" s="19">
        <f ca="1">IF(B9=0,"",IFERROR(F9/G9-1,""))</f>
        <v>2.1008403361344463E-2</v>
      </c>
      <c r="I9" s="23">
        <f ca="1">IFERROR(F9/C9*1000,"")</f>
        <v>6.367348105517415</v>
      </c>
      <c r="J9" s="17">
        <f t="array" aca="1" ref="J9" ca="1">IF($B9=0,"",INDIRECT("'"&amp;$B$2&amp;"'!N74"))</f>
        <v>98109</v>
      </c>
      <c r="K9" s="24">
        <f t="array" aca="1" ref="K9" ca="1">IF($B9=0,"",INDIRECT("'"&amp;$B$2&amp;"'!O74"))</f>
        <v>-210</v>
      </c>
      <c r="L9" s="18">
        <f t="array" aca="1" ref="L9" ca="1">IFERROR(IF(INDIRECT("'"&amp;$B$3&amp;"'!G74")="","",INDIRECT("'"&amp;$B$3&amp;"'!G74")),"")</f>
        <v>1.8439198864505957E-2</v>
      </c>
      <c r="M9" s="20">
        <f ca="1">IF(OR($E9="",$L9=""),"",$E9-$L9)</f>
        <v>-0.15424476860149972</v>
      </c>
      <c r="N9" s="18">
        <f t="array" aca="1" ref="N9" ca="1">IFERROR(IF(INDIRECT("'"&amp;$B$3&amp;"'!K74")="","",INDIRECT("'"&amp;$B$3&amp;"'!K74")),"")</f>
        <v>-0.18059467918622849</v>
      </c>
      <c r="O9" s="20">
        <f ca="1">IF(OR($H9="",$N9=""),"",$H9-$N9)</f>
        <v>0.20160308254757295</v>
      </c>
      <c r="P9" s="21">
        <f t="array" aca="1" ref="P9" ca="1">IFERROR(IF(INDIRECT("'"&amp;$B$3&amp;"'!O74")="","",INDIRECT("'"&amp;$B$3&amp;"'!O74")),"")</f>
        <v>-179</v>
      </c>
      <c r="Q9" s="21">
        <f ca="1">IF(OR($B9=0,$K9="",$P9=""),"",$K9-$P9)</f>
        <v>-31</v>
      </c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45">
      <c r="A10" s="14" t="s">
        <v>25</v>
      </c>
      <c r="B10" s="17">
        <f t="array" aca="1" ref="B10" ca="1">INDIRECT("'"&amp;$B$2&amp;"'!C96")</f>
        <v>1428</v>
      </c>
      <c r="C10" s="17">
        <f t="array" aca="1" ref="C10" ca="1">IF($B10=0,"",INDIRECT("'"&amp;$B$2&amp;"'!D96"))</f>
        <v>1003512</v>
      </c>
      <c r="D10" s="17">
        <f t="array" aca="1" ref="D10" ca="1">IF($B10=0,"",INDIRECT("'"&amp;$B$2&amp;"'!E96"))</f>
        <v>1238429</v>
      </c>
      <c r="E10" s="19">
        <f ca="1">IF(B10=0,"",IFERROR(C10/D10-1,""))</f>
        <v>-0.18968951792957045</v>
      </c>
      <c r="F10" s="17">
        <f t="array" aca="1" ref="F10" ca="1">IF($B10=0,"",INDIRECT("'"&amp;$B$2&amp;"'!H96"))</f>
        <v>13864</v>
      </c>
      <c r="G10" s="17">
        <f t="array" aca="1" ref="G10" ca="1">IF($B10=0,"",INDIRECT("'"&amp;$B$2&amp;"'!I96"))</f>
        <v>16231</v>
      </c>
      <c r="H10" s="19">
        <f ca="1">IF(B10=0,"",IFERROR(F10/G10-1,""))</f>
        <v>-0.14583204978128272</v>
      </c>
      <c r="I10" s="23">
        <f ca="1">IFERROR(F10/C10*1000,"")</f>
        <v>13.815480034120171</v>
      </c>
      <c r="J10" s="17">
        <f t="array" aca="1" ref="J10" ca="1">IF($B10=0,"",INDIRECT("'"&amp;$B$2&amp;"'!N96"))</f>
        <v>31298</v>
      </c>
      <c r="K10" s="24">
        <f t="array" aca="1" ref="K10" ca="1">IF($B10=0,"",INDIRECT("'"&amp;$B$2&amp;"'!O96"))</f>
        <v>242</v>
      </c>
      <c r="L10" s="18">
        <f t="array" aca="1" ref="L10" ca="1">IFERROR(IF(INDIRECT("'"&amp;$B$3&amp;"'!G96")="","",INDIRECT("'"&amp;$B$3&amp;"'!G96")),"")</f>
        <v>0.19045028227352992</v>
      </c>
      <c r="M10" s="20">
        <f ca="1">IF(OR($E10="",$L10=""),"",$E10-$L10)</f>
        <v>-0.38013980020310034</v>
      </c>
      <c r="N10" s="18">
        <f t="array" aca="1" ref="N10" ca="1">IFERROR(IF(INDIRECT("'"&amp;$B$3&amp;"'!K96")="","",INDIRECT("'"&amp;$B$3&amp;"'!K96")),"")</f>
        <v>2.7278481012658229E-2</v>
      </c>
      <c r="O10" s="20">
        <f ca="1">IF(OR($H10="",$N10=""),"",$H10-$N10)</f>
        <v>-0.17311053079394095</v>
      </c>
      <c r="P10" s="21">
        <f t="array" aca="1" ref="P10" ca="1">IFERROR(IF(INDIRECT("'"&amp;$B$3&amp;"'!O96")="","",INDIRECT("'"&amp;$B$3&amp;"'!O96")),"")</f>
        <v>560</v>
      </c>
      <c r="Q10" s="21">
        <f ca="1">IF(OR($B10=0,$K10="",$P10=""),"",$K10-$P10)</f>
        <v>-318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45">
      <c r="A11" s="32" t="s">
        <v>26</v>
      </c>
      <c r="B11" s="33">
        <f ca="1">SUM(B7:B10)</f>
        <v>6166</v>
      </c>
      <c r="C11" s="33">
        <f ca="1">SUM(C7:C10)</f>
        <v>5874642</v>
      </c>
      <c r="D11" s="33">
        <f ca="1">SUM(D7:D10)</f>
        <v>5628268</v>
      </c>
      <c r="E11" s="34">
        <f ca="1">IF(OR(B7=0,B8=0,B9=0,B10=0),"",IFERROR(C11/D11-1,""))</f>
        <v>4.3774390274237129E-2</v>
      </c>
      <c r="F11" s="33">
        <f ca="1">SUM(F7:F10)</f>
        <v>47610</v>
      </c>
      <c r="G11" s="33">
        <f ca="1">SUM(G7:G10)</f>
        <v>53732</v>
      </c>
      <c r="H11" s="34">
        <f ca="1">IF(OR(B7=0,B8=0,B9=0,B10=0),"",IFERROR(F11/G11-1,""))</f>
        <v>-0.11393582967319293</v>
      </c>
      <c r="I11" s="35">
        <f ca="1">IFERROR(F11/C11*1000,"")</f>
        <v>8.1043236336784439</v>
      </c>
      <c r="J11" s="33">
        <f ca="1">SUM(J7:J10)</f>
        <v>684206</v>
      </c>
      <c r="K11" s="36">
        <f ca="1">SUM(K7:K10)</f>
        <v>774</v>
      </c>
      <c r="L11" s="29">
        <f t="array" aca="1" ref="L11" ca="1">IFERROR(IF(INDIRECT("'"&amp;$B$3&amp;"'!G97")="","",INDIRECT("'"&amp;$B$3&amp;"'!G97")),"")</f>
        <v>0.12525281456164403</v>
      </c>
      <c r="M11" s="30">
        <f ca="1">IF(OR($E11="",$L11=""),"",$E11-$L11)</f>
        <v>-8.1478424287406898E-2</v>
      </c>
      <c r="N11" s="29">
        <f t="array" aca="1" ref="N11" ca="1">IFERROR(IF(INDIRECT("'"&amp;$B$3&amp;"'!K97")="","",INDIRECT("'"&amp;$B$3&amp;"'!K97")),"")</f>
        <v>-6.7239718683555346E-4</v>
      </c>
      <c r="O11" s="30">
        <f ca="1">IF(OR($H11="",$N11=""),"",$H11-$N11)</f>
        <v>-0.11326343248635738</v>
      </c>
      <c r="P11" s="31">
        <f t="array" aca="1" ref="P11" ca="1">IFERROR(IF(INDIRECT("'"&amp;$B$3&amp;"'!O97")="","",INDIRECT("'"&amp;$B$3&amp;"'!O97")),"")</f>
        <v>3507</v>
      </c>
      <c r="Q11" s="31">
        <f ca="1">IF(OR(B7=0,B8=0,B9=0,B10=0),"",$K11-$P11)</f>
        <v>-2733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45">
      <c r="A13" s="37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45">
      <c r="A14" s="38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45">
      <c r="A15" s="3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45">
      <c r="A16" s="3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45">
      <c r="A17" s="3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45">
      <c r="A18" s="3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45">
      <c r="A19" s="3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45">
      <c r="A20" s="3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45">
      <c r="A21" s="3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4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45">
      <c r="A23" s="3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45">
      <c r="A24" s="3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45">
      <c r="A25" s="3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45">
      <c r="A26" s="3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45">
      <c r="A27" s="3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45">
      <c r="A28" s="3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45">
      <c r="A29" s="3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45">
      <c r="A30" s="3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45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E7:E11">
    <cfRule type="expression" dxfId="147" priority="1" stopIfTrue="1">
      <formula>AND(ISNUMBER(E7),E7&gt;=0.2)</formula>
    </cfRule>
    <cfRule type="expression" dxfId="146" priority="2" stopIfTrue="1">
      <formula>AND(ISNUMBER(E7),E7&lt;=-0.2)</formula>
    </cfRule>
    <cfRule type="expression" dxfId="145" priority="3" stopIfTrue="1">
      <formula>AND(ISNUMBER(E7),E7&gt;0)</formula>
    </cfRule>
    <cfRule type="expression" dxfId="144" priority="4" stopIfTrue="1">
      <formula>AND(ISNUMBER(E7),E7&lt;0)</formula>
    </cfRule>
  </conditionalFormatting>
  <conditionalFormatting sqref="H7:H11">
    <cfRule type="expression" dxfId="143" priority="5" stopIfTrue="1">
      <formula>AND(ISNUMBER(H7),H7&gt;=0.2)</formula>
    </cfRule>
    <cfRule type="expression" dxfId="142" priority="6" stopIfTrue="1">
      <formula>AND(ISNUMBER(H7),H7&lt;=-0.2)</formula>
    </cfRule>
    <cfRule type="expression" dxfId="141" priority="7" stopIfTrue="1">
      <formula>AND(ISNUMBER(H7),H7&gt;0)</formula>
    </cfRule>
    <cfRule type="expression" dxfId="140" priority="8" stopIfTrue="1">
      <formula>AND(ISNUMBER(H7),H7&lt;0)</formula>
    </cfRule>
  </conditionalFormatting>
  <conditionalFormatting sqref="M7:M11">
    <cfRule type="expression" dxfId="139" priority="9" stopIfTrue="1">
      <formula>AND(ISNUMBER(M7),M7&gt;=0.2)</formula>
    </cfRule>
    <cfRule type="expression" dxfId="138" priority="10" stopIfTrue="1">
      <formula>AND(ISNUMBER(M7),M7&lt;=-0.2)</formula>
    </cfRule>
    <cfRule type="expression" dxfId="137" priority="11" stopIfTrue="1">
      <formula>AND(ISNUMBER(M7),M7&gt;0)</formula>
    </cfRule>
    <cfRule type="expression" dxfId="136" priority="12" stopIfTrue="1">
      <formula>AND(ISNUMBER(M7),M7&lt;0)</formula>
    </cfRule>
  </conditionalFormatting>
  <conditionalFormatting sqref="O7:O11">
    <cfRule type="expression" dxfId="135" priority="13" stopIfTrue="1">
      <formula>AND(ISNUMBER(O7),O7&gt;=0.2)</formula>
    </cfRule>
    <cfRule type="expression" dxfId="134" priority="14" stopIfTrue="1">
      <formula>AND(ISNUMBER(O7),O7&lt;=-0.2)</formula>
    </cfRule>
    <cfRule type="expression" dxfId="133" priority="15" stopIfTrue="1">
      <formula>AND(ISNUMBER(O7),O7&gt;0)</formula>
    </cfRule>
    <cfRule type="expression" dxfId="132" priority="16" stopIfTrue="1">
      <formula>AND(ISNUMBER(O7),O7&lt;0)</formula>
    </cfRule>
  </conditionalFormatting>
  <conditionalFormatting sqref="K7:K11">
    <cfRule type="expression" dxfId="131" priority="17" stopIfTrue="1">
      <formula>AND(ISNUMBER(K7),K7&gt;0)</formula>
    </cfRule>
    <cfRule type="expression" dxfId="130" priority="18" stopIfTrue="1">
      <formula>AND(ISNUMBER(K7),K7&lt;0)</formula>
    </cfRule>
  </conditionalFormatting>
  <conditionalFormatting sqref="Q7:Q11">
    <cfRule type="expression" dxfId="129" priority="19" stopIfTrue="1">
      <formula>AND(ISNUMBER(Q7),Q7&gt;0)</formula>
    </cfRule>
    <cfRule type="expression" dxfId="128" priority="20" stopIfTrue="1">
      <formula>AND(ISNUMBER(Q7),Q7&lt;0)</formula>
    </cfRule>
  </conditionalFormatting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6" workbookViewId="0"/>
  </sheetViews>
  <sheetFormatPr defaultColWidth="14.3984375" defaultRowHeight="15" customHeight="1" x14ac:dyDescent="0.45"/>
  <cols>
    <col min="1" max="1" width="15" style="56" customWidth="1"/>
    <col min="2" max="2" width="22" style="56" customWidth="1"/>
    <col min="3" max="3" width="11" style="56" customWidth="1"/>
    <col min="4" max="4" width="12" style="56" customWidth="1"/>
    <col min="5" max="6" width="13" style="56" customWidth="1"/>
    <col min="7" max="7" width="9" style="56" customWidth="1"/>
    <col min="8" max="8" width="10" style="56" customWidth="1"/>
    <col min="9" max="9" width="12" style="56" customWidth="1"/>
    <col min="10" max="10" width="11" style="56" customWidth="1"/>
    <col min="11" max="11" width="9" style="56" customWidth="1"/>
    <col min="12" max="13" width="14" style="56" customWidth="1"/>
    <col min="14" max="15" width="12" style="56" customWidth="1"/>
    <col min="16" max="16" width="8.73046875" style="56" customWidth="1"/>
    <col min="17" max="17" width="46" style="56" customWidth="1"/>
    <col min="18" max="18" width="8.73046875" style="56" customWidth="1"/>
    <col min="19" max="24" width="15" style="56" customWidth="1"/>
  </cols>
  <sheetData>
    <row r="1" spans="1:26" ht="17.25" customHeight="1" x14ac:dyDescent="0.5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30</v>
      </c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45">
      <c r="A2" s="5" t="s">
        <v>6</v>
      </c>
      <c r="B2" s="5" t="s">
        <v>31</v>
      </c>
      <c r="C2" s="5" t="s">
        <v>7</v>
      </c>
      <c r="D2" s="5" t="s">
        <v>8</v>
      </c>
      <c r="E2" s="5" t="s">
        <v>32</v>
      </c>
      <c r="F2" s="5" t="s">
        <v>33</v>
      </c>
      <c r="G2" s="5" t="s">
        <v>10</v>
      </c>
      <c r="H2" s="5" t="s">
        <v>11</v>
      </c>
      <c r="I2" s="5" t="s">
        <v>34</v>
      </c>
      <c r="J2" s="5" t="s">
        <v>35</v>
      </c>
      <c r="K2" s="5" t="s">
        <v>10</v>
      </c>
      <c r="L2" s="5" t="s">
        <v>36</v>
      </c>
      <c r="M2" s="5" t="s">
        <v>13</v>
      </c>
      <c r="N2" s="5" t="s">
        <v>14</v>
      </c>
      <c r="O2" s="5" t="s">
        <v>15</v>
      </c>
      <c r="P2" s="2"/>
      <c r="Q2" s="9" t="s">
        <v>4</v>
      </c>
      <c r="R2" s="2"/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2"/>
      <c r="Z2" s="2"/>
    </row>
    <row r="3" spans="1:26" ht="14.25" customHeight="1" x14ac:dyDescent="0.45">
      <c r="A3" s="12" t="s">
        <v>22</v>
      </c>
      <c r="B3" s="12" t="s">
        <v>37</v>
      </c>
      <c r="C3" s="13">
        <v>114</v>
      </c>
      <c r="D3" s="13">
        <v>1913477</v>
      </c>
      <c r="E3" s="13">
        <f t="shared" ref="E3:E29" ca="1" si="0">IF($D3="","",IFERROR(IF(ISBLANK(INDIRECT("'"&amp;$Q$2&amp;"'!D"&amp;ROW())),"",INDIRECT("'"&amp;$Q$2&amp;"'!D"&amp;ROW())),""))</f>
        <v>516875</v>
      </c>
      <c r="F3" s="15">
        <f t="shared" ref="F3:F29" ca="1" si="1">IF(OR(D3="",E3=""),"",D3-E3)</f>
        <v>1396602</v>
      </c>
      <c r="G3" s="16">
        <f t="shared" ref="G3:G29" ca="1" si="2">IFERROR(F3/E3,"")</f>
        <v>2.7020111245465537</v>
      </c>
      <c r="H3" s="13">
        <v>4474</v>
      </c>
      <c r="I3" s="13">
        <f t="shared" ref="I3:I29" ca="1" si="3">IF($H3="","",IFERROR(IF(ISBLANK(INDIRECT("'"&amp;$Q$2&amp;"'!H"&amp;ROW())),"",INDIRECT("'"&amp;$Q$2&amp;"'!H"&amp;ROW())),""))</f>
        <v>1943</v>
      </c>
      <c r="J3" s="15">
        <f t="shared" ref="J3:J29" ca="1" si="4">IF(OR(H3="",I3=""),"",H3-I3)</f>
        <v>2531</v>
      </c>
      <c r="K3" s="16">
        <f t="shared" ref="K3:K29" ca="1" si="5">IFERROR(J3/I3,"")</f>
        <v>1.3026248069994852</v>
      </c>
      <c r="L3" s="13">
        <f t="shared" ref="L3:L34" si="6">IFERROR(D3/C3,"")</f>
        <v>16784.885964912282</v>
      </c>
      <c r="M3" s="13">
        <f t="shared" ref="M3:M34" si="7">IFERROR(H3/D3*1000,"")</f>
        <v>2.3381519610635508</v>
      </c>
      <c r="N3" s="13">
        <v>89358</v>
      </c>
      <c r="O3" s="15">
        <f t="shared" ref="O3:O29" ca="1" si="8">IFERROR(IF(OR(N3="",ISBLANK(INDIRECT("'"&amp;$Q$2&amp;"'!N"&amp;ROW()))),"",N3-INDIRECT("'"&amp;$Q$2&amp;"'!N"&amp;ROW())),"")</f>
        <v>282</v>
      </c>
      <c r="P3" s="2"/>
      <c r="Q3" s="8" t="s">
        <v>38</v>
      </c>
      <c r="R3" s="2"/>
      <c r="S3" s="18">
        <f t="shared" ref="S3:S34" ca="1" si="9">IFERROR(IF(ISBLANK(INDIRECT("'"&amp;$Q$2&amp;"'!G"&amp;ROW())),"",INDIRECT("'"&amp;$Q$2&amp;"'!G"&amp;ROW())),"")</f>
        <v>0.40773050012392115</v>
      </c>
      <c r="T3" s="20">
        <f t="shared" ref="T3:T34" ca="1" si="10">IF(OR($G3="",$S3=""),"",$G3-$S3)</f>
        <v>2.2942806244226324</v>
      </c>
      <c r="U3" s="18">
        <f t="shared" ref="U3:U34" ca="1" si="11">IFERROR(IF(ISBLANK(INDIRECT("'"&amp;$Q$2&amp;"'!K"&amp;ROW())),"",INDIRECT("'"&amp;$Q$2&amp;"'!K"&amp;ROW())),"")</f>
        <v>0.32809295967190705</v>
      </c>
      <c r="V3" s="20">
        <f t="shared" ref="V3:V34" ca="1" si="12">IF(OR($K3="",$U3=""),"",$K3-$U3)</f>
        <v>0.97453184732757814</v>
      </c>
      <c r="W3" s="21">
        <f t="shared" ref="W3:W34" ca="1" si="13">IFERROR(IF(ISBLANK(INDIRECT("'"&amp;$Q$2&amp;"'!O"&amp;ROW())),"",INDIRECT("'"&amp;$Q$2&amp;"'!O"&amp;ROW())),"")</f>
        <v>1085</v>
      </c>
      <c r="X3" s="21">
        <f t="shared" ref="X3:X29" ca="1" si="14">IF(OR($O3="",$W3=""),"",$O3-$W3)</f>
        <v>-803</v>
      </c>
      <c r="Y3" s="2"/>
      <c r="Z3" s="2"/>
    </row>
    <row r="4" spans="1:26" ht="14.25" customHeight="1" x14ac:dyDescent="0.45">
      <c r="A4" s="12" t="s">
        <v>22</v>
      </c>
      <c r="B4" s="12" t="s">
        <v>39</v>
      </c>
      <c r="C4" s="13">
        <v>129</v>
      </c>
      <c r="D4" s="13">
        <v>126444</v>
      </c>
      <c r="E4" s="13">
        <f t="shared" ca="1" si="0"/>
        <v>216205</v>
      </c>
      <c r="F4" s="15">
        <f t="shared" ca="1" si="1"/>
        <v>-89761</v>
      </c>
      <c r="G4" s="16">
        <f t="shared" ca="1" si="2"/>
        <v>-0.41516616174464049</v>
      </c>
      <c r="H4" s="13">
        <v>528</v>
      </c>
      <c r="I4" s="13">
        <f t="shared" ca="1" si="3"/>
        <v>695</v>
      </c>
      <c r="J4" s="15">
        <f t="shared" ca="1" si="4"/>
        <v>-167</v>
      </c>
      <c r="K4" s="16">
        <f t="shared" ca="1" si="5"/>
        <v>-0.24028776978417266</v>
      </c>
      <c r="L4" s="13">
        <f t="shared" si="6"/>
        <v>980.18604651162786</v>
      </c>
      <c r="M4" s="13">
        <f t="shared" si="7"/>
        <v>4.1757616019739965</v>
      </c>
      <c r="N4" s="13">
        <v>26260</v>
      </c>
      <c r="O4" s="15">
        <f t="shared" ca="1" si="8"/>
        <v>11</v>
      </c>
      <c r="P4" s="2"/>
      <c r="Q4" s="22" t="s">
        <v>40</v>
      </c>
      <c r="R4" s="2"/>
      <c r="S4" s="18">
        <f t="shared" ca="1" si="9"/>
        <v>0.64780348759221995</v>
      </c>
      <c r="T4" s="20">
        <f t="shared" ca="1" si="10"/>
        <v>-1.0629696493368606</v>
      </c>
      <c r="U4" s="18">
        <f t="shared" ca="1" si="11"/>
        <v>0.21929824561403508</v>
      </c>
      <c r="V4" s="20">
        <f t="shared" ca="1" si="12"/>
        <v>-0.45958601539820776</v>
      </c>
      <c r="W4" s="21">
        <f t="shared" ca="1" si="13"/>
        <v>25</v>
      </c>
      <c r="X4" s="21">
        <f t="shared" ca="1" si="14"/>
        <v>-14</v>
      </c>
      <c r="Y4" s="2"/>
      <c r="Z4" s="2"/>
    </row>
    <row r="5" spans="1:26" ht="14.25" customHeight="1" x14ac:dyDescent="0.45">
      <c r="A5" s="12" t="s">
        <v>22</v>
      </c>
      <c r="B5" s="12" t="s">
        <v>41</v>
      </c>
      <c r="C5" s="13">
        <v>243</v>
      </c>
      <c r="D5" s="13">
        <v>3977</v>
      </c>
      <c r="E5" s="13">
        <f t="shared" ca="1" si="0"/>
        <v>4223</v>
      </c>
      <c r="F5" s="15">
        <f t="shared" ca="1" si="1"/>
        <v>-246</v>
      </c>
      <c r="G5" s="16">
        <f t="shared" ca="1" si="2"/>
        <v>-5.8252427184466021E-2</v>
      </c>
      <c r="H5" s="13">
        <v>12</v>
      </c>
      <c r="I5" s="13">
        <f t="shared" ca="1" si="3"/>
        <v>10</v>
      </c>
      <c r="J5" s="15">
        <f t="shared" ca="1" si="4"/>
        <v>2</v>
      </c>
      <c r="K5" s="16">
        <f t="shared" ca="1" si="5"/>
        <v>0.2</v>
      </c>
      <c r="L5" s="13">
        <f t="shared" si="6"/>
        <v>16.366255144032923</v>
      </c>
      <c r="M5" s="13">
        <f t="shared" si="7"/>
        <v>3.0173497611264772</v>
      </c>
      <c r="N5" s="13">
        <v>3500</v>
      </c>
      <c r="O5" s="15">
        <f t="shared" ca="1" si="8"/>
        <v>-1</v>
      </c>
      <c r="P5" s="2"/>
      <c r="Q5" s="2"/>
      <c r="R5" s="2"/>
      <c r="S5" s="18">
        <f t="shared" ca="1" si="9"/>
        <v>-0.30656814449917896</v>
      </c>
      <c r="T5" s="20">
        <f t="shared" ca="1" si="10"/>
        <v>0.24831571731471294</v>
      </c>
      <c r="U5" s="18">
        <f t="shared" ca="1" si="11"/>
        <v>-0.2857142857142857</v>
      </c>
      <c r="V5" s="20">
        <f t="shared" ca="1" si="12"/>
        <v>0.48571428571428571</v>
      </c>
      <c r="W5" s="21">
        <f t="shared" ca="1" si="13"/>
        <v>-2</v>
      </c>
      <c r="X5" s="21">
        <f t="shared" ca="1" si="14"/>
        <v>1</v>
      </c>
      <c r="Y5" s="2"/>
      <c r="Z5" s="2"/>
    </row>
    <row r="6" spans="1:26" ht="14.25" customHeight="1" x14ac:dyDescent="0.45">
      <c r="A6" s="12" t="s">
        <v>22</v>
      </c>
      <c r="B6" s="12" t="s">
        <v>42</v>
      </c>
      <c r="C6" s="13">
        <v>87</v>
      </c>
      <c r="D6" s="13">
        <v>63285</v>
      </c>
      <c r="E6" s="13">
        <f t="shared" ca="1" si="0"/>
        <v>52347</v>
      </c>
      <c r="F6" s="15">
        <f t="shared" ca="1" si="1"/>
        <v>10938</v>
      </c>
      <c r="G6" s="16">
        <f t="shared" ca="1" si="2"/>
        <v>0.20895180239555275</v>
      </c>
      <c r="H6" s="13">
        <v>343</v>
      </c>
      <c r="I6" s="13">
        <f t="shared" ca="1" si="3"/>
        <v>291</v>
      </c>
      <c r="J6" s="15">
        <f t="shared" ca="1" si="4"/>
        <v>52</v>
      </c>
      <c r="K6" s="16">
        <f t="shared" ca="1" si="5"/>
        <v>0.17869415807560138</v>
      </c>
      <c r="L6" s="13">
        <f t="shared" si="6"/>
        <v>727.41379310344826</v>
      </c>
      <c r="M6" s="13">
        <f t="shared" si="7"/>
        <v>5.4199257327960817</v>
      </c>
      <c r="N6" s="13">
        <v>22932</v>
      </c>
      <c r="O6" s="15">
        <f t="shared" ca="1" si="8"/>
        <v>1</v>
      </c>
      <c r="P6" s="2"/>
      <c r="Q6" s="2"/>
      <c r="R6" s="2"/>
      <c r="S6" s="18">
        <f t="shared" ca="1" si="9"/>
        <v>-7.2453752923665751E-2</v>
      </c>
      <c r="T6" s="20">
        <f t="shared" ca="1" si="10"/>
        <v>0.28140555531921851</v>
      </c>
      <c r="U6" s="18">
        <f t="shared" ca="1" si="11"/>
        <v>8.1784386617100371E-2</v>
      </c>
      <c r="V6" s="20">
        <f t="shared" ca="1" si="12"/>
        <v>9.6909771458501007E-2</v>
      </c>
      <c r="W6" s="21">
        <f t="shared" ca="1" si="13"/>
        <v>-4</v>
      </c>
      <c r="X6" s="21">
        <f t="shared" ca="1" si="14"/>
        <v>5</v>
      </c>
      <c r="Y6" s="2"/>
      <c r="Z6" s="2"/>
    </row>
    <row r="7" spans="1:26" ht="14.25" customHeight="1" x14ac:dyDescent="0.45">
      <c r="A7" s="12" t="s">
        <v>22</v>
      </c>
      <c r="B7" s="12" t="s">
        <v>43</v>
      </c>
      <c r="C7" s="13">
        <v>98</v>
      </c>
      <c r="D7" s="13">
        <v>78870</v>
      </c>
      <c r="E7" s="13">
        <f t="shared" ca="1" si="0"/>
        <v>108141</v>
      </c>
      <c r="F7" s="15">
        <f t="shared" ca="1" si="1"/>
        <v>-29271</v>
      </c>
      <c r="G7" s="16">
        <f t="shared" ca="1" si="2"/>
        <v>-0.27067439731461701</v>
      </c>
      <c r="H7" s="13">
        <v>796</v>
      </c>
      <c r="I7" s="13">
        <f t="shared" ca="1" si="3"/>
        <v>1025</v>
      </c>
      <c r="J7" s="15">
        <f t="shared" ca="1" si="4"/>
        <v>-229</v>
      </c>
      <c r="K7" s="16">
        <f t="shared" ca="1" si="5"/>
        <v>-0.22341463414634147</v>
      </c>
      <c r="L7" s="13">
        <f t="shared" si="6"/>
        <v>804.79591836734699</v>
      </c>
      <c r="M7" s="13">
        <f t="shared" si="7"/>
        <v>10.092557372892101</v>
      </c>
      <c r="N7" s="13">
        <v>24868</v>
      </c>
      <c r="O7" s="15">
        <f t="shared" ca="1" si="8"/>
        <v>36</v>
      </c>
      <c r="P7" s="2"/>
      <c r="Q7" s="2"/>
      <c r="R7" s="2"/>
      <c r="S7" s="18">
        <f t="shared" ca="1" si="9"/>
        <v>2.7751114321285675E-2</v>
      </c>
      <c r="T7" s="20">
        <f t="shared" ca="1" si="10"/>
        <v>-0.2984255116359027</v>
      </c>
      <c r="U7" s="18">
        <f t="shared" ca="1" si="11"/>
        <v>-0.1598360655737705</v>
      </c>
      <c r="V7" s="20">
        <f t="shared" ca="1" si="12"/>
        <v>-6.3578568572570965E-2</v>
      </c>
      <c r="W7" s="21">
        <f t="shared" ca="1" si="13"/>
        <v>317</v>
      </c>
      <c r="X7" s="21">
        <f t="shared" ca="1" si="14"/>
        <v>-281</v>
      </c>
      <c r="Y7" s="2"/>
      <c r="Z7" s="2"/>
    </row>
    <row r="8" spans="1:26" ht="14.25" customHeight="1" x14ac:dyDescent="0.45">
      <c r="A8" s="12" t="s">
        <v>22</v>
      </c>
      <c r="B8" s="12" t="s">
        <v>44</v>
      </c>
      <c r="C8" s="13">
        <v>87</v>
      </c>
      <c r="D8" s="13">
        <v>296983</v>
      </c>
      <c r="E8" s="13">
        <f t="shared" ca="1" si="0"/>
        <v>347976</v>
      </c>
      <c r="F8" s="15">
        <f t="shared" ca="1" si="1"/>
        <v>-50993</v>
      </c>
      <c r="G8" s="16">
        <f t="shared" ca="1" si="2"/>
        <v>-0.14654171552061063</v>
      </c>
      <c r="H8" s="13">
        <v>3566</v>
      </c>
      <c r="I8" s="13">
        <f t="shared" ca="1" si="3"/>
        <v>3740</v>
      </c>
      <c r="J8" s="15">
        <f t="shared" ca="1" si="4"/>
        <v>-174</v>
      </c>
      <c r="K8" s="16">
        <f t="shared" ca="1" si="5"/>
        <v>-4.6524064171122995E-2</v>
      </c>
      <c r="L8" s="13">
        <f t="shared" si="6"/>
        <v>3413.5977011494251</v>
      </c>
      <c r="M8" s="13">
        <f t="shared" si="7"/>
        <v>12.007421300209103</v>
      </c>
      <c r="N8" s="13">
        <v>21744</v>
      </c>
      <c r="O8" s="15">
        <f t="shared" ca="1" si="8"/>
        <v>29</v>
      </c>
      <c r="P8" s="2"/>
      <c r="Q8" s="2"/>
      <c r="R8" s="2"/>
      <c r="S8" s="18">
        <f t="shared" ca="1" si="9"/>
        <v>0.27833657837698833</v>
      </c>
      <c r="T8" s="20">
        <f t="shared" ca="1" si="10"/>
        <v>-0.42487829389759896</v>
      </c>
      <c r="U8" s="18">
        <f t="shared" ca="1" si="11"/>
        <v>-0.13864578535237218</v>
      </c>
      <c r="V8" s="20">
        <f t="shared" ca="1" si="12"/>
        <v>9.2121721181249186E-2</v>
      </c>
      <c r="W8" s="21">
        <f t="shared" ca="1" si="13"/>
        <v>218</v>
      </c>
      <c r="X8" s="21">
        <f t="shared" ca="1" si="14"/>
        <v>-189</v>
      </c>
      <c r="Y8" s="2"/>
      <c r="Z8" s="2"/>
    </row>
    <row r="9" spans="1:26" ht="14.25" customHeight="1" x14ac:dyDescent="0.45">
      <c r="A9" s="12" t="s">
        <v>22</v>
      </c>
      <c r="B9" s="12" t="s">
        <v>45</v>
      </c>
      <c r="C9" s="13">
        <v>96</v>
      </c>
      <c r="D9" s="13">
        <v>322545</v>
      </c>
      <c r="E9" s="13">
        <f t="shared" ca="1" si="0"/>
        <v>424827</v>
      </c>
      <c r="F9" s="15">
        <f t="shared" ca="1" si="1"/>
        <v>-102282</v>
      </c>
      <c r="G9" s="16">
        <f t="shared" ca="1" si="2"/>
        <v>-0.24076153351834984</v>
      </c>
      <c r="H9" s="13">
        <v>4156</v>
      </c>
      <c r="I9" s="13">
        <f t="shared" ca="1" si="3"/>
        <v>4187</v>
      </c>
      <c r="J9" s="15">
        <f t="shared" ca="1" si="4"/>
        <v>-31</v>
      </c>
      <c r="K9" s="16">
        <f t="shared" ca="1" si="5"/>
        <v>-7.4038691187007406E-3</v>
      </c>
      <c r="L9" s="13">
        <f t="shared" si="6"/>
        <v>3359.84375</v>
      </c>
      <c r="M9" s="13">
        <f t="shared" si="7"/>
        <v>12.885023795129362</v>
      </c>
      <c r="N9" s="13">
        <v>31330</v>
      </c>
      <c r="O9" s="15">
        <f t="shared" ca="1" si="8"/>
        <v>29</v>
      </c>
      <c r="P9" s="2"/>
      <c r="Q9" s="2"/>
      <c r="R9" s="2"/>
      <c r="S9" s="18">
        <f t="shared" ca="1" si="9"/>
        <v>0.33025319547341853</v>
      </c>
      <c r="T9" s="20">
        <f t="shared" ca="1" si="10"/>
        <v>-0.57101472899176842</v>
      </c>
      <c r="U9" s="18">
        <f t="shared" ca="1" si="11"/>
        <v>3.7670384138785623E-2</v>
      </c>
      <c r="V9" s="20">
        <f t="shared" ca="1" si="12"/>
        <v>-4.507425325748636E-2</v>
      </c>
      <c r="W9" s="21">
        <f t="shared" ca="1" si="13"/>
        <v>271</v>
      </c>
      <c r="X9" s="21">
        <f t="shared" ca="1" si="14"/>
        <v>-242</v>
      </c>
      <c r="Y9" s="2"/>
      <c r="Z9" s="2"/>
    </row>
    <row r="10" spans="1:26" ht="14.25" customHeight="1" x14ac:dyDescent="0.45">
      <c r="A10" s="12" t="s">
        <v>22</v>
      </c>
      <c r="B10" s="12" t="s">
        <v>46</v>
      </c>
      <c r="C10" s="13">
        <v>135</v>
      </c>
      <c r="D10" s="13">
        <v>167913</v>
      </c>
      <c r="E10" s="13">
        <f t="shared" ca="1" si="0"/>
        <v>202830</v>
      </c>
      <c r="F10" s="15">
        <f t="shared" ca="1" si="1"/>
        <v>-34917</v>
      </c>
      <c r="G10" s="16">
        <f t="shared" ca="1" si="2"/>
        <v>-0.17214909037124684</v>
      </c>
      <c r="H10" s="13">
        <v>1192</v>
      </c>
      <c r="I10" s="13">
        <f t="shared" ca="1" si="3"/>
        <v>1305</v>
      </c>
      <c r="J10" s="15">
        <f t="shared" ca="1" si="4"/>
        <v>-113</v>
      </c>
      <c r="K10" s="16">
        <f t="shared" ca="1" si="5"/>
        <v>-8.6590038314176249E-2</v>
      </c>
      <c r="L10" s="13">
        <f t="shared" si="6"/>
        <v>1243.8</v>
      </c>
      <c r="M10" s="13">
        <f t="shared" si="7"/>
        <v>7.0989143187245771</v>
      </c>
      <c r="N10" s="13">
        <v>21586</v>
      </c>
      <c r="O10" s="15">
        <f t="shared" ca="1" si="8"/>
        <v>12</v>
      </c>
      <c r="P10" s="2"/>
      <c r="Q10" s="2"/>
      <c r="R10" s="2"/>
      <c r="S10" s="18">
        <f t="shared" ca="1" si="9"/>
        <v>2.5694188086918264E-2</v>
      </c>
      <c r="T10" s="20">
        <f t="shared" ca="1" si="10"/>
        <v>-0.1978432784581651</v>
      </c>
      <c r="U10" s="18">
        <f t="shared" ca="1" si="11"/>
        <v>-0.14538310412573674</v>
      </c>
      <c r="V10" s="20">
        <f t="shared" ca="1" si="12"/>
        <v>5.8793065811560491E-2</v>
      </c>
      <c r="W10" s="21">
        <f t="shared" ca="1" si="13"/>
        <v>199</v>
      </c>
      <c r="X10" s="21">
        <f t="shared" ca="1" si="14"/>
        <v>-187</v>
      </c>
      <c r="Y10" s="2"/>
      <c r="Z10" s="2"/>
    </row>
    <row r="11" spans="1:26" ht="14.25" customHeight="1" x14ac:dyDescent="0.45">
      <c r="A11" s="12" t="s">
        <v>22</v>
      </c>
      <c r="B11" s="12" t="s">
        <v>47</v>
      </c>
      <c r="C11" s="13">
        <v>106</v>
      </c>
      <c r="D11" s="13">
        <v>407601</v>
      </c>
      <c r="E11" s="13">
        <f t="shared" ca="1" si="0"/>
        <v>572378</v>
      </c>
      <c r="F11" s="15">
        <f t="shared" ca="1" si="1"/>
        <v>-164777</v>
      </c>
      <c r="G11" s="16">
        <f t="shared" ca="1" si="2"/>
        <v>-0.28788143499575458</v>
      </c>
      <c r="H11" s="13">
        <v>3694</v>
      </c>
      <c r="I11" s="13">
        <f t="shared" ca="1" si="3"/>
        <v>4467</v>
      </c>
      <c r="J11" s="15">
        <f t="shared" ca="1" si="4"/>
        <v>-773</v>
      </c>
      <c r="K11" s="16">
        <f t="shared" ca="1" si="5"/>
        <v>-0.17304678755316769</v>
      </c>
      <c r="L11" s="13">
        <f t="shared" si="6"/>
        <v>3845.2924528301887</v>
      </c>
      <c r="M11" s="13">
        <f t="shared" si="7"/>
        <v>9.0627844387035363</v>
      </c>
      <c r="N11" s="13">
        <v>20797</v>
      </c>
      <c r="O11" s="15">
        <f t="shared" ca="1" si="8"/>
        <v>23</v>
      </c>
      <c r="P11" s="2"/>
      <c r="Q11" s="2"/>
      <c r="R11" s="2"/>
      <c r="S11" s="18">
        <f t="shared" ca="1" si="9"/>
        <v>0.49110357368012464</v>
      </c>
      <c r="T11" s="20">
        <f t="shared" ca="1" si="10"/>
        <v>-0.77898500867587916</v>
      </c>
      <c r="U11" s="18">
        <f t="shared" ca="1" si="11"/>
        <v>0.27847738981110476</v>
      </c>
      <c r="V11" s="20">
        <f t="shared" ca="1" si="12"/>
        <v>-0.45152417736427242</v>
      </c>
      <c r="W11" s="21">
        <f t="shared" ca="1" si="13"/>
        <v>138</v>
      </c>
      <c r="X11" s="21">
        <f t="shared" ca="1" si="14"/>
        <v>-115</v>
      </c>
      <c r="Y11" s="2"/>
      <c r="Z11" s="2"/>
    </row>
    <row r="12" spans="1:26" ht="14.25" customHeight="1" x14ac:dyDescent="0.45">
      <c r="A12" s="12" t="s">
        <v>22</v>
      </c>
      <c r="B12" s="12" t="s">
        <v>48</v>
      </c>
      <c r="C12" s="13">
        <v>66</v>
      </c>
      <c r="D12" s="13">
        <v>111561</v>
      </c>
      <c r="E12" s="13">
        <f t="shared" ca="1" si="0"/>
        <v>151998</v>
      </c>
      <c r="F12" s="15">
        <f t="shared" ca="1" si="1"/>
        <v>-40437</v>
      </c>
      <c r="G12" s="16">
        <f t="shared" ca="1" si="2"/>
        <v>-0.26603639521572653</v>
      </c>
      <c r="H12" s="13">
        <v>1930</v>
      </c>
      <c r="I12" s="13">
        <f t="shared" ca="1" si="3"/>
        <v>2359</v>
      </c>
      <c r="J12" s="15">
        <f t="shared" ca="1" si="4"/>
        <v>-429</v>
      </c>
      <c r="K12" s="16">
        <f t="shared" ca="1" si="5"/>
        <v>-0.18185671894870709</v>
      </c>
      <c r="L12" s="13">
        <f t="shared" si="6"/>
        <v>1690.3181818181818</v>
      </c>
      <c r="M12" s="13">
        <f t="shared" si="7"/>
        <v>17.29995249235844</v>
      </c>
      <c r="N12" s="13">
        <v>15498</v>
      </c>
      <c r="O12" s="15">
        <f t="shared" ca="1" si="8"/>
        <v>44</v>
      </c>
      <c r="P12" s="2"/>
      <c r="Q12" s="2"/>
      <c r="R12" s="2"/>
      <c r="S12" s="18">
        <f t="shared" ca="1" si="9"/>
        <v>6.9827220691117235E-3</v>
      </c>
      <c r="T12" s="20">
        <f t="shared" ca="1" si="10"/>
        <v>-0.27301911728483824</v>
      </c>
      <c r="U12" s="18">
        <f t="shared" ca="1" si="11"/>
        <v>-0.13462949376375641</v>
      </c>
      <c r="V12" s="20">
        <f t="shared" ca="1" si="12"/>
        <v>-4.7227225184950677E-2</v>
      </c>
      <c r="W12" s="21">
        <f t="shared" ca="1" si="13"/>
        <v>76</v>
      </c>
      <c r="X12" s="21">
        <f t="shared" ca="1" si="14"/>
        <v>-32</v>
      </c>
      <c r="Y12" s="2"/>
      <c r="Z12" s="2"/>
    </row>
    <row r="13" spans="1:26" ht="14.25" customHeight="1" x14ac:dyDescent="0.45">
      <c r="A13" s="12" t="s">
        <v>22</v>
      </c>
      <c r="B13" s="12" t="s">
        <v>49</v>
      </c>
      <c r="C13" s="13">
        <v>49</v>
      </c>
      <c r="D13" s="13">
        <v>33284</v>
      </c>
      <c r="E13" s="13">
        <f t="shared" ca="1" si="0"/>
        <v>48629</v>
      </c>
      <c r="F13" s="15">
        <f t="shared" ca="1" si="1"/>
        <v>-15345</v>
      </c>
      <c r="G13" s="16">
        <f t="shared" ca="1" si="2"/>
        <v>-0.31555244812766042</v>
      </c>
      <c r="H13" s="13">
        <v>353</v>
      </c>
      <c r="I13" s="13">
        <f t="shared" ca="1" si="3"/>
        <v>706</v>
      </c>
      <c r="J13" s="15">
        <f t="shared" ca="1" si="4"/>
        <v>-353</v>
      </c>
      <c r="K13" s="16">
        <f t="shared" ca="1" si="5"/>
        <v>-0.5</v>
      </c>
      <c r="L13" s="13">
        <f t="shared" si="6"/>
        <v>679.26530612244903</v>
      </c>
      <c r="M13" s="13">
        <f t="shared" si="7"/>
        <v>10.605696430717462</v>
      </c>
      <c r="N13" s="13">
        <v>16443</v>
      </c>
      <c r="O13" s="15">
        <f t="shared" ca="1" si="8"/>
        <v>-4</v>
      </c>
      <c r="P13" s="2"/>
      <c r="Q13" s="2"/>
      <c r="R13" s="2"/>
      <c r="S13" s="18">
        <f t="shared" ca="1" si="9"/>
        <v>0.66754680748919826</v>
      </c>
      <c r="T13" s="20">
        <f t="shared" ca="1" si="10"/>
        <v>-0.98309925561685874</v>
      </c>
      <c r="U13" s="18">
        <f t="shared" ca="1" si="11"/>
        <v>0.44969199178644764</v>
      </c>
      <c r="V13" s="20">
        <f t="shared" ca="1" si="12"/>
        <v>-0.9496919917864477</v>
      </c>
      <c r="W13" s="21">
        <f t="shared" ca="1" si="13"/>
        <v>101</v>
      </c>
      <c r="X13" s="21">
        <f t="shared" ca="1" si="14"/>
        <v>-105</v>
      </c>
      <c r="Y13" s="2"/>
      <c r="Z13" s="2"/>
    </row>
    <row r="14" spans="1:26" ht="14.25" customHeight="1" x14ac:dyDescent="0.45">
      <c r="A14" s="12" t="s">
        <v>22</v>
      </c>
      <c r="B14" s="12" t="s">
        <v>50</v>
      </c>
      <c r="C14" s="13">
        <v>56</v>
      </c>
      <c r="D14" s="13">
        <v>48840</v>
      </c>
      <c r="E14" s="13">
        <f t="shared" ca="1" si="0"/>
        <v>82265</v>
      </c>
      <c r="F14" s="15">
        <f t="shared" ca="1" si="1"/>
        <v>-33425</v>
      </c>
      <c r="G14" s="16">
        <f t="shared" ca="1" si="2"/>
        <v>-0.40630887983954295</v>
      </c>
      <c r="H14" s="13">
        <v>534</v>
      </c>
      <c r="I14" s="13">
        <f t="shared" ca="1" si="3"/>
        <v>787</v>
      </c>
      <c r="J14" s="15">
        <f t="shared" ca="1" si="4"/>
        <v>-253</v>
      </c>
      <c r="K14" s="16">
        <f t="shared" ca="1" si="5"/>
        <v>-0.32147395171537485</v>
      </c>
      <c r="L14" s="13">
        <f t="shared" si="6"/>
        <v>872.14285714285711</v>
      </c>
      <c r="M14" s="13">
        <f t="shared" si="7"/>
        <v>10.933660933660933</v>
      </c>
      <c r="N14" s="13">
        <v>6439</v>
      </c>
      <c r="O14" s="15">
        <f t="shared" ca="1" si="8"/>
        <v>37</v>
      </c>
      <c r="P14" s="2"/>
      <c r="Q14" s="2"/>
      <c r="R14" s="2"/>
      <c r="S14" s="18">
        <f t="shared" ca="1" si="9"/>
        <v>0.56889482216077047</v>
      </c>
      <c r="T14" s="20">
        <f t="shared" ca="1" si="10"/>
        <v>-0.97520370200031348</v>
      </c>
      <c r="U14" s="18">
        <f t="shared" ca="1" si="11"/>
        <v>0.64989517819706499</v>
      </c>
      <c r="V14" s="20">
        <f t="shared" ca="1" si="12"/>
        <v>-0.97136912991243984</v>
      </c>
      <c r="W14" s="21">
        <f t="shared" ca="1" si="13"/>
        <v>74</v>
      </c>
      <c r="X14" s="21">
        <f t="shared" ca="1" si="14"/>
        <v>-37</v>
      </c>
      <c r="Y14" s="2"/>
      <c r="Z14" s="2"/>
    </row>
    <row r="15" spans="1:26" ht="14.25" customHeight="1" x14ac:dyDescent="0.45">
      <c r="A15" s="12" t="s">
        <v>22</v>
      </c>
      <c r="B15" s="12" t="s">
        <v>51</v>
      </c>
      <c r="C15" s="13">
        <v>29</v>
      </c>
      <c r="D15" s="13">
        <v>30735</v>
      </c>
      <c r="E15" s="13">
        <f t="shared" ca="1" si="0"/>
        <v>43212</v>
      </c>
      <c r="F15" s="15">
        <f t="shared" ca="1" si="1"/>
        <v>-12477</v>
      </c>
      <c r="G15" s="16">
        <f t="shared" ca="1" si="2"/>
        <v>-0.28873923910024996</v>
      </c>
      <c r="H15" s="13">
        <v>302</v>
      </c>
      <c r="I15" s="13">
        <f t="shared" ca="1" si="3"/>
        <v>348</v>
      </c>
      <c r="J15" s="15">
        <f t="shared" ca="1" si="4"/>
        <v>-46</v>
      </c>
      <c r="K15" s="16">
        <f t="shared" ca="1" si="5"/>
        <v>-0.13218390804597702</v>
      </c>
      <c r="L15" s="13">
        <f t="shared" si="6"/>
        <v>1059.8275862068965</v>
      </c>
      <c r="M15" s="13">
        <f t="shared" si="7"/>
        <v>9.8259313486253443</v>
      </c>
      <c r="N15" s="13">
        <v>3687</v>
      </c>
      <c r="O15" s="15">
        <f t="shared" ca="1" si="8"/>
        <v>8</v>
      </c>
      <c r="P15" s="2"/>
      <c r="Q15" s="2"/>
      <c r="R15" s="2"/>
      <c r="S15" s="18">
        <f t="shared" ca="1" si="9"/>
        <v>0.37648520370783295</v>
      </c>
      <c r="T15" s="20">
        <f t="shared" ca="1" si="10"/>
        <v>-0.66522444280808291</v>
      </c>
      <c r="U15" s="18">
        <f t="shared" ca="1" si="11"/>
        <v>-0.35911602209944754</v>
      </c>
      <c r="V15" s="20">
        <f t="shared" ca="1" si="12"/>
        <v>0.22693211405347052</v>
      </c>
      <c r="W15" s="21">
        <f t="shared" ca="1" si="13"/>
        <v>24</v>
      </c>
      <c r="X15" s="21">
        <f t="shared" ca="1" si="14"/>
        <v>-16</v>
      </c>
      <c r="Y15" s="2"/>
      <c r="Z15" s="2"/>
    </row>
    <row r="16" spans="1:26" ht="14.25" customHeight="1" x14ac:dyDescent="0.45">
      <c r="A16" s="12" t="s">
        <v>22</v>
      </c>
      <c r="B16" s="12" t="s">
        <v>52</v>
      </c>
      <c r="C16" s="13">
        <v>50</v>
      </c>
      <c r="D16" s="13">
        <v>99250</v>
      </c>
      <c r="E16" s="13">
        <f t="shared" ca="1" si="0"/>
        <v>158474</v>
      </c>
      <c r="F16" s="15">
        <f t="shared" ca="1" si="1"/>
        <v>-59224</v>
      </c>
      <c r="G16" s="16">
        <f t="shared" ca="1" si="2"/>
        <v>-0.37371430013756202</v>
      </c>
      <c r="H16" s="13">
        <v>1001</v>
      </c>
      <c r="I16" s="13">
        <f t="shared" ca="1" si="3"/>
        <v>1498</v>
      </c>
      <c r="J16" s="15">
        <f t="shared" ca="1" si="4"/>
        <v>-497</v>
      </c>
      <c r="K16" s="16">
        <f t="shared" ca="1" si="5"/>
        <v>-0.33177570093457942</v>
      </c>
      <c r="L16" s="13">
        <f t="shared" si="6"/>
        <v>1985</v>
      </c>
      <c r="M16" s="13">
        <f t="shared" si="7"/>
        <v>10.085642317380353</v>
      </c>
      <c r="N16" s="13">
        <v>12813</v>
      </c>
      <c r="O16" s="15">
        <f t="shared" ca="1" si="8"/>
        <v>80</v>
      </c>
      <c r="P16" s="2"/>
      <c r="Q16" s="2"/>
      <c r="R16" s="2"/>
      <c r="S16" s="18">
        <f t="shared" ca="1" si="9"/>
        <v>0.16253172728473128</v>
      </c>
      <c r="T16" s="20">
        <f t="shared" ca="1" si="10"/>
        <v>-0.53624602742229333</v>
      </c>
      <c r="U16" s="18">
        <f t="shared" ca="1" si="11"/>
        <v>-0.23571428571428571</v>
      </c>
      <c r="V16" s="20">
        <f t="shared" ca="1" si="12"/>
        <v>-9.6061415220293711E-2</v>
      </c>
      <c r="W16" s="21">
        <f t="shared" ca="1" si="13"/>
        <v>268</v>
      </c>
      <c r="X16" s="21">
        <f t="shared" ca="1" si="14"/>
        <v>-188</v>
      </c>
      <c r="Y16" s="2"/>
      <c r="Z16" s="2"/>
    </row>
    <row r="17" spans="1:26" ht="14.25" customHeight="1" x14ac:dyDescent="0.45">
      <c r="A17" s="12" t="s">
        <v>22</v>
      </c>
      <c r="B17" s="12" t="s">
        <v>53</v>
      </c>
      <c r="C17" s="13">
        <v>58</v>
      </c>
      <c r="D17" s="13">
        <v>156420</v>
      </c>
      <c r="E17" s="13">
        <f t="shared" ca="1" si="0"/>
        <v>205869</v>
      </c>
      <c r="F17" s="15">
        <f t="shared" ca="1" si="1"/>
        <v>-49449</v>
      </c>
      <c r="G17" s="16">
        <f t="shared" ca="1" si="2"/>
        <v>-0.24019643559739445</v>
      </c>
      <c r="H17" s="13">
        <v>1581</v>
      </c>
      <c r="I17" s="13">
        <f t="shared" ca="1" si="3"/>
        <v>2433</v>
      </c>
      <c r="J17" s="15">
        <f t="shared" ca="1" si="4"/>
        <v>-852</v>
      </c>
      <c r="K17" s="16">
        <f t="shared" ca="1" si="5"/>
        <v>-0.35018495684340323</v>
      </c>
      <c r="L17" s="13">
        <f t="shared" si="6"/>
        <v>2696.8965517241381</v>
      </c>
      <c r="M17" s="13">
        <f t="shared" si="7"/>
        <v>10.107403145377829</v>
      </c>
      <c r="N17" s="13">
        <v>7822</v>
      </c>
      <c r="O17" s="15">
        <f t="shared" ca="1" si="8"/>
        <v>8</v>
      </c>
      <c r="P17" s="2"/>
      <c r="Q17" s="2"/>
      <c r="R17" s="2"/>
      <c r="S17" s="18">
        <f t="shared" ca="1" si="9"/>
        <v>-0.15434413805285016</v>
      </c>
      <c r="T17" s="20">
        <f t="shared" ca="1" si="10"/>
        <v>-8.5852297544544293E-2</v>
      </c>
      <c r="U17" s="18">
        <f t="shared" ca="1" si="11"/>
        <v>-0.27932464454976302</v>
      </c>
      <c r="V17" s="20">
        <f t="shared" ca="1" si="12"/>
        <v>-7.0860312293640204E-2</v>
      </c>
      <c r="W17" s="21">
        <f t="shared" ca="1" si="13"/>
        <v>35</v>
      </c>
      <c r="X17" s="21">
        <f t="shared" ca="1" si="14"/>
        <v>-27</v>
      </c>
      <c r="Y17" s="2"/>
      <c r="Z17" s="2"/>
    </row>
    <row r="18" spans="1:26" ht="14.25" customHeight="1" x14ac:dyDescent="0.45">
      <c r="A18" s="12" t="s">
        <v>22</v>
      </c>
      <c r="B18" s="12" t="s">
        <v>54</v>
      </c>
      <c r="C18" s="13">
        <v>62</v>
      </c>
      <c r="D18" s="13">
        <v>146062</v>
      </c>
      <c r="E18" s="13">
        <f t="shared" ca="1" si="0"/>
        <v>196933</v>
      </c>
      <c r="F18" s="15">
        <f t="shared" ca="1" si="1"/>
        <v>-50871</v>
      </c>
      <c r="G18" s="16">
        <f t="shared" ca="1" si="2"/>
        <v>-0.25831628015619523</v>
      </c>
      <c r="H18" s="13">
        <v>1294</v>
      </c>
      <c r="I18" s="13">
        <f t="shared" ca="1" si="3"/>
        <v>2149</v>
      </c>
      <c r="J18" s="15">
        <f t="shared" ca="1" si="4"/>
        <v>-855</v>
      </c>
      <c r="K18" s="16">
        <f t="shared" ca="1" si="5"/>
        <v>-0.39785946952070733</v>
      </c>
      <c r="L18" s="13">
        <f t="shared" si="6"/>
        <v>2355.8387096774195</v>
      </c>
      <c r="M18" s="13">
        <f t="shared" si="7"/>
        <v>8.8592515507113418</v>
      </c>
      <c r="N18" s="13">
        <v>18228</v>
      </c>
      <c r="O18" s="15">
        <f t="shared" ca="1" si="8"/>
        <v>11</v>
      </c>
      <c r="P18" s="2"/>
      <c r="Q18" s="2"/>
      <c r="R18" s="2"/>
      <c r="S18" s="18">
        <f t="shared" ca="1" si="9"/>
        <v>0.50261712192888752</v>
      </c>
      <c r="T18" s="20">
        <f t="shared" ca="1" si="10"/>
        <v>-0.76093340208508276</v>
      </c>
      <c r="U18" s="18">
        <f t="shared" ca="1" si="11"/>
        <v>0.41474654377880182</v>
      </c>
      <c r="V18" s="20">
        <f t="shared" ca="1" si="12"/>
        <v>-0.81260601329950921</v>
      </c>
      <c r="W18" s="21">
        <f t="shared" ca="1" si="13"/>
        <v>52</v>
      </c>
      <c r="X18" s="21">
        <f t="shared" ca="1" si="14"/>
        <v>-41</v>
      </c>
      <c r="Y18" s="2"/>
      <c r="Z18" s="2"/>
    </row>
    <row r="19" spans="1:26" ht="14.25" customHeight="1" x14ac:dyDescent="0.45">
      <c r="A19" s="12" t="s">
        <v>22</v>
      </c>
      <c r="B19" s="12" t="s">
        <v>55</v>
      </c>
      <c r="C19" s="13">
        <v>78</v>
      </c>
      <c r="D19" s="13">
        <v>117530</v>
      </c>
      <c r="E19" s="13">
        <f t="shared" ca="1" si="0"/>
        <v>172329</v>
      </c>
      <c r="F19" s="15">
        <f t="shared" ca="1" si="1"/>
        <v>-54799</v>
      </c>
      <c r="G19" s="16">
        <f t="shared" ca="1" si="2"/>
        <v>-0.31799058777106581</v>
      </c>
      <c r="H19" s="13">
        <v>1073</v>
      </c>
      <c r="I19" s="13">
        <f t="shared" ca="1" si="3"/>
        <v>2107</v>
      </c>
      <c r="J19" s="15">
        <f t="shared" ca="1" si="4"/>
        <v>-1034</v>
      </c>
      <c r="K19" s="16">
        <f t="shared" ca="1" si="5"/>
        <v>-0.49074513526340768</v>
      </c>
      <c r="L19" s="13">
        <f t="shared" si="6"/>
        <v>1506.7948717948718</v>
      </c>
      <c r="M19" s="13">
        <f t="shared" si="7"/>
        <v>9.1295839360163349</v>
      </c>
      <c r="N19" s="13">
        <v>19029</v>
      </c>
      <c r="O19" s="15">
        <f t="shared" ca="1" si="8"/>
        <v>10</v>
      </c>
      <c r="P19" s="2"/>
      <c r="Q19" s="2"/>
      <c r="R19" s="2"/>
      <c r="S19" s="18">
        <f t="shared" ca="1" si="9"/>
        <v>0.8106540583136328</v>
      </c>
      <c r="T19" s="20">
        <f t="shared" ca="1" si="10"/>
        <v>-1.1286446460846986</v>
      </c>
      <c r="U19" s="18">
        <f t="shared" ca="1" si="11"/>
        <v>1.4614485981308412</v>
      </c>
      <c r="V19" s="20">
        <f t="shared" ca="1" si="12"/>
        <v>-1.9521937333942487</v>
      </c>
      <c r="W19" s="21">
        <f t="shared" ca="1" si="13"/>
        <v>63</v>
      </c>
      <c r="X19" s="21">
        <f t="shared" ca="1" si="14"/>
        <v>-53</v>
      </c>
      <c r="Y19" s="2"/>
      <c r="Z19" s="2"/>
    </row>
    <row r="20" spans="1:26" ht="14.25" customHeight="1" x14ac:dyDescent="0.45">
      <c r="A20" s="12" t="s">
        <v>22</v>
      </c>
      <c r="B20" s="12" t="s">
        <v>56</v>
      </c>
      <c r="C20" s="13">
        <v>22</v>
      </c>
      <c r="D20" s="13">
        <v>54324</v>
      </c>
      <c r="E20" s="13">
        <f t="shared" ca="1" si="0"/>
        <v>12837</v>
      </c>
      <c r="F20" s="15">
        <f t="shared" ca="1" si="1"/>
        <v>41487</v>
      </c>
      <c r="G20" s="16">
        <f t="shared" ca="1" si="2"/>
        <v>3.2318298667913066</v>
      </c>
      <c r="H20" s="13">
        <v>1597</v>
      </c>
      <c r="I20" s="13">
        <f t="shared" ca="1" si="3"/>
        <v>1764</v>
      </c>
      <c r="J20" s="15">
        <f t="shared" ca="1" si="4"/>
        <v>-167</v>
      </c>
      <c r="K20" s="16">
        <f t="shared" ca="1" si="5"/>
        <v>-9.4671201814058956E-2</v>
      </c>
      <c r="L20" s="13">
        <f t="shared" si="6"/>
        <v>2469.2727272727275</v>
      </c>
      <c r="M20" s="13">
        <f t="shared" si="7"/>
        <v>29.397687946395699</v>
      </c>
      <c r="N20" s="13">
        <v>14628</v>
      </c>
      <c r="O20" s="15">
        <f t="shared" ca="1" si="8"/>
        <v>67</v>
      </c>
      <c r="P20" s="2"/>
      <c r="Q20" s="2"/>
      <c r="R20" s="2"/>
      <c r="S20" s="18">
        <f t="shared" ca="1" si="9"/>
        <v>-0.82399879347930405</v>
      </c>
      <c r="T20" s="20">
        <f t="shared" ca="1" si="10"/>
        <v>4.0558286602706106</v>
      </c>
      <c r="U20" s="18">
        <f t="shared" ca="1" si="11"/>
        <v>7.6923076923076927E-2</v>
      </c>
      <c r="V20" s="20">
        <f t="shared" ca="1" si="12"/>
        <v>-0.1715942787371359</v>
      </c>
      <c r="W20" s="21">
        <f t="shared" ca="1" si="13"/>
        <v>55</v>
      </c>
      <c r="X20" s="21">
        <f t="shared" ca="1" si="14"/>
        <v>12</v>
      </c>
      <c r="Y20" s="2"/>
      <c r="Z20" s="2"/>
    </row>
    <row r="21" spans="1:26" ht="14.25" customHeight="1" x14ac:dyDescent="0.45">
      <c r="A21" s="12" t="s">
        <v>22</v>
      </c>
      <c r="B21" s="12" t="s">
        <v>57</v>
      </c>
      <c r="C21" s="13">
        <v>11</v>
      </c>
      <c r="D21" s="13">
        <v>10388</v>
      </c>
      <c r="E21" s="13">
        <f t="shared" ca="1" si="0"/>
        <v>10664</v>
      </c>
      <c r="F21" s="15">
        <f t="shared" ca="1" si="1"/>
        <v>-276</v>
      </c>
      <c r="G21" s="16">
        <f t="shared" ca="1" si="2"/>
        <v>-2.5881470367591898E-2</v>
      </c>
      <c r="H21" s="13">
        <v>300</v>
      </c>
      <c r="I21" s="13">
        <f t="shared" ca="1" si="3"/>
        <v>392</v>
      </c>
      <c r="J21" s="15">
        <f t="shared" ca="1" si="4"/>
        <v>-92</v>
      </c>
      <c r="K21" s="16">
        <f t="shared" ca="1" si="5"/>
        <v>-0.23469387755102042</v>
      </c>
      <c r="L21" s="13">
        <f t="shared" si="6"/>
        <v>944.36363636363637</v>
      </c>
      <c r="M21" s="13">
        <f t="shared" si="7"/>
        <v>28.879476318829418</v>
      </c>
      <c r="N21" s="13">
        <v>10605</v>
      </c>
      <c r="O21" s="15">
        <f t="shared" ca="1" si="8"/>
        <v>4</v>
      </c>
      <c r="P21" s="2"/>
      <c r="Q21" s="2"/>
      <c r="R21" s="2"/>
      <c r="S21" s="18">
        <f t="shared" ca="1" si="9"/>
        <v>0.90530641415043778</v>
      </c>
      <c r="T21" s="20">
        <f t="shared" ca="1" si="10"/>
        <v>-0.9311878845180297</v>
      </c>
      <c r="U21" s="18">
        <f t="shared" ca="1" si="11"/>
        <v>1.2658959537572254</v>
      </c>
      <c r="V21" s="20">
        <f t="shared" ca="1" si="12"/>
        <v>-1.5005898313082457</v>
      </c>
      <c r="W21" s="21">
        <f t="shared" ca="1" si="13"/>
        <v>-1</v>
      </c>
      <c r="X21" s="21">
        <f t="shared" ca="1" si="14"/>
        <v>5</v>
      </c>
      <c r="Y21" s="2"/>
      <c r="Z21" s="2"/>
    </row>
    <row r="22" spans="1:26" ht="14.25" customHeight="1" x14ac:dyDescent="0.45">
      <c r="A22" s="12" t="s">
        <v>22</v>
      </c>
      <c r="B22" s="12" t="s">
        <v>58</v>
      </c>
      <c r="C22" s="13">
        <v>14</v>
      </c>
      <c r="D22" s="13">
        <v>2665</v>
      </c>
      <c r="E22" s="13">
        <f t="shared" ca="1" si="0"/>
        <v>8406</v>
      </c>
      <c r="F22" s="15">
        <f t="shared" ca="1" si="1"/>
        <v>-5741</v>
      </c>
      <c r="G22" s="16">
        <f t="shared" ca="1" si="2"/>
        <v>-0.68296454913157267</v>
      </c>
      <c r="H22" s="13">
        <v>108</v>
      </c>
      <c r="I22" s="13">
        <f t="shared" ca="1" si="3"/>
        <v>167</v>
      </c>
      <c r="J22" s="15">
        <f t="shared" ca="1" si="4"/>
        <v>-59</v>
      </c>
      <c r="K22" s="16">
        <f t="shared" ca="1" si="5"/>
        <v>-0.3532934131736527</v>
      </c>
      <c r="L22" s="13">
        <f t="shared" si="6"/>
        <v>190.35714285714286</v>
      </c>
      <c r="M22" s="13">
        <f t="shared" si="7"/>
        <v>40.525328330206385</v>
      </c>
      <c r="N22" s="13">
        <v>7375</v>
      </c>
      <c r="O22" s="15">
        <f t="shared" ca="1" si="8"/>
        <v>-3</v>
      </c>
      <c r="P22" s="2"/>
      <c r="Q22" s="2"/>
      <c r="R22" s="2"/>
      <c r="S22" s="18">
        <f t="shared" ca="1" si="9"/>
        <v>0.35515073351604065</v>
      </c>
      <c r="T22" s="20">
        <f t="shared" ca="1" si="10"/>
        <v>-1.0381152826476132</v>
      </c>
      <c r="U22" s="18">
        <f t="shared" ca="1" si="11"/>
        <v>-0.15656565656565657</v>
      </c>
      <c r="V22" s="20">
        <f t="shared" ca="1" si="12"/>
        <v>-0.19672775660799613</v>
      </c>
      <c r="W22" s="21">
        <f t="shared" ca="1" si="13"/>
        <v>-3</v>
      </c>
      <c r="X22" s="21">
        <f t="shared" ca="1" si="14"/>
        <v>0</v>
      </c>
      <c r="Y22" s="2"/>
      <c r="Z22" s="2"/>
    </row>
    <row r="23" spans="1:26" ht="14.25" customHeight="1" x14ac:dyDescent="0.45">
      <c r="A23" s="12" t="s">
        <v>22</v>
      </c>
      <c r="B23" s="12" t="s">
        <v>59</v>
      </c>
      <c r="C23" s="13">
        <v>9</v>
      </c>
      <c r="D23" s="13">
        <v>13070</v>
      </c>
      <c r="E23" s="13">
        <f t="shared" ca="1" si="0"/>
        <v>15529</v>
      </c>
      <c r="F23" s="15">
        <f t="shared" ca="1" si="1"/>
        <v>-2459</v>
      </c>
      <c r="G23" s="16">
        <f t="shared" ca="1" si="2"/>
        <v>-0.15834889561465645</v>
      </c>
      <c r="H23" s="13">
        <v>344</v>
      </c>
      <c r="I23" s="13">
        <f t="shared" ca="1" si="3"/>
        <v>0</v>
      </c>
      <c r="J23" s="15">
        <f t="shared" ca="1" si="4"/>
        <v>344</v>
      </c>
      <c r="K23" s="16" t="str">
        <f t="shared" ca="1" si="5"/>
        <v/>
      </c>
      <c r="L23" s="13">
        <f t="shared" si="6"/>
        <v>1452.2222222222222</v>
      </c>
      <c r="M23" s="13">
        <f t="shared" si="7"/>
        <v>26.319816373374142</v>
      </c>
      <c r="N23" s="13">
        <v>5625</v>
      </c>
      <c r="O23" s="15">
        <f t="shared" ca="1" si="8"/>
        <v>4</v>
      </c>
      <c r="P23" s="2"/>
      <c r="Q23" s="2"/>
      <c r="R23" s="2"/>
      <c r="S23" s="18">
        <f t="shared" ca="1" si="9"/>
        <v>0.14267844002943342</v>
      </c>
      <c r="T23" s="20">
        <f t="shared" ca="1" si="10"/>
        <v>-0.3010273356440899</v>
      </c>
      <c r="U23" s="18">
        <f t="shared" ca="1" si="11"/>
        <v>-1</v>
      </c>
      <c r="V23" s="20" t="str">
        <f t="shared" ca="1" si="12"/>
        <v/>
      </c>
      <c r="W23" s="21">
        <f t="shared" ca="1" si="13"/>
        <v>7</v>
      </c>
      <c r="X23" s="21">
        <f t="shared" ca="1" si="14"/>
        <v>-3</v>
      </c>
      <c r="Y23" s="2"/>
      <c r="Z23" s="2"/>
    </row>
    <row r="24" spans="1:26" ht="14.25" customHeight="1" x14ac:dyDescent="0.45">
      <c r="A24" s="12" t="s">
        <v>22</v>
      </c>
      <c r="B24" s="12" t="s">
        <v>60</v>
      </c>
      <c r="C24" s="13">
        <v>5</v>
      </c>
      <c r="D24" s="13">
        <v>5841</v>
      </c>
      <c r="E24" s="13">
        <f t="shared" ca="1" si="0"/>
        <v>9932</v>
      </c>
      <c r="F24" s="15">
        <f t="shared" ca="1" si="1"/>
        <v>-4091</v>
      </c>
      <c r="G24" s="16">
        <f t="shared" ca="1" si="2"/>
        <v>-0.41190092629883207</v>
      </c>
      <c r="H24" s="13">
        <v>202</v>
      </c>
      <c r="I24" s="13">
        <f t="shared" ca="1" si="3"/>
        <v>301</v>
      </c>
      <c r="J24" s="15">
        <f t="shared" ca="1" si="4"/>
        <v>-99</v>
      </c>
      <c r="K24" s="16">
        <f t="shared" ca="1" si="5"/>
        <v>-0.32890365448504982</v>
      </c>
      <c r="L24" s="13">
        <f t="shared" si="6"/>
        <v>1168.2</v>
      </c>
      <c r="M24" s="13">
        <f t="shared" si="7"/>
        <v>34.583119328882042</v>
      </c>
      <c r="N24" s="13">
        <v>2328</v>
      </c>
      <c r="O24" s="15">
        <f t="shared" ca="1" si="8"/>
        <v>5</v>
      </c>
      <c r="P24" s="2"/>
      <c r="Q24" s="2"/>
      <c r="R24" s="2"/>
      <c r="S24" s="18">
        <f t="shared" ca="1" si="9"/>
        <v>-0.32632435732211895</v>
      </c>
      <c r="T24" s="20">
        <f t="shared" ca="1" si="10"/>
        <v>-8.5576568976713119E-2</v>
      </c>
      <c r="U24" s="18">
        <f t="shared" ca="1" si="11"/>
        <v>-0.14245014245014245</v>
      </c>
      <c r="V24" s="20">
        <f t="shared" ca="1" si="12"/>
        <v>-0.18645351203490737</v>
      </c>
      <c r="W24" s="21">
        <f t="shared" ca="1" si="13"/>
        <v>5</v>
      </c>
      <c r="X24" s="21">
        <f t="shared" ca="1" si="14"/>
        <v>0</v>
      </c>
      <c r="Y24" s="2"/>
      <c r="Z24" s="2"/>
    </row>
    <row r="25" spans="1:26" ht="14.25" customHeight="1" x14ac:dyDescent="0.45">
      <c r="A25" s="12" t="s">
        <v>22</v>
      </c>
      <c r="B25" s="12" t="s">
        <v>61</v>
      </c>
      <c r="C25" s="13">
        <v>7</v>
      </c>
      <c r="D25" s="13">
        <v>10255</v>
      </c>
      <c r="E25" s="13">
        <f t="shared" ca="1" si="0"/>
        <v>20821</v>
      </c>
      <c r="F25" s="15">
        <f t="shared" ca="1" si="1"/>
        <v>-10566</v>
      </c>
      <c r="G25" s="16">
        <f t="shared" ca="1" si="2"/>
        <v>-0.50746842130541281</v>
      </c>
      <c r="H25" s="13">
        <v>95</v>
      </c>
      <c r="I25" s="13">
        <f t="shared" ca="1" si="3"/>
        <v>179</v>
      </c>
      <c r="J25" s="15">
        <f t="shared" ca="1" si="4"/>
        <v>-84</v>
      </c>
      <c r="K25" s="16">
        <f t="shared" ca="1" si="5"/>
        <v>-0.46927374301675978</v>
      </c>
      <c r="L25" s="13">
        <f t="shared" si="6"/>
        <v>1465</v>
      </c>
      <c r="M25" s="13">
        <f t="shared" si="7"/>
        <v>9.2637737688932233</v>
      </c>
      <c r="N25" s="13">
        <v>6187</v>
      </c>
      <c r="O25" s="15">
        <f t="shared" ca="1" si="8"/>
        <v>1</v>
      </c>
      <c r="P25" s="2"/>
      <c r="Q25" s="2"/>
      <c r="R25" s="2"/>
      <c r="S25" s="18">
        <f t="shared" ca="1" si="9"/>
        <v>-0.8158069338900733</v>
      </c>
      <c r="T25" s="20">
        <f t="shared" ca="1" si="10"/>
        <v>0.3083385125846605</v>
      </c>
      <c r="U25" s="18">
        <f t="shared" ca="1" si="11"/>
        <v>-0.73283582089552235</v>
      </c>
      <c r="V25" s="20">
        <f t="shared" ca="1" si="12"/>
        <v>0.26356207787876257</v>
      </c>
      <c r="W25" s="21">
        <f t="shared" ca="1" si="13"/>
        <v>17</v>
      </c>
      <c r="X25" s="21">
        <f t="shared" ca="1" si="14"/>
        <v>-16</v>
      </c>
      <c r="Y25" s="2"/>
      <c r="Z25" s="2"/>
    </row>
    <row r="26" spans="1:26" ht="14.25" customHeight="1" x14ac:dyDescent="0.45">
      <c r="A26" s="12" t="s">
        <v>22</v>
      </c>
      <c r="B26" s="12" t="s">
        <v>62</v>
      </c>
      <c r="C26" s="13">
        <v>235</v>
      </c>
      <c r="D26" s="13">
        <v>32051</v>
      </c>
      <c r="E26" s="13">
        <f t="shared" ca="1" si="0"/>
        <v>98990</v>
      </c>
      <c r="F26" s="15">
        <f t="shared" ca="1" si="1"/>
        <v>-66939</v>
      </c>
      <c r="G26" s="16">
        <f t="shared" ca="1" si="2"/>
        <v>-0.67621982018385696</v>
      </c>
      <c r="H26" s="13">
        <v>122</v>
      </c>
      <c r="I26" s="13">
        <f t="shared" ca="1" si="3"/>
        <v>438</v>
      </c>
      <c r="J26" s="15">
        <f t="shared" ca="1" si="4"/>
        <v>-316</v>
      </c>
      <c r="K26" s="16">
        <f t="shared" ca="1" si="5"/>
        <v>-0.72146118721461183</v>
      </c>
      <c r="L26" s="13">
        <f t="shared" si="6"/>
        <v>136.38723404255319</v>
      </c>
      <c r="M26" s="13">
        <f t="shared" si="7"/>
        <v>3.8064334966147704</v>
      </c>
      <c r="N26" s="13">
        <v>7940</v>
      </c>
      <c r="O26" s="15">
        <f t="shared" ca="1" si="8"/>
        <v>8</v>
      </c>
      <c r="P26" s="2"/>
      <c r="Q26" s="2"/>
      <c r="R26" s="2"/>
      <c r="S26" s="18">
        <f t="shared" ca="1" si="9"/>
        <v>1.4732042473454092</v>
      </c>
      <c r="T26" s="20">
        <f t="shared" ca="1" si="10"/>
        <v>-2.1494240675292664</v>
      </c>
      <c r="U26" s="18">
        <f t="shared" ca="1" si="11"/>
        <v>2.3692307692307693</v>
      </c>
      <c r="V26" s="20">
        <f t="shared" ca="1" si="12"/>
        <v>-3.0906919564453812</v>
      </c>
      <c r="W26" s="21">
        <f t="shared" ca="1" si="13"/>
        <v>34</v>
      </c>
      <c r="X26" s="21">
        <f t="shared" ca="1" si="14"/>
        <v>-26</v>
      </c>
      <c r="Y26" s="2"/>
      <c r="Z26" s="2"/>
    </row>
    <row r="27" spans="1:26" ht="14.25" customHeight="1" x14ac:dyDescent="0.45">
      <c r="A27" s="12" t="s">
        <v>22</v>
      </c>
      <c r="B27" s="12" t="s">
        <v>63</v>
      </c>
      <c r="C27" s="13">
        <v>10</v>
      </c>
      <c r="D27" s="13">
        <v>2184</v>
      </c>
      <c r="E27" s="13">
        <f t="shared" ca="1" si="0"/>
        <v>1834</v>
      </c>
      <c r="F27" s="15">
        <f t="shared" ca="1" si="1"/>
        <v>350</v>
      </c>
      <c r="G27" s="16">
        <f t="shared" ca="1" si="2"/>
        <v>0.19083969465648856</v>
      </c>
      <c r="H27" s="13">
        <v>27</v>
      </c>
      <c r="I27" s="13">
        <f t="shared" ca="1" si="3"/>
        <v>36</v>
      </c>
      <c r="J27" s="15">
        <f t="shared" ca="1" si="4"/>
        <v>-9</v>
      </c>
      <c r="K27" s="16">
        <f t="shared" ca="1" si="5"/>
        <v>-0.25</v>
      </c>
      <c r="L27" s="13">
        <f t="shared" si="6"/>
        <v>218.4</v>
      </c>
      <c r="M27" s="13">
        <f t="shared" si="7"/>
        <v>12.362637362637361</v>
      </c>
      <c r="N27" s="13">
        <v>16711</v>
      </c>
      <c r="O27" s="15">
        <f t="shared" ca="1" si="8"/>
        <v>-1</v>
      </c>
      <c r="P27" s="2"/>
      <c r="Q27" s="2"/>
      <c r="R27" s="2"/>
      <c r="S27" s="18">
        <f t="shared" ca="1" si="9"/>
        <v>-4.079497907949791E-2</v>
      </c>
      <c r="T27" s="20">
        <f t="shared" ca="1" si="10"/>
        <v>0.23163467373598648</v>
      </c>
      <c r="U27" s="18">
        <f t="shared" ca="1" si="11"/>
        <v>-2.7027027027027029E-2</v>
      </c>
      <c r="V27" s="20">
        <f t="shared" ca="1" si="12"/>
        <v>-0.22297297297297297</v>
      </c>
      <c r="W27" s="21">
        <f t="shared" ca="1" si="13"/>
        <v>-9</v>
      </c>
      <c r="X27" s="21">
        <f t="shared" ca="1" si="14"/>
        <v>8</v>
      </c>
      <c r="Y27" s="2"/>
      <c r="Z27" s="2"/>
    </row>
    <row r="28" spans="1:26" ht="14.25" customHeight="1" x14ac:dyDescent="0.45">
      <c r="A28" s="12" t="s">
        <v>22</v>
      </c>
      <c r="B28" s="12" t="s">
        <v>64</v>
      </c>
      <c r="C28" s="13">
        <v>20</v>
      </c>
      <c r="D28" s="13">
        <v>7159</v>
      </c>
      <c r="E28" s="13">
        <f t="shared" ca="1" si="0"/>
        <v>5398</v>
      </c>
      <c r="F28" s="15">
        <f t="shared" ca="1" si="1"/>
        <v>1761</v>
      </c>
      <c r="G28" s="16">
        <f t="shared" ca="1" si="2"/>
        <v>0.32623193775472398</v>
      </c>
      <c r="H28" s="13">
        <v>30</v>
      </c>
      <c r="I28" s="13">
        <f t="shared" ca="1" si="3"/>
        <v>50</v>
      </c>
      <c r="J28" s="15">
        <f t="shared" ca="1" si="4"/>
        <v>-20</v>
      </c>
      <c r="K28" s="16">
        <f t="shared" ca="1" si="5"/>
        <v>-0.4</v>
      </c>
      <c r="L28" s="13">
        <f t="shared" si="6"/>
        <v>357.95</v>
      </c>
      <c r="M28" s="13">
        <f t="shared" si="7"/>
        <v>4.1905294035479814</v>
      </c>
      <c r="N28" s="13">
        <v>21923</v>
      </c>
      <c r="O28" s="15">
        <f t="shared" ca="1" si="8"/>
        <v>4</v>
      </c>
      <c r="P28" s="2"/>
      <c r="Q28" s="2"/>
      <c r="R28" s="2"/>
      <c r="S28" s="18">
        <f t="shared" ca="1" si="9"/>
        <v>8.3283162753361423E-2</v>
      </c>
      <c r="T28" s="20">
        <f t="shared" ca="1" si="10"/>
        <v>0.24294877500136255</v>
      </c>
      <c r="U28" s="18">
        <f t="shared" ca="1" si="11"/>
        <v>0.61290322580645162</v>
      </c>
      <c r="V28" s="20">
        <f t="shared" ca="1" si="12"/>
        <v>-1.0129032258064516</v>
      </c>
      <c r="W28" s="21">
        <f t="shared" ca="1" si="13"/>
        <v>3</v>
      </c>
      <c r="X28" s="21">
        <f t="shared" ca="1" si="14"/>
        <v>1</v>
      </c>
      <c r="Y28" s="2"/>
      <c r="Z28" s="2"/>
    </row>
    <row r="29" spans="1:26" ht="14.25" customHeight="1" x14ac:dyDescent="0.45">
      <c r="A29" s="12" t="s">
        <v>22</v>
      </c>
      <c r="B29" s="12" t="s">
        <v>65</v>
      </c>
      <c r="C29" s="13">
        <v>7</v>
      </c>
      <c r="D29" s="13">
        <v>10725</v>
      </c>
      <c r="E29" s="13">
        <f t="shared" ca="1" si="0"/>
        <v>3666</v>
      </c>
      <c r="F29" s="15">
        <f t="shared" ca="1" si="1"/>
        <v>7059</v>
      </c>
      <c r="G29" s="16">
        <f t="shared" ca="1" si="2"/>
        <v>1.925531914893617</v>
      </c>
      <c r="H29" s="13">
        <v>253</v>
      </c>
      <c r="I29" s="13">
        <f t="shared" ca="1" si="3"/>
        <v>85</v>
      </c>
      <c r="J29" s="15">
        <f t="shared" ca="1" si="4"/>
        <v>168</v>
      </c>
      <c r="K29" s="16">
        <f t="shared" ca="1" si="5"/>
        <v>1.9764705882352942</v>
      </c>
      <c r="L29" s="13">
        <f t="shared" si="6"/>
        <v>1532.1428571428571</v>
      </c>
      <c r="M29" s="13">
        <f t="shared" si="7"/>
        <v>23.589743589743591</v>
      </c>
      <c r="N29" s="13">
        <v>9625</v>
      </c>
      <c r="O29" s="15">
        <f t="shared" ca="1" si="8"/>
        <v>23</v>
      </c>
      <c r="P29" s="2"/>
      <c r="Q29" s="2"/>
      <c r="R29" s="2"/>
      <c r="S29" s="18">
        <f t="shared" ca="1" si="9"/>
        <v>-0.90270184192366898</v>
      </c>
      <c r="T29" s="20">
        <f t="shared" ca="1" si="10"/>
        <v>2.8282337568172862</v>
      </c>
      <c r="U29" s="18">
        <f t="shared" ca="1" si="11"/>
        <v>0.63461538461538458</v>
      </c>
      <c r="V29" s="20">
        <f t="shared" ca="1" si="12"/>
        <v>1.3418552036199096</v>
      </c>
      <c r="W29" s="21">
        <f t="shared" ca="1" si="13"/>
        <v>30</v>
      </c>
      <c r="X29" s="21">
        <f t="shared" ca="1" si="14"/>
        <v>-7</v>
      </c>
      <c r="Y29" s="2"/>
      <c r="Z29" s="2"/>
    </row>
    <row r="30" spans="1:26" ht="14.25" customHeight="1" x14ac:dyDescent="0.45">
      <c r="A30" s="25"/>
      <c r="B30" s="25" t="s">
        <v>66</v>
      </c>
      <c r="C30" s="26">
        <f>SUM(C3:C29)</f>
        <v>1883</v>
      </c>
      <c r="D30" s="26">
        <f>SUM(D3:D29)</f>
        <v>4273439</v>
      </c>
      <c r="E30" s="26">
        <f ca="1">SUM(E3:E29)</f>
        <v>3693588</v>
      </c>
      <c r="F30" s="27">
        <f ca="1">SUM(F3:F29)</f>
        <v>579851</v>
      </c>
      <c r="G30" s="28">
        <f ca="1">IF(C30=0,"",IFERROR(F30/E30,""))</f>
        <v>0.15698854338924645</v>
      </c>
      <c r="H30" s="26">
        <f>SUM(H3:H29)</f>
        <v>29907</v>
      </c>
      <c r="I30" s="26">
        <f ca="1">SUM(I3:I29)</f>
        <v>33462</v>
      </c>
      <c r="J30" s="27">
        <f ca="1">SUM(J3:J29)</f>
        <v>-3555</v>
      </c>
      <c r="K30" s="28">
        <f ca="1">IF(C30=0,"",IFERROR(J30/I30,""))</f>
        <v>-0.10623991393222162</v>
      </c>
      <c r="L30" s="26">
        <f t="shared" si="6"/>
        <v>2269.484333510356</v>
      </c>
      <c r="M30" s="26">
        <f t="shared" si="7"/>
        <v>6.9983448927198912</v>
      </c>
      <c r="N30" s="26">
        <f>SUM(N3:N29)</f>
        <v>465281</v>
      </c>
      <c r="O30" s="27">
        <f ca="1">SUM(O3:O29)</f>
        <v>728</v>
      </c>
      <c r="P30" s="2"/>
      <c r="Q30" s="2"/>
      <c r="R30" s="2"/>
      <c r="S30" s="29">
        <f t="shared" ca="1" si="9"/>
        <v>0.22306668344404193</v>
      </c>
      <c r="T30" s="30">
        <f t="shared" ca="1" si="10"/>
        <v>-6.6078140054795481E-2</v>
      </c>
      <c r="U30" s="29">
        <f t="shared" ca="1" si="11"/>
        <v>2.9916897506925208E-2</v>
      </c>
      <c r="V30" s="30">
        <f t="shared" ca="1" si="12"/>
        <v>-0.13615681143914682</v>
      </c>
      <c r="W30" s="31">
        <f t="shared" ca="1" si="13"/>
        <v>3078</v>
      </c>
      <c r="X30" s="31">
        <f ca="1">IF(OR(C30=0,$O30="",$W30=""),"",$O30-$W30)</f>
        <v>-2350</v>
      </c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3">
        <v>118</v>
      </c>
      <c r="D31" s="13">
        <v>25088</v>
      </c>
      <c r="E31" s="13">
        <f t="shared" ref="E31:E50" ca="1" si="15">IF($D31="","",IFERROR(IF(ISBLANK(INDIRECT("'"&amp;$Q$2&amp;"'!D"&amp;ROW())),"",INDIRECT("'"&amp;$Q$2&amp;"'!D"&amp;ROW())),""))</f>
        <v>36700</v>
      </c>
      <c r="F31" s="15">
        <f t="shared" ref="F31:F50" ca="1" si="16">IF(OR(D31="",E31=""),"",D31-E31)</f>
        <v>-11612</v>
      </c>
      <c r="G31" s="16">
        <f t="shared" ref="G31:G50" ca="1" si="17">IFERROR(F31/E31,"")</f>
        <v>-0.3164032697547684</v>
      </c>
      <c r="H31" s="13">
        <v>112</v>
      </c>
      <c r="I31" s="13">
        <f t="shared" ref="I31:I50" ca="1" si="18">IF($H31="","",IFERROR(IF(ISBLANK(INDIRECT("'"&amp;$Q$2&amp;"'!H"&amp;ROW())),"",INDIRECT("'"&amp;$Q$2&amp;"'!H"&amp;ROW())),""))</f>
        <v>116</v>
      </c>
      <c r="J31" s="15">
        <f t="shared" ref="J31:J50" ca="1" si="19">IF(OR(H31="",I31=""),"",H31-I31)</f>
        <v>-4</v>
      </c>
      <c r="K31" s="16">
        <f t="shared" ref="K31:K50" ca="1" si="20">IFERROR(J31/I31,"")</f>
        <v>-3.4482758620689655E-2</v>
      </c>
      <c r="L31" s="13">
        <f t="shared" si="6"/>
        <v>212.61016949152543</v>
      </c>
      <c r="M31" s="13">
        <f t="shared" si="7"/>
        <v>4.4642857142857144</v>
      </c>
      <c r="N31" s="13">
        <v>32491</v>
      </c>
      <c r="O31" s="15">
        <f t="shared" ref="O31:O50" ca="1" si="21">IFERROR(IF(OR(N31="",ISBLANK(INDIRECT("'"&amp;$Q$2&amp;"'!N"&amp;ROW()))),"",N31-INDIRECT("'"&amp;$Q$2&amp;"'!N"&amp;ROW())),"")</f>
        <v>3</v>
      </c>
      <c r="P31" s="2"/>
      <c r="Q31" s="2"/>
      <c r="R31" s="2"/>
      <c r="S31" s="18">
        <f t="shared" ca="1" si="9"/>
        <v>-0.87413273337746122</v>
      </c>
      <c r="T31" s="20">
        <f t="shared" ca="1" si="10"/>
        <v>0.55772946362269282</v>
      </c>
      <c r="U31" s="18">
        <f t="shared" ca="1" si="11"/>
        <v>-8.6614173228346455E-2</v>
      </c>
      <c r="V31" s="20">
        <f t="shared" ca="1" si="12"/>
        <v>5.2131414607656801E-2</v>
      </c>
      <c r="W31" s="21">
        <f t="shared" ca="1" si="13"/>
        <v>15</v>
      </c>
      <c r="X31" s="21">
        <f t="shared" ref="X31:X50" ca="1" si="22">IF(OR($O31="",$W31=""),"",$O31-$W31)</f>
        <v>-12</v>
      </c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3">
        <v>109</v>
      </c>
      <c r="D32" s="13">
        <v>31127</v>
      </c>
      <c r="E32" s="13">
        <f t="shared" ca="1" si="15"/>
        <v>42212</v>
      </c>
      <c r="F32" s="15">
        <f t="shared" ca="1" si="16"/>
        <v>-11085</v>
      </c>
      <c r="G32" s="16">
        <f t="shared" ca="1" si="17"/>
        <v>-0.26260305126504313</v>
      </c>
      <c r="H32" s="13">
        <v>35</v>
      </c>
      <c r="I32" s="13">
        <f t="shared" ca="1" si="18"/>
        <v>92</v>
      </c>
      <c r="J32" s="15">
        <f t="shared" ca="1" si="19"/>
        <v>-57</v>
      </c>
      <c r="K32" s="16">
        <f t="shared" ca="1" si="20"/>
        <v>-0.61956521739130432</v>
      </c>
      <c r="L32" s="13">
        <f t="shared" si="6"/>
        <v>285.56880733944956</v>
      </c>
      <c r="M32" s="13">
        <f t="shared" si="7"/>
        <v>1.1244257397115045</v>
      </c>
      <c r="N32" s="13">
        <v>21738</v>
      </c>
      <c r="O32" s="15">
        <f t="shared" ca="1" si="21"/>
        <v>1</v>
      </c>
      <c r="P32" s="2"/>
      <c r="Q32" s="2"/>
      <c r="R32" s="2"/>
      <c r="S32" s="18">
        <f t="shared" ca="1" si="9"/>
        <v>3.5953567133776718E-2</v>
      </c>
      <c r="T32" s="20">
        <f t="shared" ca="1" si="10"/>
        <v>-0.29855661839881986</v>
      </c>
      <c r="U32" s="18">
        <f t="shared" ca="1" si="11"/>
        <v>0.35294117647058826</v>
      </c>
      <c r="V32" s="20">
        <f t="shared" ca="1" si="12"/>
        <v>-0.97250639386189253</v>
      </c>
      <c r="W32" s="21">
        <f t="shared" ca="1" si="13"/>
        <v>2</v>
      </c>
      <c r="X32" s="21">
        <f t="shared" ca="1" si="22"/>
        <v>-1</v>
      </c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3">
        <v>75</v>
      </c>
      <c r="D33" s="13">
        <v>24654</v>
      </c>
      <c r="E33" s="13">
        <f t="shared" ca="1" si="15"/>
        <v>16771</v>
      </c>
      <c r="F33" s="15">
        <f t="shared" ca="1" si="16"/>
        <v>7883</v>
      </c>
      <c r="G33" s="16">
        <f t="shared" ca="1" si="17"/>
        <v>0.47003756484407611</v>
      </c>
      <c r="H33" s="13">
        <v>18</v>
      </c>
      <c r="I33" s="13">
        <f t="shared" ca="1" si="18"/>
        <v>5</v>
      </c>
      <c r="J33" s="15">
        <f t="shared" ca="1" si="19"/>
        <v>13</v>
      </c>
      <c r="K33" s="16">
        <f t="shared" ca="1" si="20"/>
        <v>2.6</v>
      </c>
      <c r="L33" s="13">
        <f t="shared" si="6"/>
        <v>328.72</v>
      </c>
      <c r="M33" s="13">
        <f t="shared" si="7"/>
        <v>0.73010464833292765</v>
      </c>
      <c r="N33" s="13">
        <v>8958</v>
      </c>
      <c r="O33" s="15">
        <f t="shared" ca="1" si="21"/>
        <v>1</v>
      </c>
      <c r="P33" s="2"/>
      <c r="Q33" s="2"/>
      <c r="R33" s="2"/>
      <c r="S33" s="18">
        <f t="shared" ca="1" si="9"/>
        <v>-8.5301336242159798E-2</v>
      </c>
      <c r="T33" s="20">
        <f t="shared" ca="1" si="10"/>
        <v>0.55533890108623596</v>
      </c>
      <c r="U33" s="18">
        <f t="shared" ca="1" si="11"/>
        <v>0.25</v>
      </c>
      <c r="V33" s="20">
        <f t="shared" ca="1" si="12"/>
        <v>2.35</v>
      </c>
      <c r="W33" s="21">
        <f t="shared" ca="1" si="13"/>
        <v>-4</v>
      </c>
      <c r="X33" s="21">
        <f t="shared" ca="1" si="22"/>
        <v>5</v>
      </c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3">
        <v>84</v>
      </c>
      <c r="D34" s="13">
        <v>604</v>
      </c>
      <c r="E34" s="13">
        <f t="shared" ca="1" si="15"/>
        <v>721</v>
      </c>
      <c r="F34" s="15">
        <f t="shared" ca="1" si="16"/>
        <v>-117</v>
      </c>
      <c r="G34" s="16">
        <f t="shared" ca="1" si="17"/>
        <v>-0.16227461858529821</v>
      </c>
      <c r="H34" s="13">
        <v>0</v>
      </c>
      <c r="I34" s="13">
        <f t="shared" ca="1" si="18"/>
        <v>0</v>
      </c>
      <c r="J34" s="15">
        <f t="shared" ca="1" si="19"/>
        <v>0</v>
      </c>
      <c r="K34" s="16" t="str">
        <f t="shared" ca="1" si="20"/>
        <v/>
      </c>
      <c r="L34" s="13">
        <f t="shared" si="6"/>
        <v>7.1904761904761907</v>
      </c>
      <c r="M34" s="13">
        <f t="shared" si="7"/>
        <v>0</v>
      </c>
      <c r="N34" s="13">
        <v>6</v>
      </c>
      <c r="O34" s="15">
        <f t="shared" ca="1" si="21"/>
        <v>0</v>
      </c>
      <c r="P34" s="2"/>
      <c r="Q34" s="2"/>
      <c r="R34" s="2"/>
      <c r="S34" s="18">
        <f t="shared" ca="1" si="9"/>
        <v>-0.20331491712707184</v>
      </c>
      <c r="T34" s="20">
        <f t="shared" ca="1" si="10"/>
        <v>4.1040298541773629E-2</v>
      </c>
      <c r="U34" s="18" t="str">
        <f t="shared" ca="1" si="11"/>
        <v/>
      </c>
      <c r="V34" s="20" t="str">
        <f t="shared" ca="1" si="12"/>
        <v/>
      </c>
      <c r="W34" s="21">
        <f t="shared" ca="1" si="13"/>
        <v>0</v>
      </c>
      <c r="X34" s="21">
        <f t="shared" ca="1" si="22"/>
        <v>0</v>
      </c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3">
        <v>83</v>
      </c>
      <c r="D35" s="13">
        <v>8859</v>
      </c>
      <c r="E35" s="13">
        <f t="shared" ca="1" si="15"/>
        <v>9472</v>
      </c>
      <c r="F35" s="15">
        <f t="shared" ca="1" si="16"/>
        <v>-613</v>
      </c>
      <c r="G35" s="16">
        <f t="shared" ca="1" si="17"/>
        <v>-6.4717060810810814E-2</v>
      </c>
      <c r="H35" s="13">
        <v>70</v>
      </c>
      <c r="I35" s="13">
        <f t="shared" ca="1" si="18"/>
        <v>48</v>
      </c>
      <c r="J35" s="15">
        <f t="shared" ca="1" si="19"/>
        <v>22</v>
      </c>
      <c r="K35" s="16">
        <f t="shared" ca="1" si="20"/>
        <v>0.45833333333333331</v>
      </c>
      <c r="L35" s="13">
        <f t="shared" ref="L35:L66" si="23">IFERROR(D35/C35,"")</f>
        <v>106.73493975903614</v>
      </c>
      <c r="M35" s="13">
        <f t="shared" ref="M35:M66" si="24">IFERROR(H35/D35*1000,"")</f>
        <v>7.9015690258494189</v>
      </c>
      <c r="N35" s="13">
        <v>1941</v>
      </c>
      <c r="O35" s="15">
        <f t="shared" ca="1" si="21"/>
        <v>0</v>
      </c>
      <c r="P35" s="2"/>
      <c r="Q35" s="2"/>
      <c r="R35" s="2"/>
      <c r="S35" s="18">
        <f t="shared" ref="S35:S66" ca="1" si="25">IFERROR(IF(ISBLANK(INDIRECT("'"&amp;$Q$2&amp;"'!G"&amp;ROW())),"",INDIRECT("'"&amp;$Q$2&amp;"'!G"&amp;ROW())),"")</f>
        <v>-7.472892448959656E-2</v>
      </c>
      <c r="T35" s="20">
        <f t="shared" ref="T35:T66" ca="1" si="26">IF(OR($G35="",$S35=""),"",$G35-$S35)</f>
        <v>1.0011863678785746E-2</v>
      </c>
      <c r="U35" s="18">
        <f t="shared" ref="U35:U66" ca="1" si="27">IFERROR(IF(ISBLANK(INDIRECT("'"&amp;$Q$2&amp;"'!K"&amp;ROW())),"",INDIRECT("'"&amp;$Q$2&amp;"'!K"&amp;ROW())),"")</f>
        <v>-0.61904761904761907</v>
      </c>
      <c r="V35" s="20">
        <f t="shared" ref="V35:V66" ca="1" si="28">IF(OR($K35="",$U35=""),"",$K35-$U35)</f>
        <v>1.0773809523809523</v>
      </c>
      <c r="W35" s="21">
        <f t="shared" ref="W35:W66" ca="1" si="29">IFERROR(IF(ISBLANK(INDIRECT("'"&amp;$Q$2&amp;"'!O"&amp;ROW())),"",INDIRECT("'"&amp;$Q$2&amp;"'!O"&amp;ROW())),"")</f>
        <v>4</v>
      </c>
      <c r="X35" s="21">
        <f t="shared" ca="1" si="22"/>
        <v>-4</v>
      </c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3"/>
      <c r="D36" s="13"/>
      <c r="E36" s="13" t="str">
        <f t="shared" ca="1" si="15"/>
        <v/>
      </c>
      <c r="F36" s="15" t="str">
        <f t="shared" ca="1" si="16"/>
        <v/>
      </c>
      <c r="G36" s="16" t="str">
        <f t="shared" ca="1" si="17"/>
        <v/>
      </c>
      <c r="H36" s="13"/>
      <c r="I36" s="13" t="str">
        <f t="shared" ca="1" si="18"/>
        <v/>
      </c>
      <c r="J36" s="15" t="str">
        <f t="shared" ca="1" si="19"/>
        <v/>
      </c>
      <c r="K36" s="16" t="str">
        <f t="shared" ca="1" si="20"/>
        <v/>
      </c>
      <c r="L36" s="13" t="str">
        <f t="shared" si="23"/>
        <v/>
      </c>
      <c r="M36" s="13" t="str">
        <f t="shared" si="24"/>
        <v/>
      </c>
      <c r="N36" s="13"/>
      <c r="O36" s="15" t="str">
        <f t="shared" ca="1" si="21"/>
        <v/>
      </c>
      <c r="P36" s="2"/>
      <c r="Q36" s="2"/>
      <c r="R36" s="2"/>
      <c r="S36" s="18">
        <f t="shared" ca="1" si="25"/>
        <v>-3.7648158166527321E-2</v>
      </c>
      <c r="T36" s="20" t="str">
        <f t="shared" ca="1" si="26"/>
        <v/>
      </c>
      <c r="U36" s="18">
        <f t="shared" ca="1" si="27"/>
        <v>-0.4152542372881356</v>
      </c>
      <c r="V36" s="20" t="str">
        <f t="shared" ca="1" si="28"/>
        <v/>
      </c>
      <c r="W36" s="21">
        <f t="shared" ca="1" si="29"/>
        <v>7</v>
      </c>
      <c r="X36" s="21" t="str">
        <f t="shared" ca="1" si="22"/>
        <v/>
      </c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3">
        <v>117</v>
      </c>
      <c r="D37" s="13">
        <v>5607</v>
      </c>
      <c r="E37" s="13">
        <f t="shared" ca="1" si="15"/>
        <v>6504</v>
      </c>
      <c r="F37" s="15">
        <f t="shared" ca="1" si="16"/>
        <v>-897</v>
      </c>
      <c r="G37" s="16">
        <f t="shared" ca="1" si="17"/>
        <v>-0.1379151291512915</v>
      </c>
      <c r="H37" s="13">
        <v>18</v>
      </c>
      <c r="I37" s="13">
        <f t="shared" ca="1" si="18"/>
        <v>48</v>
      </c>
      <c r="J37" s="15">
        <f t="shared" ca="1" si="19"/>
        <v>-30</v>
      </c>
      <c r="K37" s="16">
        <f t="shared" ca="1" si="20"/>
        <v>-0.625</v>
      </c>
      <c r="L37" s="13">
        <f t="shared" si="23"/>
        <v>47.92307692307692</v>
      </c>
      <c r="M37" s="13">
        <f t="shared" si="24"/>
        <v>3.2102728731942216</v>
      </c>
      <c r="N37" s="13">
        <v>3238</v>
      </c>
      <c r="O37" s="15">
        <f t="shared" ca="1" si="21"/>
        <v>1</v>
      </c>
      <c r="P37" s="2"/>
      <c r="Q37" s="2"/>
      <c r="R37" s="2"/>
      <c r="S37" s="18">
        <f t="shared" ca="1" si="25"/>
        <v>-0.14555964266946925</v>
      </c>
      <c r="T37" s="20">
        <f t="shared" ca="1" si="26"/>
        <v>7.6445135181777424E-3</v>
      </c>
      <c r="U37" s="18">
        <f t="shared" ca="1" si="27"/>
        <v>-0.1864406779661017</v>
      </c>
      <c r="V37" s="20">
        <f t="shared" ca="1" si="28"/>
        <v>-0.4385593220338983</v>
      </c>
      <c r="W37" s="21">
        <f t="shared" ca="1" si="29"/>
        <v>1</v>
      </c>
      <c r="X37" s="21">
        <f t="shared" ca="1" si="22"/>
        <v>0</v>
      </c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3">
        <v>107</v>
      </c>
      <c r="D38" s="13">
        <v>9151</v>
      </c>
      <c r="E38" s="13">
        <f t="shared" ca="1" si="15"/>
        <v>10887</v>
      </c>
      <c r="F38" s="15">
        <f t="shared" ca="1" si="16"/>
        <v>-1736</v>
      </c>
      <c r="G38" s="16">
        <f t="shared" ca="1" si="17"/>
        <v>-0.15945623220354552</v>
      </c>
      <c r="H38" s="13">
        <v>151</v>
      </c>
      <c r="I38" s="13">
        <f t="shared" ca="1" si="18"/>
        <v>183</v>
      </c>
      <c r="J38" s="15">
        <f t="shared" ca="1" si="19"/>
        <v>-32</v>
      </c>
      <c r="K38" s="16">
        <f t="shared" ca="1" si="20"/>
        <v>-0.17486338797814208</v>
      </c>
      <c r="L38" s="13">
        <f t="shared" si="23"/>
        <v>85.523364485981304</v>
      </c>
      <c r="M38" s="13">
        <f t="shared" si="24"/>
        <v>16.500928860233856</v>
      </c>
      <c r="N38" s="13">
        <v>1711</v>
      </c>
      <c r="O38" s="15">
        <f t="shared" ca="1" si="21"/>
        <v>0</v>
      </c>
      <c r="P38" s="2"/>
      <c r="Q38" s="2"/>
      <c r="R38" s="2"/>
      <c r="S38" s="18">
        <f t="shared" ca="1" si="25"/>
        <v>0.35141509433962265</v>
      </c>
      <c r="T38" s="20">
        <f t="shared" ca="1" si="26"/>
        <v>-0.51087132654316814</v>
      </c>
      <c r="U38" s="18">
        <f t="shared" ca="1" si="27"/>
        <v>6.3953488372093026E-2</v>
      </c>
      <c r="V38" s="20">
        <f t="shared" ca="1" si="28"/>
        <v>-0.2388168763502351</v>
      </c>
      <c r="W38" s="21">
        <f t="shared" ca="1" si="29"/>
        <v>6</v>
      </c>
      <c r="X38" s="21">
        <f t="shared" ca="1" si="22"/>
        <v>-6</v>
      </c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3">
        <v>53</v>
      </c>
      <c r="D39" s="13">
        <v>4189</v>
      </c>
      <c r="E39" s="13">
        <f t="shared" ca="1" si="15"/>
        <v>4212</v>
      </c>
      <c r="F39" s="15">
        <f t="shared" ca="1" si="16"/>
        <v>-23</v>
      </c>
      <c r="G39" s="16">
        <f t="shared" ca="1" si="17"/>
        <v>-5.4605887939221274E-3</v>
      </c>
      <c r="H39" s="13">
        <v>3</v>
      </c>
      <c r="I39" s="13">
        <f t="shared" ca="1" si="18"/>
        <v>8</v>
      </c>
      <c r="J39" s="15">
        <f t="shared" ca="1" si="19"/>
        <v>-5</v>
      </c>
      <c r="K39" s="16">
        <f t="shared" ca="1" si="20"/>
        <v>-0.625</v>
      </c>
      <c r="L39" s="13">
        <f t="shared" si="23"/>
        <v>79.037735849056602</v>
      </c>
      <c r="M39" s="13">
        <f t="shared" si="24"/>
        <v>0.71616137502984012</v>
      </c>
      <c r="N39" s="13">
        <v>225</v>
      </c>
      <c r="O39" s="15">
        <f t="shared" ca="1" si="21"/>
        <v>0</v>
      </c>
      <c r="P39" s="2"/>
      <c r="Q39" s="2"/>
      <c r="R39" s="2"/>
      <c r="S39" s="18">
        <f t="shared" ca="1" si="25"/>
        <v>1.1700154559505409</v>
      </c>
      <c r="T39" s="20">
        <f t="shared" ca="1" si="26"/>
        <v>-1.175476044744463</v>
      </c>
      <c r="U39" s="18">
        <f t="shared" ca="1" si="27"/>
        <v>-0.2</v>
      </c>
      <c r="V39" s="20">
        <f t="shared" ca="1" si="28"/>
        <v>-0.42499999999999999</v>
      </c>
      <c r="W39" s="21">
        <f t="shared" ca="1" si="29"/>
        <v>1</v>
      </c>
      <c r="X39" s="21">
        <f t="shared" ca="1" si="22"/>
        <v>-1</v>
      </c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3"/>
      <c r="D40" s="13"/>
      <c r="E40" s="13" t="str">
        <f t="shared" ca="1" si="15"/>
        <v/>
      </c>
      <c r="F40" s="15" t="str">
        <f t="shared" ca="1" si="16"/>
        <v/>
      </c>
      <c r="G40" s="16" t="str">
        <f t="shared" ca="1" si="17"/>
        <v/>
      </c>
      <c r="H40" s="13"/>
      <c r="I40" s="13" t="str">
        <f t="shared" ca="1" si="18"/>
        <v/>
      </c>
      <c r="J40" s="15" t="str">
        <f t="shared" ca="1" si="19"/>
        <v/>
      </c>
      <c r="K40" s="16" t="str">
        <f t="shared" ca="1" si="20"/>
        <v/>
      </c>
      <c r="L40" s="13" t="str">
        <f t="shared" si="23"/>
        <v/>
      </c>
      <c r="M40" s="13" t="str">
        <f t="shared" si="24"/>
        <v/>
      </c>
      <c r="N40" s="13"/>
      <c r="O40" s="15" t="str">
        <f t="shared" ca="1" si="21"/>
        <v/>
      </c>
      <c r="P40" s="2"/>
      <c r="Q40" s="2"/>
      <c r="R40" s="2"/>
      <c r="S40" s="18">
        <f t="shared" ca="1" si="25"/>
        <v>0.10353739298982394</v>
      </c>
      <c r="T40" s="20" t="str">
        <f t="shared" ca="1" si="26"/>
        <v/>
      </c>
      <c r="U40" s="18">
        <f t="shared" ca="1" si="27"/>
        <v>-0.42553191489361702</v>
      </c>
      <c r="V40" s="20" t="str">
        <f t="shared" ca="1" si="28"/>
        <v/>
      </c>
      <c r="W40" s="21">
        <f t="shared" ca="1" si="29"/>
        <v>1</v>
      </c>
      <c r="X40" s="21" t="str">
        <f t="shared" ca="1" si="22"/>
        <v/>
      </c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3">
        <v>50</v>
      </c>
      <c r="D41" s="13">
        <v>12390</v>
      </c>
      <c r="E41" s="13">
        <f t="shared" ca="1" si="15"/>
        <v>12790</v>
      </c>
      <c r="F41" s="15">
        <f t="shared" ca="1" si="16"/>
        <v>-400</v>
      </c>
      <c r="G41" s="16">
        <f t="shared" ca="1" si="17"/>
        <v>-3.1274433150899138E-2</v>
      </c>
      <c r="H41" s="13">
        <v>121</v>
      </c>
      <c r="I41" s="13">
        <f t="shared" ca="1" si="18"/>
        <v>102</v>
      </c>
      <c r="J41" s="15">
        <f t="shared" ca="1" si="19"/>
        <v>19</v>
      </c>
      <c r="K41" s="16">
        <f t="shared" ca="1" si="20"/>
        <v>0.18627450980392157</v>
      </c>
      <c r="L41" s="13">
        <f t="shared" si="23"/>
        <v>247.8</v>
      </c>
      <c r="M41" s="13">
        <f t="shared" si="24"/>
        <v>9.7659402744148505</v>
      </c>
      <c r="N41" s="13">
        <v>3531</v>
      </c>
      <c r="O41" s="15">
        <f t="shared" ca="1" si="21"/>
        <v>2</v>
      </c>
      <c r="P41" s="2"/>
      <c r="Q41" s="2"/>
      <c r="R41" s="2"/>
      <c r="S41" s="18">
        <f t="shared" ca="1" si="25"/>
        <v>0.49765807962529274</v>
      </c>
      <c r="T41" s="20">
        <f t="shared" ca="1" si="26"/>
        <v>-0.52893251277619191</v>
      </c>
      <c r="U41" s="18">
        <f t="shared" ca="1" si="27"/>
        <v>-8.1081081081081086E-2</v>
      </c>
      <c r="V41" s="20">
        <f t="shared" ca="1" si="28"/>
        <v>0.26735559088500266</v>
      </c>
      <c r="W41" s="21">
        <f t="shared" ca="1" si="29"/>
        <v>-1</v>
      </c>
      <c r="X41" s="21">
        <f t="shared" ca="1" si="22"/>
        <v>3</v>
      </c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3">
        <v>25</v>
      </c>
      <c r="D42" s="13">
        <v>6594</v>
      </c>
      <c r="E42" s="13">
        <f t="shared" ca="1" si="15"/>
        <v>7517</v>
      </c>
      <c r="F42" s="15">
        <f t="shared" ca="1" si="16"/>
        <v>-923</v>
      </c>
      <c r="G42" s="16">
        <f t="shared" ca="1" si="17"/>
        <v>-0.12278834641479314</v>
      </c>
      <c r="H42" s="13">
        <v>83</v>
      </c>
      <c r="I42" s="13">
        <f t="shared" ca="1" si="18"/>
        <v>133</v>
      </c>
      <c r="J42" s="15">
        <f t="shared" ca="1" si="19"/>
        <v>-50</v>
      </c>
      <c r="K42" s="16">
        <f t="shared" ca="1" si="20"/>
        <v>-0.37593984962406013</v>
      </c>
      <c r="L42" s="13">
        <f t="shared" si="23"/>
        <v>263.76</v>
      </c>
      <c r="M42" s="13">
        <f t="shared" si="24"/>
        <v>12.587200485289657</v>
      </c>
      <c r="N42" s="13">
        <v>653</v>
      </c>
      <c r="O42" s="15">
        <f t="shared" ca="1" si="21"/>
        <v>2</v>
      </c>
      <c r="P42" s="2"/>
      <c r="Q42" s="2"/>
      <c r="R42" s="2"/>
      <c r="S42" s="18">
        <f t="shared" ca="1" si="25"/>
        <v>0.23614537082716658</v>
      </c>
      <c r="T42" s="20">
        <f t="shared" ca="1" si="26"/>
        <v>-0.35893371724195972</v>
      </c>
      <c r="U42" s="18">
        <f t="shared" ca="1" si="27"/>
        <v>-0.46370967741935482</v>
      </c>
      <c r="V42" s="20">
        <f t="shared" ca="1" si="28"/>
        <v>8.7769827795294686E-2</v>
      </c>
      <c r="W42" s="21">
        <f t="shared" ca="1" si="29"/>
        <v>1</v>
      </c>
      <c r="X42" s="21">
        <f t="shared" ca="1" si="22"/>
        <v>1</v>
      </c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3">
        <v>43</v>
      </c>
      <c r="D43" s="13">
        <v>2452</v>
      </c>
      <c r="E43" s="13">
        <f t="shared" ca="1" si="15"/>
        <v>3667</v>
      </c>
      <c r="F43" s="15">
        <f t="shared" ca="1" si="16"/>
        <v>-1215</v>
      </c>
      <c r="G43" s="16">
        <f t="shared" ca="1" si="17"/>
        <v>-0.33133351513498771</v>
      </c>
      <c r="H43" s="13">
        <v>11</v>
      </c>
      <c r="I43" s="13">
        <f t="shared" ca="1" si="18"/>
        <v>25</v>
      </c>
      <c r="J43" s="15">
        <f t="shared" ca="1" si="19"/>
        <v>-14</v>
      </c>
      <c r="K43" s="16">
        <f t="shared" ca="1" si="20"/>
        <v>-0.56000000000000005</v>
      </c>
      <c r="L43" s="13">
        <f t="shared" si="23"/>
        <v>57.02325581395349</v>
      </c>
      <c r="M43" s="13">
        <f t="shared" si="24"/>
        <v>4.4861337683523654</v>
      </c>
      <c r="N43" s="13">
        <v>1952</v>
      </c>
      <c r="O43" s="15">
        <f t="shared" ca="1" si="21"/>
        <v>0</v>
      </c>
      <c r="P43" s="2"/>
      <c r="Q43" s="2"/>
      <c r="R43" s="2"/>
      <c r="S43" s="18">
        <f t="shared" ca="1" si="25"/>
        <v>-0.27558277360726985</v>
      </c>
      <c r="T43" s="20">
        <f t="shared" ca="1" si="26"/>
        <v>-5.5750741527717862E-2</v>
      </c>
      <c r="U43" s="18">
        <f t="shared" ca="1" si="27"/>
        <v>-0.56140350877192979</v>
      </c>
      <c r="V43" s="20">
        <f t="shared" ca="1" si="28"/>
        <v>1.4035087719297401E-3</v>
      </c>
      <c r="W43" s="21">
        <f t="shared" ca="1" si="29"/>
        <v>0</v>
      </c>
      <c r="X43" s="21">
        <f t="shared" ca="1" si="22"/>
        <v>0</v>
      </c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3"/>
      <c r="D44" s="13"/>
      <c r="E44" s="13" t="str">
        <f t="shared" ca="1" si="15"/>
        <v/>
      </c>
      <c r="F44" s="15" t="str">
        <f t="shared" ca="1" si="16"/>
        <v/>
      </c>
      <c r="G44" s="16" t="str">
        <f t="shared" ca="1" si="17"/>
        <v/>
      </c>
      <c r="H44" s="13"/>
      <c r="I44" s="13" t="str">
        <f t="shared" ca="1" si="18"/>
        <v/>
      </c>
      <c r="J44" s="15" t="str">
        <f t="shared" ca="1" si="19"/>
        <v/>
      </c>
      <c r="K44" s="16" t="str">
        <f t="shared" ca="1" si="20"/>
        <v/>
      </c>
      <c r="L44" s="13" t="str">
        <f t="shared" si="23"/>
        <v/>
      </c>
      <c r="M44" s="13" t="str">
        <f t="shared" si="24"/>
        <v/>
      </c>
      <c r="N44" s="13"/>
      <c r="O44" s="15" t="str">
        <f t="shared" ca="1" si="21"/>
        <v/>
      </c>
      <c r="P44" s="2"/>
      <c r="Q44" s="2"/>
      <c r="R44" s="2"/>
      <c r="S44" s="18">
        <f t="shared" ca="1" si="25"/>
        <v>-0.5184202379372872</v>
      </c>
      <c r="T44" s="20" t="str">
        <f t="shared" ca="1" si="26"/>
        <v/>
      </c>
      <c r="U44" s="18">
        <f t="shared" ca="1" si="27"/>
        <v>-0.40669014084507044</v>
      </c>
      <c r="V44" s="20" t="str">
        <f t="shared" ca="1" si="28"/>
        <v/>
      </c>
      <c r="W44" s="21">
        <f t="shared" ca="1" si="29"/>
        <v>5</v>
      </c>
      <c r="X44" s="21" t="str">
        <f t="shared" ca="1" si="22"/>
        <v/>
      </c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3">
        <v>50</v>
      </c>
      <c r="D45" s="13">
        <v>14463</v>
      </c>
      <c r="E45" s="13">
        <f t="shared" ca="1" si="15"/>
        <v>21536</v>
      </c>
      <c r="F45" s="15">
        <f t="shared" ca="1" si="16"/>
        <v>-7073</v>
      </c>
      <c r="G45" s="16">
        <f t="shared" ca="1" si="17"/>
        <v>-0.32842682020802377</v>
      </c>
      <c r="H45" s="13">
        <v>201</v>
      </c>
      <c r="I45" s="13">
        <f t="shared" ca="1" si="18"/>
        <v>308</v>
      </c>
      <c r="J45" s="15">
        <f t="shared" ca="1" si="19"/>
        <v>-107</v>
      </c>
      <c r="K45" s="16">
        <f t="shared" ca="1" si="20"/>
        <v>-0.34740259740259738</v>
      </c>
      <c r="L45" s="13">
        <f t="shared" si="23"/>
        <v>289.26</v>
      </c>
      <c r="M45" s="13">
        <f t="shared" si="24"/>
        <v>13.897531632441403</v>
      </c>
      <c r="N45" s="13">
        <v>3747</v>
      </c>
      <c r="O45" s="15">
        <f t="shared" ca="1" si="21"/>
        <v>1</v>
      </c>
      <c r="P45" s="2"/>
      <c r="Q45" s="2"/>
      <c r="R45" s="2"/>
      <c r="S45" s="18">
        <f t="shared" ca="1" si="25"/>
        <v>6.1880577880775112E-2</v>
      </c>
      <c r="T45" s="20">
        <f t="shared" ca="1" si="26"/>
        <v>-0.39030739808879888</v>
      </c>
      <c r="U45" s="18">
        <f t="shared" ca="1" si="27"/>
        <v>-0.16531165311653118</v>
      </c>
      <c r="V45" s="20">
        <f t="shared" ca="1" si="28"/>
        <v>-0.1820909442860662</v>
      </c>
      <c r="W45" s="21">
        <f t="shared" ca="1" si="29"/>
        <v>3</v>
      </c>
      <c r="X45" s="21">
        <f t="shared" ca="1" si="22"/>
        <v>-2</v>
      </c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3">
        <v>62</v>
      </c>
      <c r="D46" s="13">
        <v>22558</v>
      </c>
      <c r="E46" s="13">
        <f t="shared" ca="1" si="15"/>
        <v>29521</v>
      </c>
      <c r="F46" s="15">
        <f t="shared" ca="1" si="16"/>
        <v>-6963</v>
      </c>
      <c r="G46" s="16">
        <f t="shared" ca="1" si="17"/>
        <v>-0.23586599369940042</v>
      </c>
      <c r="H46" s="13">
        <v>342</v>
      </c>
      <c r="I46" s="13">
        <f t="shared" ca="1" si="18"/>
        <v>351</v>
      </c>
      <c r="J46" s="15">
        <f t="shared" ca="1" si="19"/>
        <v>-9</v>
      </c>
      <c r="K46" s="16">
        <f t="shared" ca="1" si="20"/>
        <v>-2.564102564102564E-2</v>
      </c>
      <c r="L46" s="13">
        <f t="shared" si="23"/>
        <v>363.83870967741933</v>
      </c>
      <c r="M46" s="13">
        <f t="shared" si="24"/>
        <v>15.160918521145492</v>
      </c>
      <c r="N46" s="13">
        <v>4507</v>
      </c>
      <c r="O46" s="15">
        <f t="shared" ca="1" si="21"/>
        <v>3</v>
      </c>
      <c r="P46" s="2"/>
      <c r="Q46" s="2"/>
      <c r="R46" s="2"/>
      <c r="S46" s="18">
        <f t="shared" ca="1" si="25"/>
        <v>0.51265628202500513</v>
      </c>
      <c r="T46" s="20">
        <f t="shared" ca="1" si="26"/>
        <v>-0.74852227572440555</v>
      </c>
      <c r="U46" s="18">
        <f t="shared" ca="1" si="27"/>
        <v>1.7391304347826087E-2</v>
      </c>
      <c r="V46" s="20">
        <f t="shared" ca="1" si="28"/>
        <v>-4.3032329988851731E-2</v>
      </c>
      <c r="W46" s="21">
        <f t="shared" ca="1" si="29"/>
        <v>0</v>
      </c>
      <c r="X46" s="21">
        <f t="shared" ca="1" si="22"/>
        <v>3</v>
      </c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3"/>
      <c r="D47" s="13"/>
      <c r="E47" s="13" t="str">
        <f t="shared" ca="1" si="15"/>
        <v/>
      </c>
      <c r="F47" s="15" t="str">
        <f t="shared" ca="1" si="16"/>
        <v/>
      </c>
      <c r="G47" s="16" t="str">
        <f t="shared" ca="1" si="17"/>
        <v/>
      </c>
      <c r="H47" s="13"/>
      <c r="I47" s="13" t="str">
        <f t="shared" ca="1" si="18"/>
        <v/>
      </c>
      <c r="J47" s="15" t="str">
        <f t="shared" ca="1" si="19"/>
        <v/>
      </c>
      <c r="K47" s="16" t="str">
        <f t="shared" ca="1" si="20"/>
        <v/>
      </c>
      <c r="L47" s="13" t="str">
        <f t="shared" si="23"/>
        <v/>
      </c>
      <c r="M47" s="13" t="str">
        <f t="shared" si="24"/>
        <v/>
      </c>
      <c r="N47" s="13"/>
      <c r="O47" s="15" t="str">
        <f t="shared" ca="1" si="21"/>
        <v/>
      </c>
      <c r="P47" s="2"/>
      <c r="Q47" s="2"/>
      <c r="R47" s="2"/>
      <c r="S47" s="18">
        <f t="shared" ca="1" si="25"/>
        <v>0.50450450450450446</v>
      </c>
      <c r="T47" s="20" t="str">
        <f t="shared" ca="1" si="26"/>
        <v/>
      </c>
      <c r="U47" s="18">
        <f t="shared" ca="1" si="27"/>
        <v>7.1428571428571425E-2</v>
      </c>
      <c r="V47" s="20" t="str">
        <f t="shared" ca="1" si="28"/>
        <v/>
      </c>
      <c r="W47" s="21">
        <f t="shared" ca="1" si="29"/>
        <v>1</v>
      </c>
      <c r="X47" s="21" t="str">
        <f t="shared" ca="1" si="22"/>
        <v/>
      </c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3"/>
      <c r="D48" s="13"/>
      <c r="E48" s="13" t="str">
        <f t="shared" ca="1" si="15"/>
        <v/>
      </c>
      <c r="F48" s="15" t="str">
        <f t="shared" ca="1" si="16"/>
        <v/>
      </c>
      <c r="G48" s="16" t="str">
        <f t="shared" ca="1" si="17"/>
        <v/>
      </c>
      <c r="H48" s="13"/>
      <c r="I48" s="13" t="str">
        <f t="shared" ca="1" si="18"/>
        <v/>
      </c>
      <c r="J48" s="15" t="str">
        <f t="shared" ca="1" si="19"/>
        <v/>
      </c>
      <c r="K48" s="16" t="str">
        <f t="shared" ca="1" si="20"/>
        <v/>
      </c>
      <c r="L48" s="13" t="str">
        <f t="shared" si="23"/>
        <v/>
      </c>
      <c r="M48" s="13" t="str">
        <f t="shared" si="24"/>
        <v/>
      </c>
      <c r="N48" s="13"/>
      <c r="O48" s="15" t="str">
        <f t="shared" ca="1" si="21"/>
        <v/>
      </c>
      <c r="P48" s="2"/>
      <c r="Q48" s="2"/>
      <c r="R48" s="2"/>
      <c r="S48" s="18">
        <f t="shared" ca="1" si="25"/>
        <v>-0.19645293315143247</v>
      </c>
      <c r="T48" s="20" t="str">
        <f t="shared" ca="1" si="26"/>
        <v/>
      </c>
      <c r="U48" s="18">
        <f t="shared" ca="1" si="27"/>
        <v>0.36893203883495146</v>
      </c>
      <c r="V48" s="20" t="str">
        <f t="shared" ca="1" si="28"/>
        <v/>
      </c>
      <c r="W48" s="21">
        <f t="shared" ca="1" si="29"/>
        <v>3</v>
      </c>
      <c r="X48" s="21" t="str">
        <f t="shared" ca="1" si="22"/>
        <v/>
      </c>
      <c r="Y48" s="2"/>
      <c r="Z48" s="2"/>
    </row>
    <row r="49" spans="1:26" ht="14.25" customHeight="1" x14ac:dyDescent="0.45">
      <c r="A49" s="12" t="s">
        <v>23</v>
      </c>
      <c r="B49" s="12" t="s">
        <v>62</v>
      </c>
      <c r="C49" s="13">
        <v>214</v>
      </c>
      <c r="D49" s="13">
        <v>10157</v>
      </c>
      <c r="E49" s="13">
        <f t="shared" ca="1" si="15"/>
        <v>7973</v>
      </c>
      <c r="F49" s="15">
        <f t="shared" ca="1" si="16"/>
        <v>2184</v>
      </c>
      <c r="G49" s="16">
        <f t="shared" ca="1" si="17"/>
        <v>0.27392449517120282</v>
      </c>
      <c r="H49" s="13">
        <v>1</v>
      </c>
      <c r="I49" s="13">
        <f t="shared" ca="1" si="18"/>
        <v>2</v>
      </c>
      <c r="J49" s="15">
        <f t="shared" ca="1" si="19"/>
        <v>-1</v>
      </c>
      <c r="K49" s="16">
        <f t="shared" ca="1" si="20"/>
        <v>-0.5</v>
      </c>
      <c r="L49" s="13">
        <f t="shared" si="23"/>
        <v>47.462616822429908</v>
      </c>
      <c r="M49" s="13">
        <f t="shared" si="24"/>
        <v>9.8454267992517483E-2</v>
      </c>
      <c r="N49" s="13">
        <v>4820</v>
      </c>
      <c r="O49" s="15">
        <f t="shared" ca="1" si="21"/>
        <v>0</v>
      </c>
      <c r="P49" s="2"/>
      <c r="Q49" s="2"/>
      <c r="R49" s="2"/>
      <c r="S49" s="18">
        <f t="shared" ca="1" si="25"/>
        <v>0.25955766192733015</v>
      </c>
      <c r="T49" s="20">
        <f t="shared" ca="1" si="26"/>
        <v>1.4366833243872668E-2</v>
      </c>
      <c r="U49" s="18">
        <f t="shared" ca="1" si="27"/>
        <v>0</v>
      </c>
      <c r="V49" s="20">
        <f t="shared" ca="1" si="28"/>
        <v>-0.5</v>
      </c>
      <c r="W49" s="21">
        <f t="shared" ca="1" si="29"/>
        <v>3</v>
      </c>
      <c r="X49" s="21">
        <f t="shared" ca="1" si="22"/>
        <v>-3</v>
      </c>
      <c r="Y49" s="2"/>
      <c r="Z49" s="2"/>
    </row>
    <row r="50" spans="1:26" ht="14.25" customHeight="1" x14ac:dyDescent="0.45">
      <c r="A50" s="12" t="s">
        <v>23</v>
      </c>
      <c r="B50" s="12" t="s">
        <v>65</v>
      </c>
      <c r="C50" s="13"/>
      <c r="D50" s="13"/>
      <c r="E50" s="13" t="str">
        <f t="shared" ca="1" si="15"/>
        <v/>
      </c>
      <c r="F50" s="15" t="str">
        <f t="shared" ca="1" si="16"/>
        <v/>
      </c>
      <c r="G50" s="16" t="str">
        <f t="shared" ca="1" si="17"/>
        <v/>
      </c>
      <c r="H50" s="13"/>
      <c r="I50" s="13" t="str">
        <f t="shared" ca="1" si="18"/>
        <v/>
      </c>
      <c r="J50" s="15" t="str">
        <f t="shared" ca="1" si="19"/>
        <v/>
      </c>
      <c r="K50" s="16" t="str">
        <f t="shared" ca="1" si="20"/>
        <v/>
      </c>
      <c r="L50" s="13" t="str">
        <f t="shared" si="23"/>
        <v/>
      </c>
      <c r="M50" s="13" t="str">
        <f t="shared" si="24"/>
        <v/>
      </c>
      <c r="N50" s="13"/>
      <c r="O50" s="15" t="str">
        <f t="shared" ca="1" si="21"/>
        <v/>
      </c>
      <c r="P50" s="2"/>
      <c r="Q50" s="2"/>
      <c r="R50" s="2"/>
      <c r="S50" s="18">
        <f t="shared" ca="1" si="25"/>
        <v>3.0370370370370372</v>
      </c>
      <c r="T50" s="20" t="str">
        <f t="shared" ca="1" si="26"/>
        <v/>
      </c>
      <c r="U50" s="18">
        <f t="shared" ca="1" si="27"/>
        <v>-0.25</v>
      </c>
      <c r="V50" s="20" t="str">
        <f t="shared" ca="1" si="28"/>
        <v/>
      </c>
      <c r="W50" s="21">
        <f t="shared" ca="1" si="29"/>
        <v>0</v>
      </c>
      <c r="X50" s="21" t="str">
        <f t="shared" ca="1" si="22"/>
        <v/>
      </c>
      <c r="Y50" s="2"/>
      <c r="Z50" s="2"/>
    </row>
    <row r="51" spans="1:26" ht="14.25" customHeight="1" x14ac:dyDescent="0.45">
      <c r="A51" s="25"/>
      <c r="B51" s="25" t="s">
        <v>67</v>
      </c>
      <c r="C51" s="26">
        <f>SUM(C31:C50)</f>
        <v>1190</v>
      </c>
      <c r="D51" s="26">
        <f>SUM(D31:D50)</f>
        <v>177893</v>
      </c>
      <c r="E51" s="26">
        <f ca="1">SUM(E31:E50)</f>
        <v>210483</v>
      </c>
      <c r="F51" s="27">
        <f ca="1">SUM(F31:F50)</f>
        <v>-32590</v>
      </c>
      <c r="G51" s="28">
        <f ca="1">IF(C51=0,"",IFERROR(F51/E51,""))</f>
        <v>-0.15483435716898752</v>
      </c>
      <c r="H51" s="26">
        <f>SUM(H31:H50)</f>
        <v>1166</v>
      </c>
      <c r="I51" s="26">
        <f ca="1">SUM(I31:I50)</f>
        <v>1421</v>
      </c>
      <c r="J51" s="27">
        <f ca="1">SUM(J31:J50)</f>
        <v>-255</v>
      </c>
      <c r="K51" s="28">
        <f ca="1">IF(C51=0,"",IFERROR(J51/I51,""))</f>
        <v>-0.17945109078114005</v>
      </c>
      <c r="L51" s="26">
        <f t="shared" si="23"/>
        <v>149.48991596638655</v>
      </c>
      <c r="M51" s="26">
        <f t="shared" si="24"/>
        <v>6.5545018634797323</v>
      </c>
      <c r="N51" s="26">
        <f>SUM(N31:N50)</f>
        <v>89518</v>
      </c>
      <c r="O51" s="27">
        <f ca="1">SUM(O31:O50)</f>
        <v>14</v>
      </c>
      <c r="P51" s="2"/>
      <c r="Q51" s="2"/>
      <c r="R51" s="2"/>
      <c r="S51" s="29">
        <f t="shared" ca="1" si="25"/>
        <v>-0.47715807526327875</v>
      </c>
      <c r="T51" s="30">
        <f t="shared" ca="1" si="26"/>
        <v>0.32232371809429122</v>
      </c>
      <c r="U51" s="29">
        <f t="shared" ca="1" si="27"/>
        <v>-0.24364765669113495</v>
      </c>
      <c r="V51" s="30">
        <f t="shared" ca="1" si="28"/>
        <v>6.4196565909994896E-2</v>
      </c>
      <c r="W51" s="31">
        <f t="shared" ca="1" si="29"/>
        <v>48</v>
      </c>
      <c r="X51" s="31">
        <f ca="1">IF(OR(C51=0,$O51="",$W51=""),"",$O51-$W51)</f>
        <v>-34</v>
      </c>
      <c r="Y51" s="2"/>
      <c r="Z51" s="2"/>
    </row>
    <row r="52" spans="1:26" ht="14.25" customHeight="1" x14ac:dyDescent="0.45">
      <c r="A52" s="12" t="s">
        <v>24</v>
      </c>
      <c r="B52" s="12" t="s">
        <v>37</v>
      </c>
      <c r="C52" s="13">
        <v>141</v>
      </c>
      <c r="D52" s="13">
        <v>86846</v>
      </c>
      <c r="E52" s="13">
        <f t="shared" ref="E52:E73" ca="1" si="30">IF($D52="","",IFERROR(IF(ISBLANK(INDIRECT("'"&amp;$Q$2&amp;"'!D"&amp;ROW())),"",INDIRECT("'"&amp;$Q$2&amp;"'!D"&amp;ROW())),""))</f>
        <v>41618</v>
      </c>
      <c r="F52" s="15">
        <f t="shared" ref="F52:F73" ca="1" si="31">IF(OR(D52="",E52=""),"",D52-E52)</f>
        <v>45228</v>
      </c>
      <c r="G52" s="16">
        <f t="shared" ref="G52:G73" ca="1" si="32">IFERROR(F52/E52,"")</f>
        <v>1.0867413138545821</v>
      </c>
      <c r="H52" s="13">
        <v>262</v>
      </c>
      <c r="I52" s="13">
        <f t="shared" ref="I52:I73" ca="1" si="33">IF($H52="","",IFERROR(IF(ISBLANK(INDIRECT("'"&amp;$Q$2&amp;"'!H"&amp;ROW())),"",INDIRECT("'"&amp;$Q$2&amp;"'!H"&amp;ROW())),""))</f>
        <v>257</v>
      </c>
      <c r="J52" s="15">
        <f t="shared" ref="J52:J73" ca="1" si="34">IF(OR(H52="",I52=""),"",H52-I52)</f>
        <v>5</v>
      </c>
      <c r="K52" s="16">
        <f t="shared" ref="K52:K73" ca="1" si="35">IFERROR(J52/I52,"")</f>
        <v>1.9455252918287938E-2</v>
      </c>
      <c r="L52" s="13">
        <f t="shared" si="23"/>
        <v>615.92907801418437</v>
      </c>
      <c r="M52" s="13">
        <f t="shared" si="24"/>
        <v>3.0168343965179742</v>
      </c>
      <c r="N52" s="13">
        <v>11764</v>
      </c>
      <c r="O52" s="15">
        <f t="shared" ref="O52:O73" ca="1" si="36">IFERROR(IF(OR(N52="",ISBLANK(INDIRECT("'"&amp;$Q$2&amp;"'!N"&amp;ROW()))),"",N52-INDIRECT("'"&amp;$Q$2&amp;"'!N"&amp;ROW())),"")</f>
        <v>-25</v>
      </c>
      <c r="P52" s="2"/>
      <c r="Q52" s="2"/>
      <c r="R52" s="2"/>
      <c r="S52" s="18">
        <f t="shared" ca="1" si="25"/>
        <v>-0.46944239055607967</v>
      </c>
      <c r="T52" s="20">
        <f t="shared" ca="1" si="26"/>
        <v>1.5561837044106617</v>
      </c>
      <c r="U52" s="18">
        <f t="shared" ca="1" si="27"/>
        <v>-0.29781420765027322</v>
      </c>
      <c r="V52" s="20">
        <f t="shared" ca="1" si="28"/>
        <v>0.31726946056856115</v>
      </c>
      <c r="W52" s="21">
        <f t="shared" ca="1" si="29"/>
        <v>-22</v>
      </c>
      <c r="X52" s="21">
        <f t="shared" ref="X52:X73" ca="1" si="37">IF(OR($O52="",$W52=""),"",$O52-$W52)</f>
        <v>-3</v>
      </c>
      <c r="Y52" s="2"/>
      <c r="Z52" s="2"/>
    </row>
    <row r="53" spans="1:26" ht="14.25" customHeight="1" x14ac:dyDescent="0.45">
      <c r="A53" s="12" t="s">
        <v>24</v>
      </c>
      <c r="B53" s="12" t="s">
        <v>39</v>
      </c>
      <c r="C53" s="13">
        <v>135</v>
      </c>
      <c r="D53" s="13">
        <v>15751</v>
      </c>
      <c r="E53" s="13">
        <f t="shared" ca="1" si="30"/>
        <v>34910</v>
      </c>
      <c r="F53" s="15">
        <f t="shared" ca="1" si="31"/>
        <v>-19159</v>
      </c>
      <c r="G53" s="16">
        <f t="shared" ca="1" si="32"/>
        <v>-0.54881122887424805</v>
      </c>
      <c r="H53" s="13">
        <v>58</v>
      </c>
      <c r="I53" s="13">
        <f t="shared" ca="1" si="33"/>
        <v>41</v>
      </c>
      <c r="J53" s="15">
        <f t="shared" ca="1" si="34"/>
        <v>17</v>
      </c>
      <c r="K53" s="16">
        <f t="shared" ca="1" si="35"/>
        <v>0.41463414634146339</v>
      </c>
      <c r="L53" s="13">
        <f t="shared" si="23"/>
        <v>116.67407407407407</v>
      </c>
      <c r="M53" s="13">
        <f t="shared" si="24"/>
        <v>3.6823058853406132</v>
      </c>
      <c r="N53" s="13">
        <v>4811</v>
      </c>
      <c r="O53" s="15">
        <f t="shared" ca="1" si="36"/>
        <v>-6</v>
      </c>
      <c r="P53" s="2"/>
      <c r="Q53" s="2"/>
      <c r="R53" s="2"/>
      <c r="S53" s="18">
        <f t="shared" ca="1" si="25"/>
        <v>0.94311477234776797</v>
      </c>
      <c r="T53" s="20">
        <f t="shared" ca="1" si="26"/>
        <v>-1.4919260012220161</v>
      </c>
      <c r="U53" s="18">
        <f t="shared" ca="1" si="27"/>
        <v>-0.18</v>
      </c>
      <c r="V53" s="20">
        <f t="shared" ca="1" si="28"/>
        <v>0.59463414634146339</v>
      </c>
      <c r="W53" s="21">
        <f t="shared" ca="1" si="29"/>
        <v>2</v>
      </c>
      <c r="X53" s="21">
        <f t="shared" ca="1" si="37"/>
        <v>-8</v>
      </c>
      <c r="Y53" s="2"/>
      <c r="Z53" s="2"/>
    </row>
    <row r="54" spans="1:26" ht="14.25" customHeight="1" x14ac:dyDescent="0.45">
      <c r="A54" s="12" t="s">
        <v>24</v>
      </c>
      <c r="B54" s="12" t="s">
        <v>42</v>
      </c>
      <c r="C54" s="13">
        <v>85</v>
      </c>
      <c r="D54" s="13">
        <v>2041</v>
      </c>
      <c r="E54" s="13">
        <f t="shared" ca="1" si="30"/>
        <v>2614</v>
      </c>
      <c r="F54" s="15">
        <f t="shared" ca="1" si="31"/>
        <v>-573</v>
      </c>
      <c r="G54" s="16">
        <f t="shared" ca="1" si="32"/>
        <v>-0.21920428462127009</v>
      </c>
      <c r="H54" s="13">
        <v>2</v>
      </c>
      <c r="I54" s="13">
        <f t="shared" ca="1" si="33"/>
        <v>1</v>
      </c>
      <c r="J54" s="15">
        <f t="shared" ca="1" si="34"/>
        <v>1</v>
      </c>
      <c r="K54" s="16">
        <f t="shared" ca="1" si="35"/>
        <v>1</v>
      </c>
      <c r="L54" s="13">
        <f t="shared" si="23"/>
        <v>24.011764705882353</v>
      </c>
      <c r="M54" s="13">
        <f t="shared" si="24"/>
        <v>0.97991180793728561</v>
      </c>
      <c r="N54" s="13">
        <v>870</v>
      </c>
      <c r="O54" s="15">
        <f t="shared" ca="1" si="36"/>
        <v>-3</v>
      </c>
      <c r="P54" s="2"/>
      <c r="Q54" s="2"/>
      <c r="R54" s="2"/>
      <c r="S54" s="18">
        <f t="shared" ca="1" si="25"/>
        <v>0.12478485370051635</v>
      </c>
      <c r="T54" s="20">
        <f t="shared" ca="1" si="26"/>
        <v>-0.34398913832178646</v>
      </c>
      <c r="U54" s="18">
        <f t="shared" ca="1" si="27"/>
        <v>-0.5</v>
      </c>
      <c r="V54" s="20">
        <f t="shared" ca="1" si="28"/>
        <v>1.5</v>
      </c>
      <c r="W54" s="21">
        <f t="shared" ca="1" si="29"/>
        <v>-3</v>
      </c>
      <c r="X54" s="21">
        <f t="shared" ca="1" si="37"/>
        <v>0</v>
      </c>
      <c r="Y54" s="2"/>
      <c r="Z54" s="2"/>
    </row>
    <row r="55" spans="1:26" ht="14.25" customHeight="1" x14ac:dyDescent="0.45">
      <c r="A55" s="12" t="s">
        <v>24</v>
      </c>
      <c r="B55" s="12" t="s">
        <v>68</v>
      </c>
      <c r="C55" s="13">
        <v>8</v>
      </c>
      <c r="D55" s="13">
        <v>6440</v>
      </c>
      <c r="E55" s="13">
        <f t="shared" ca="1" si="30"/>
        <v>34446</v>
      </c>
      <c r="F55" s="15">
        <f t="shared" ca="1" si="31"/>
        <v>-28006</v>
      </c>
      <c r="G55" s="16">
        <f t="shared" ca="1" si="32"/>
        <v>-0.81304070138767925</v>
      </c>
      <c r="H55" s="13">
        <v>59</v>
      </c>
      <c r="I55" s="13">
        <f t="shared" ca="1" si="33"/>
        <v>28</v>
      </c>
      <c r="J55" s="15">
        <f t="shared" ca="1" si="34"/>
        <v>31</v>
      </c>
      <c r="K55" s="16">
        <f t="shared" ca="1" si="35"/>
        <v>1.1071428571428572</v>
      </c>
      <c r="L55" s="13">
        <f t="shared" si="23"/>
        <v>805</v>
      </c>
      <c r="M55" s="13">
        <f t="shared" si="24"/>
        <v>9.1614906832298146</v>
      </c>
      <c r="N55" s="13">
        <v>13799</v>
      </c>
      <c r="O55" s="15">
        <f t="shared" ca="1" si="36"/>
        <v>-20</v>
      </c>
      <c r="P55" s="2"/>
      <c r="Q55" s="2"/>
      <c r="R55" s="2"/>
      <c r="S55" s="18">
        <f t="shared" ca="1" si="25"/>
        <v>0.35603495787733247</v>
      </c>
      <c r="T55" s="20">
        <f t="shared" ca="1" si="26"/>
        <v>-1.1690756592650118</v>
      </c>
      <c r="U55" s="18">
        <f t="shared" ca="1" si="27"/>
        <v>-9.6774193548387094E-2</v>
      </c>
      <c r="V55" s="20">
        <f t="shared" ca="1" si="28"/>
        <v>1.2039170506912442</v>
      </c>
      <c r="W55" s="21">
        <f t="shared" ca="1" si="29"/>
        <v>-16</v>
      </c>
      <c r="X55" s="21">
        <f t="shared" ca="1" si="37"/>
        <v>-4</v>
      </c>
      <c r="Y55" s="2"/>
      <c r="Z55" s="2"/>
    </row>
    <row r="56" spans="1:26" ht="14.25" customHeight="1" x14ac:dyDescent="0.45">
      <c r="A56" s="12" t="s">
        <v>24</v>
      </c>
      <c r="B56" s="12" t="s">
        <v>69</v>
      </c>
      <c r="C56" s="13">
        <v>8</v>
      </c>
      <c r="D56" s="13">
        <v>2278</v>
      </c>
      <c r="E56" s="13">
        <f t="shared" ca="1" si="30"/>
        <v>1684</v>
      </c>
      <c r="F56" s="15">
        <f t="shared" ca="1" si="31"/>
        <v>594</v>
      </c>
      <c r="G56" s="16">
        <f t="shared" ca="1" si="32"/>
        <v>0.35273159144893113</v>
      </c>
      <c r="H56" s="13">
        <v>12</v>
      </c>
      <c r="I56" s="13">
        <f t="shared" ca="1" si="33"/>
        <v>10</v>
      </c>
      <c r="J56" s="15">
        <f t="shared" ca="1" si="34"/>
        <v>2</v>
      </c>
      <c r="K56" s="16">
        <f t="shared" ca="1" si="35"/>
        <v>0.2</v>
      </c>
      <c r="L56" s="13">
        <f t="shared" si="23"/>
        <v>284.75</v>
      </c>
      <c r="M56" s="13">
        <f t="shared" si="24"/>
        <v>5.2677787532923617</v>
      </c>
      <c r="N56" s="13">
        <v>8658</v>
      </c>
      <c r="O56" s="15">
        <f t="shared" ca="1" si="36"/>
        <v>-2</v>
      </c>
      <c r="P56" s="2"/>
      <c r="Q56" s="2"/>
      <c r="R56" s="2"/>
      <c r="S56" s="18">
        <f t="shared" ca="1" si="25"/>
        <v>3.2632911392405064</v>
      </c>
      <c r="T56" s="20">
        <f t="shared" ca="1" si="26"/>
        <v>-2.9105595477915753</v>
      </c>
      <c r="U56" s="18">
        <f t="shared" ca="1" si="27"/>
        <v>-0.33333333333333331</v>
      </c>
      <c r="V56" s="20">
        <f t="shared" ca="1" si="28"/>
        <v>0.53333333333333333</v>
      </c>
      <c r="W56" s="21">
        <f t="shared" ca="1" si="29"/>
        <v>-4</v>
      </c>
      <c r="X56" s="21">
        <f t="shared" ca="1" si="37"/>
        <v>2</v>
      </c>
      <c r="Y56" s="2"/>
      <c r="Z56" s="2"/>
    </row>
    <row r="57" spans="1:26" ht="14.25" customHeight="1" x14ac:dyDescent="0.45">
      <c r="A57" s="12" t="s">
        <v>24</v>
      </c>
      <c r="B57" s="12" t="s">
        <v>43</v>
      </c>
      <c r="C57" s="13">
        <v>104</v>
      </c>
      <c r="D57" s="13">
        <v>63521</v>
      </c>
      <c r="E57" s="13">
        <f t="shared" ca="1" si="30"/>
        <v>80456</v>
      </c>
      <c r="F57" s="15">
        <f t="shared" ca="1" si="31"/>
        <v>-16935</v>
      </c>
      <c r="G57" s="16">
        <f t="shared" ca="1" si="32"/>
        <v>-0.21048771999602267</v>
      </c>
      <c r="H57" s="13">
        <v>249</v>
      </c>
      <c r="I57" s="13">
        <f t="shared" ca="1" si="33"/>
        <v>347</v>
      </c>
      <c r="J57" s="15">
        <f t="shared" ca="1" si="34"/>
        <v>-98</v>
      </c>
      <c r="K57" s="16">
        <f t="shared" ca="1" si="35"/>
        <v>-0.28242074927953892</v>
      </c>
      <c r="L57" s="13">
        <f t="shared" si="23"/>
        <v>610.77884615384619</v>
      </c>
      <c r="M57" s="13">
        <f t="shared" si="24"/>
        <v>3.9199634766455183</v>
      </c>
      <c r="N57" s="13">
        <v>10881</v>
      </c>
      <c r="O57" s="15">
        <f t="shared" ca="1" si="36"/>
        <v>-31</v>
      </c>
      <c r="P57" s="2"/>
      <c r="Q57" s="2"/>
      <c r="R57" s="2"/>
      <c r="S57" s="18">
        <f t="shared" ca="1" si="25"/>
        <v>-0.31016625082525229</v>
      </c>
      <c r="T57" s="20">
        <f t="shared" ca="1" si="26"/>
        <v>9.9678530829229617E-2</v>
      </c>
      <c r="U57" s="18">
        <f t="shared" ca="1" si="27"/>
        <v>-0.38365896980461811</v>
      </c>
      <c r="V57" s="20">
        <f t="shared" ca="1" si="28"/>
        <v>0.10123822052507919</v>
      </c>
      <c r="W57" s="21">
        <f t="shared" ca="1" si="29"/>
        <v>-16</v>
      </c>
      <c r="X57" s="21">
        <f t="shared" ca="1" si="37"/>
        <v>-15</v>
      </c>
      <c r="Y57" s="2"/>
      <c r="Z57" s="2"/>
    </row>
    <row r="58" spans="1:26" ht="14.25" customHeight="1" x14ac:dyDescent="0.45">
      <c r="A58" s="12" t="s">
        <v>24</v>
      </c>
      <c r="B58" s="12" t="s">
        <v>44</v>
      </c>
      <c r="C58" s="13">
        <v>93</v>
      </c>
      <c r="D58" s="13">
        <v>21693</v>
      </c>
      <c r="E58" s="13">
        <f t="shared" ca="1" si="30"/>
        <v>24487</v>
      </c>
      <c r="F58" s="15">
        <f t="shared" ca="1" si="31"/>
        <v>-2794</v>
      </c>
      <c r="G58" s="16">
        <f t="shared" ca="1" si="32"/>
        <v>-0.11410135990525586</v>
      </c>
      <c r="H58" s="13">
        <v>359</v>
      </c>
      <c r="I58" s="13">
        <f t="shared" ca="1" si="33"/>
        <v>280</v>
      </c>
      <c r="J58" s="15">
        <f t="shared" ca="1" si="34"/>
        <v>79</v>
      </c>
      <c r="K58" s="16">
        <f t="shared" ca="1" si="35"/>
        <v>0.28214285714285714</v>
      </c>
      <c r="L58" s="13">
        <f t="shared" si="23"/>
        <v>233.25806451612902</v>
      </c>
      <c r="M58" s="13">
        <f t="shared" si="24"/>
        <v>16.549117226755175</v>
      </c>
      <c r="N58" s="13">
        <v>4101</v>
      </c>
      <c r="O58" s="15">
        <f t="shared" ca="1" si="36"/>
        <v>-8</v>
      </c>
      <c r="P58" s="2"/>
      <c r="Q58" s="2"/>
      <c r="R58" s="2"/>
      <c r="S58" s="18">
        <f t="shared" ca="1" si="25"/>
        <v>0.12827719670091692</v>
      </c>
      <c r="T58" s="20">
        <f t="shared" ca="1" si="26"/>
        <v>-0.24237855660617277</v>
      </c>
      <c r="U58" s="18">
        <f t="shared" ca="1" si="27"/>
        <v>-4.4368600682593858E-2</v>
      </c>
      <c r="V58" s="20">
        <f t="shared" ca="1" si="28"/>
        <v>0.32651145782545099</v>
      </c>
      <c r="W58" s="21">
        <f t="shared" ca="1" si="29"/>
        <v>-11</v>
      </c>
      <c r="X58" s="21">
        <f t="shared" ca="1" si="37"/>
        <v>3</v>
      </c>
      <c r="Y58" s="2"/>
      <c r="Z58" s="2"/>
    </row>
    <row r="59" spans="1:26" ht="14.25" customHeight="1" x14ac:dyDescent="0.45">
      <c r="A59" s="12" t="s">
        <v>24</v>
      </c>
      <c r="B59" s="12" t="s">
        <v>45</v>
      </c>
      <c r="C59" s="13">
        <v>101</v>
      </c>
      <c r="D59" s="13">
        <v>33790</v>
      </c>
      <c r="E59" s="13">
        <f t="shared" ca="1" si="30"/>
        <v>37935</v>
      </c>
      <c r="F59" s="15">
        <f t="shared" ca="1" si="31"/>
        <v>-4145</v>
      </c>
      <c r="G59" s="16">
        <f t="shared" ca="1" si="32"/>
        <v>-0.10926584947937261</v>
      </c>
      <c r="H59" s="13">
        <v>258</v>
      </c>
      <c r="I59" s="13">
        <f t="shared" ca="1" si="33"/>
        <v>235</v>
      </c>
      <c r="J59" s="15">
        <f t="shared" ca="1" si="34"/>
        <v>23</v>
      </c>
      <c r="K59" s="16">
        <f t="shared" ca="1" si="35"/>
        <v>9.7872340425531917E-2</v>
      </c>
      <c r="L59" s="13">
        <f t="shared" si="23"/>
        <v>334.55445544554453</v>
      </c>
      <c r="M59" s="13">
        <f t="shared" si="24"/>
        <v>7.6353950873039365</v>
      </c>
      <c r="N59" s="13">
        <v>5519</v>
      </c>
      <c r="O59" s="15">
        <f t="shared" ca="1" si="36"/>
        <v>-8</v>
      </c>
      <c r="P59" s="2"/>
      <c r="Q59" s="2"/>
      <c r="R59" s="2"/>
      <c r="S59" s="18">
        <f t="shared" ca="1" si="25"/>
        <v>7.43719731513212E-2</v>
      </c>
      <c r="T59" s="20">
        <f t="shared" ca="1" si="26"/>
        <v>-0.18363782263069381</v>
      </c>
      <c r="U59" s="18">
        <f t="shared" ca="1" si="27"/>
        <v>-0.12639405204460966</v>
      </c>
      <c r="V59" s="20">
        <f t="shared" ca="1" si="28"/>
        <v>0.22426639247014157</v>
      </c>
      <c r="W59" s="21">
        <f t="shared" ca="1" si="29"/>
        <v>-22</v>
      </c>
      <c r="X59" s="21">
        <f t="shared" ca="1" si="37"/>
        <v>14</v>
      </c>
      <c r="Y59" s="2"/>
      <c r="Z59" s="2"/>
    </row>
    <row r="60" spans="1:26" ht="14.25" customHeight="1" x14ac:dyDescent="0.45">
      <c r="A60" s="12" t="s">
        <v>24</v>
      </c>
      <c r="B60" s="12" t="s">
        <v>46</v>
      </c>
      <c r="C60" s="13">
        <v>138</v>
      </c>
      <c r="D60" s="13">
        <v>61713</v>
      </c>
      <c r="E60" s="13">
        <f t="shared" ca="1" si="30"/>
        <v>65888</v>
      </c>
      <c r="F60" s="15">
        <f t="shared" ca="1" si="31"/>
        <v>-4175</v>
      </c>
      <c r="G60" s="16">
        <f t="shared" ca="1" si="32"/>
        <v>-6.3365104419621177E-2</v>
      </c>
      <c r="H60" s="13">
        <v>260</v>
      </c>
      <c r="I60" s="13">
        <f t="shared" ca="1" si="33"/>
        <v>167</v>
      </c>
      <c r="J60" s="15">
        <f t="shared" ca="1" si="34"/>
        <v>93</v>
      </c>
      <c r="K60" s="16">
        <f t="shared" ca="1" si="35"/>
        <v>0.55688622754491013</v>
      </c>
      <c r="L60" s="13">
        <f t="shared" si="23"/>
        <v>447.19565217391306</v>
      </c>
      <c r="M60" s="13">
        <f t="shared" si="24"/>
        <v>4.2130507348532724</v>
      </c>
      <c r="N60" s="13">
        <v>10403</v>
      </c>
      <c r="O60" s="15">
        <f t="shared" ca="1" si="36"/>
        <v>-19</v>
      </c>
      <c r="P60" s="2"/>
      <c r="Q60" s="2"/>
      <c r="R60" s="2"/>
      <c r="S60" s="18">
        <f t="shared" ca="1" si="25"/>
        <v>-8.2799710451584158E-2</v>
      </c>
      <c r="T60" s="20">
        <f t="shared" ca="1" si="26"/>
        <v>1.9434606031962981E-2</v>
      </c>
      <c r="U60" s="18">
        <f t="shared" ca="1" si="27"/>
        <v>-0.37453183520599254</v>
      </c>
      <c r="V60" s="20">
        <f t="shared" ca="1" si="28"/>
        <v>0.93141806275090266</v>
      </c>
      <c r="W60" s="21">
        <f t="shared" ca="1" si="29"/>
        <v>-25</v>
      </c>
      <c r="X60" s="21">
        <f t="shared" ca="1" si="37"/>
        <v>6</v>
      </c>
      <c r="Y60" s="2"/>
      <c r="Z60" s="2"/>
    </row>
    <row r="61" spans="1:26" ht="14.25" customHeight="1" x14ac:dyDescent="0.45">
      <c r="A61" s="12" t="s">
        <v>24</v>
      </c>
      <c r="B61" s="12" t="s">
        <v>47</v>
      </c>
      <c r="C61" s="13">
        <v>112</v>
      </c>
      <c r="D61" s="13">
        <v>13926</v>
      </c>
      <c r="E61" s="13">
        <f t="shared" ca="1" si="30"/>
        <v>42793</v>
      </c>
      <c r="F61" s="15">
        <f t="shared" ca="1" si="31"/>
        <v>-28867</v>
      </c>
      <c r="G61" s="16">
        <f t="shared" ca="1" si="32"/>
        <v>-0.67457294417311242</v>
      </c>
      <c r="H61" s="13">
        <v>164</v>
      </c>
      <c r="I61" s="13">
        <f t="shared" ca="1" si="33"/>
        <v>131</v>
      </c>
      <c r="J61" s="15">
        <f t="shared" ca="1" si="34"/>
        <v>33</v>
      </c>
      <c r="K61" s="16">
        <f t="shared" ca="1" si="35"/>
        <v>0.25190839694656486</v>
      </c>
      <c r="L61" s="13">
        <f t="shared" si="23"/>
        <v>124.33928571428571</v>
      </c>
      <c r="M61" s="13">
        <f t="shared" si="24"/>
        <v>11.776533103547322</v>
      </c>
      <c r="N61" s="13">
        <v>2312</v>
      </c>
      <c r="O61" s="15">
        <f t="shared" ca="1" si="36"/>
        <v>-5</v>
      </c>
      <c r="P61" s="2"/>
      <c r="Q61" s="2"/>
      <c r="R61" s="2"/>
      <c r="S61" s="18">
        <f t="shared" ca="1" si="25"/>
        <v>3.183088954056696</v>
      </c>
      <c r="T61" s="20">
        <f t="shared" ca="1" si="26"/>
        <v>-3.8576618982298085</v>
      </c>
      <c r="U61" s="18">
        <f t="shared" ca="1" si="27"/>
        <v>0.48863636363636365</v>
      </c>
      <c r="V61" s="20">
        <f t="shared" ca="1" si="28"/>
        <v>-0.23672796668979879</v>
      </c>
      <c r="W61" s="21">
        <f t="shared" ca="1" si="29"/>
        <v>-2</v>
      </c>
      <c r="X61" s="21">
        <f t="shared" ca="1" si="37"/>
        <v>-3</v>
      </c>
      <c r="Y61" s="2"/>
      <c r="Z61" s="2"/>
    </row>
    <row r="62" spans="1:26" ht="14.25" customHeight="1" x14ac:dyDescent="0.45">
      <c r="A62" s="12" t="s">
        <v>24</v>
      </c>
      <c r="B62" s="12" t="s">
        <v>48</v>
      </c>
      <c r="C62" s="13">
        <v>65</v>
      </c>
      <c r="D62" s="13">
        <v>5247</v>
      </c>
      <c r="E62" s="13">
        <f t="shared" ca="1" si="30"/>
        <v>6106</v>
      </c>
      <c r="F62" s="15">
        <f t="shared" ca="1" si="31"/>
        <v>-859</v>
      </c>
      <c r="G62" s="16">
        <f t="shared" ca="1" si="32"/>
        <v>-0.14068129708483459</v>
      </c>
      <c r="H62" s="13">
        <v>18</v>
      </c>
      <c r="I62" s="13">
        <f t="shared" ca="1" si="33"/>
        <v>43</v>
      </c>
      <c r="J62" s="15">
        <f t="shared" ca="1" si="34"/>
        <v>-25</v>
      </c>
      <c r="K62" s="16">
        <f t="shared" ca="1" si="35"/>
        <v>-0.58139534883720934</v>
      </c>
      <c r="L62" s="13">
        <f t="shared" si="23"/>
        <v>80.723076923076917</v>
      </c>
      <c r="M62" s="13">
        <f t="shared" si="24"/>
        <v>3.4305317324185247</v>
      </c>
      <c r="N62" s="13">
        <v>1372</v>
      </c>
      <c r="O62" s="15">
        <f t="shared" ca="1" si="36"/>
        <v>-4</v>
      </c>
      <c r="P62" s="2"/>
      <c r="Q62" s="2"/>
      <c r="R62" s="2"/>
      <c r="S62" s="18">
        <f t="shared" ca="1" si="25"/>
        <v>0.57411704047434908</v>
      </c>
      <c r="T62" s="20">
        <f t="shared" ca="1" si="26"/>
        <v>-0.71479833755918365</v>
      </c>
      <c r="U62" s="18">
        <f t="shared" ca="1" si="27"/>
        <v>-0.42666666666666669</v>
      </c>
      <c r="V62" s="20">
        <f t="shared" ca="1" si="28"/>
        <v>-0.15472868217054264</v>
      </c>
      <c r="W62" s="21">
        <f t="shared" ca="1" si="29"/>
        <v>-6</v>
      </c>
      <c r="X62" s="21">
        <f t="shared" ca="1" si="37"/>
        <v>2</v>
      </c>
      <c r="Y62" s="2"/>
      <c r="Z62" s="2"/>
    </row>
    <row r="63" spans="1:26" ht="14.25" customHeight="1" x14ac:dyDescent="0.45">
      <c r="A63" s="12" t="s">
        <v>24</v>
      </c>
      <c r="B63" s="12" t="s">
        <v>49</v>
      </c>
      <c r="C63" s="13">
        <v>58</v>
      </c>
      <c r="D63" s="13">
        <v>19689</v>
      </c>
      <c r="E63" s="13">
        <f t="shared" ca="1" si="30"/>
        <v>26252</v>
      </c>
      <c r="F63" s="15">
        <f t="shared" ca="1" si="31"/>
        <v>-6563</v>
      </c>
      <c r="G63" s="16">
        <f t="shared" ca="1" si="32"/>
        <v>-0.25</v>
      </c>
      <c r="H63" s="13">
        <v>58</v>
      </c>
      <c r="I63" s="13">
        <f t="shared" ca="1" si="33"/>
        <v>80</v>
      </c>
      <c r="J63" s="15">
        <f t="shared" ca="1" si="34"/>
        <v>-22</v>
      </c>
      <c r="K63" s="16">
        <f t="shared" ca="1" si="35"/>
        <v>-0.27500000000000002</v>
      </c>
      <c r="L63" s="13">
        <f t="shared" si="23"/>
        <v>339.4655172413793</v>
      </c>
      <c r="M63" s="13">
        <f t="shared" si="24"/>
        <v>2.9458073035705215</v>
      </c>
      <c r="N63" s="13">
        <v>5634</v>
      </c>
      <c r="O63" s="15">
        <f t="shared" ca="1" si="36"/>
        <v>-23</v>
      </c>
      <c r="P63" s="2"/>
      <c r="Q63" s="2"/>
      <c r="R63" s="2"/>
      <c r="S63" s="18">
        <f t="shared" ca="1" si="25"/>
        <v>0.19484775385735742</v>
      </c>
      <c r="T63" s="20">
        <f t="shared" ca="1" si="26"/>
        <v>-0.44484775385735742</v>
      </c>
      <c r="U63" s="18">
        <f t="shared" ca="1" si="27"/>
        <v>-0.2982456140350877</v>
      </c>
      <c r="V63" s="20">
        <f t="shared" ca="1" si="28"/>
        <v>2.3245614035087681E-2</v>
      </c>
      <c r="W63" s="21">
        <f t="shared" ca="1" si="29"/>
        <v>-9</v>
      </c>
      <c r="X63" s="21">
        <f t="shared" ca="1" si="37"/>
        <v>-14</v>
      </c>
      <c r="Y63" s="2"/>
      <c r="Z63" s="2"/>
    </row>
    <row r="64" spans="1:26" ht="14.25" customHeight="1" x14ac:dyDescent="0.45">
      <c r="A64" s="12" t="s">
        <v>24</v>
      </c>
      <c r="B64" s="12" t="s">
        <v>50</v>
      </c>
      <c r="C64" s="13">
        <v>56</v>
      </c>
      <c r="D64" s="13">
        <v>6279</v>
      </c>
      <c r="E64" s="13">
        <f t="shared" ca="1" si="30"/>
        <v>5588</v>
      </c>
      <c r="F64" s="15">
        <f t="shared" ca="1" si="31"/>
        <v>691</v>
      </c>
      <c r="G64" s="16">
        <f t="shared" ca="1" si="32"/>
        <v>0.12365783822476736</v>
      </c>
      <c r="H64" s="13">
        <v>8</v>
      </c>
      <c r="I64" s="13">
        <f t="shared" ca="1" si="33"/>
        <v>3</v>
      </c>
      <c r="J64" s="15">
        <f t="shared" ca="1" si="34"/>
        <v>5</v>
      </c>
      <c r="K64" s="16">
        <f t="shared" ca="1" si="35"/>
        <v>1.6666666666666667</v>
      </c>
      <c r="L64" s="13">
        <f t="shared" si="23"/>
        <v>112.125</v>
      </c>
      <c r="M64" s="13">
        <f t="shared" si="24"/>
        <v>1.2740882306099697</v>
      </c>
      <c r="N64" s="13">
        <v>1818</v>
      </c>
      <c r="O64" s="15">
        <f t="shared" ca="1" si="36"/>
        <v>-5</v>
      </c>
      <c r="P64" s="2"/>
      <c r="Q64" s="2"/>
      <c r="R64" s="2"/>
      <c r="S64" s="18">
        <f t="shared" ca="1" si="25"/>
        <v>0.44057746841969581</v>
      </c>
      <c r="T64" s="20">
        <f t="shared" ca="1" si="26"/>
        <v>-0.31691963019492841</v>
      </c>
      <c r="U64" s="18">
        <f t="shared" ca="1" si="27"/>
        <v>-0.25</v>
      </c>
      <c r="V64" s="20">
        <f t="shared" ca="1" si="28"/>
        <v>1.9166666666666667</v>
      </c>
      <c r="W64" s="21">
        <f t="shared" ca="1" si="29"/>
        <v>0</v>
      </c>
      <c r="X64" s="21">
        <f t="shared" ca="1" si="37"/>
        <v>-5</v>
      </c>
      <c r="Y64" s="2"/>
      <c r="Z64" s="2"/>
    </row>
    <row r="65" spans="1:26" ht="14.25" customHeight="1" x14ac:dyDescent="0.45">
      <c r="A65" s="12" t="s">
        <v>24</v>
      </c>
      <c r="B65" s="12" t="s">
        <v>51</v>
      </c>
      <c r="C65" s="13">
        <v>34</v>
      </c>
      <c r="D65" s="13">
        <v>2837</v>
      </c>
      <c r="E65" s="13">
        <f t="shared" ca="1" si="30"/>
        <v>3817</v>
      </c>
      <c r="F65" s="15">
        <f t="shared" ca="1" si="31"/>
        <v>-980</v>
      </c>
      <c r="G65" s="16">
        <f t="shared" ca="1" si="32"/>
        <v>-0.25674613570867172</v>
      </c>
      <c r="H65" s="13">
        <v>4</v>
      </c>
      <c r="I65" s="13">
        <f t="shared" ca="1" si="33"/>
        <v>3</v>
      </c>
      <c r="J65" s="15">
        <f t="shared" ca="1" si="34"/>
        <v>1</v>
      </c>
      <c r="K65" s="16">
        <f t="shared" ca="1" si="35"/>
        <v>0.33333333333333331</v>
      </c>
      <c r="L65" s="13">
        <f t="shared" si="23"/>
        <v>83.441176470588232</v>
      </c>
      <c r="M65" s="13">
        <f t="shared" si="24"/>
        <v>1.4099400775467041</v>
      </c>
      <c r="N65" s="13">
        <v>868</v>
      </c>
      <c r="O65" s="15">
        <f t="shared" ca="1" si="36"/>
        <v>-4</v>
      </c>
      <c r="P65" s="2"/>
      <c r="Q65" s="2"/>
      <c r="R65" s="2"/>
      <c r="S65" s="18">
        <f t="shared" ca="1" si="25"/>
        <v>0.38497822931785197</v>
      </c>
      <c r="T65" s="20">
        <f t="shared" ca="1" si="26"/>
        <v>-0.64172436502652364</v>
      </c>
      <c r="U65" s="18">
        <f t="shared" ca="1" si="27"/>
        <v>-0.4</v>
      </c>
      <c r="V65" s="20">
        <f t="shared" ca="1" si="28"/>
        <v>0.73333333333333339</v>
      </c>
      <c r="W65" s="21">
        <f t="shared" ca="1" si="29"/>
        <v>-1</v>
      </c>
      <c r="X65" s="21">
        <f t="shared" ca="1" si="37"/>
        <v>-3</v>
      </c>
      <c r="Y65" s="2"/>
      <c r="Z65" s="2"/>
    </row>
    <row r="66" spans="1:26" ht="14.25" customHeight="1" x14ac:dyDescent="0.45">
      <c r="A66" s="12" t="s">
        <v>24</v>
      </c>
      <c r="B66" s="12" t="s">
        <v>52</v>
      </c>
      <c r="C66" s="13">
        <v>51</v>
      </c>
      <c r="D66" s="13">
        <v>3969</v>
      </c>
      <c r="E66" s="13">
        <f t="shared" ca="1" si="30"/>
        <v>4122</v>
      </c>
      <c r="F66" s="15">
        <f t="shared" ca="1" si="31"/>
        <v>-153</v>
      </c>
      <c r="G66" s="16">
        <f t="shared" ca="1" si="32"/>
        <v>-3.7117903930131008E-2</v>
      </c>
      <c r="H66" s="13">
        <v>11</v>
      </c>
      <c r="I66" s="13">
        <f t="shared" ca="1" si="33"/>
        <v>13</v>
      </c>
      <c r="J66" s="15">
        <f t="shared" ca="1" si="34"/>
        <v>-2</v>
      </c>
      <c r="K66" s="16">
        <f t="shared" ca="1" si="35"/>
        <v>-0.15384615384615385</v>
      </c>
      <c r="L66" s="13">
        <f t="shared" si="23"/>
        <v>77.82352941176471</v>
      </c>
      <c r="M66" s="13">
        <f t="shared" si="24"/>
        <v>2.7714789619551521</v>
      </c>
      <c r="N66" s="13">
        <v>847</v>
      </c>
      <c r="O66" s="15">
        <f t="shared" ca="1" si="36"/>
        <v>-7</v>
      </c>
      <c r="P66" s="2"/>
      <c r="Q66" s="2"/>
      <c r="R66" s="2"/>
      <c r="S66" s="18">
        <f t="shared" ca="1" si="25"/>
        <v>0.18075050128902892</v>
      </c>
      <c r="T66" s="20">
        <f t="shared" ca="1" si="26"/>
        <v>-0.21786840521915993</v>
      </c>
      <c r="U66" s="18">
        <f t="shared" ca="1" si="27"/>
        <v>0.625</v>
      </c>
      <c r="V66" s="20">
        <f t="shared" ca="1" si="28"/>
        <v>-0.77884615384615385</v>
      </c>
      <c r="W66" s="21">
        <f t="shared" ca="1" si="29"/>
        <v>1</v>
      </c>
      <c r="X66" s="21">
        <f t="shared" ca="1" si="37"/>
        <v>-8</v>
      </c>
      <c r="Y66" s="2"/>
      <c r="Z66" s="2"/>
    </row>
    <row r="67" spans="1:26" ht="14.25" customHeight="1" x14ac:dyDescent="0.45">
      <c r="A67" s="12" t="s">
        <v>24</v>
      </c>
      <c r="B67" s="12" t="s">
        <v>53</v>
      </c>
      <c r="C67" s="13">
        <v>58</v>
      </c>
      <c r="D67" s="13">
        <v>6617</v>
      </c>
      <c r="E67" s="13">
        <f t="shared" ca="1" si="30"/>
        <v>1940</v>
      </c>
      <c r="F67" s="15">
        <f t="shared" ca="1" si="31"/>
        <v>4677</v>
      </c>
      <c r="G67" s="16">
        <f t="shared" ca="1" si="32"/>
        <v>2.4108247422680411</v>
      </c>
      <c r="H67" s="13">
        <v>70</v>
      </c>
      <c r="I67" s="13">
        <f t="shared" ca="1" si="33"/>
        <v>21</v>
      </c>
      <c r="J67" s="15">
        <f t="shared" ca="1" si="34"/>
        <v>49</v>
      </c>
      <c r="K67" s="16">
        <f t="shared" ca="1" si="35"/>
        <v>2.3333333333333335</v>
      </c>
      <c r="L67" s="13">
        <f t="shared" ref="L67:L97" si="38">IFERROR(D67/C67,"")</f>
        <v>114.08620689655173</v>
      </c>
      <c r="M67" s="13">
        <f t="shared" ref="M67:M97" si="39">IFERROR(H67/D67*1000,"")</f>
        <v>10.578812150521383</v>
      </c>
      <c r="N67" s="13">
        <v>1164</v>
      </c>
      <c r="O67" s="15">
        <f t="shared" ca="1" si="36"/>
        <v>-5</v>
      </c>
      <c r="P67" s="2"/>
      <c r="Q67" s="2"/>
      <c r="R67" s="2"/>
      <c r="S67" s="18">
        <f t="shared" ref="S67:S97" ca="1" si="40">IFERROR(IF(ISBLANK(INDIRECT("'"&amp;$Q$2&amp;"'!G"&amp;ROW())),"",INDIRECT("'"&amp;$Q$2&amp;"'!G"&amp;ROW())),"")</f>
        <v>-0.48866631523458093</v>
      </c>
      <c r="T67" s="20">
        <f t="shared" ref="T67:T97" ca="1" si="41">IF(OR($G67="",$S67=""),"",$G67-$S67)</f>
        <v>2.899491057502622</v>
      </c>
      <c r="U67" s="18">
        <f t="shared" ref="U67:U97" ca="1" si="42">IFERROR(IF(ISBLANK(INDIRECT("'"&amp;$Q$2&amp;"'!K"&amp;ROW())),"",INDIRECT("'"&amp;$Q$2&amp;"'!K"&amp;ROW())),"")</f>
        <v>0.23529411764705882</v>
      </c>
      <c r="V67" s="20">
        <f t="shared" ref="V67:V97" ca="1" si="43">IF(OR($K67="",$U67=""),"",$K67-$U67)</f>
        <v>2.0980392156862746</v>
      </c>
      <c r="W67" s="21">
        <f t="shared" ref="W67:W97" ca="1" si="44">IFERROR(IF(ISBLANK(INDIRECT("'"&amp;$Q$2&amp;"'!O"&amp;ROW())),"",INDIRECT("'"&amp;$Q$2&amp;"'!O"&amp;ROW())),"")</f>
        <v>-2</v>
      </c>
      <c r="X67" s="21">
        <f t="shared" ca="1" si="37"/>
        <v>-3</v>
      </c>
      <c r="Y67" s="2"/>
      <c r="Z67" s="2"/>
    </row>
    <row r="68" spans="1:26" ht="14.25" customHeight="1" x14ac:dyDescent="0.45">
      <c r="A68" s="12" t="s">
        <v>24</v>
      </c>
      <c r="B68" s="12" t="s">
        <v>54</v>
      </c>
      <c r="C68" s="13">
        <v>61</v>
      </c>
      <c r="D68" s="13">
        <v>19788</v>
      </c>
      <c r="E68" s="13">
        <f t="shared" ca="1" si="30"/>
        <v>21799</v>
      </c>
      <c r="F68" s="15">
        <f t="shared" ca="1" si="31"/>
        <v>-2011</v>
      </c>
      <c r="G68" s="16">
        <f t="shared" ca="1" si="32"/>
        <v>-9.2251938162301025E-2</v>
      </c>
      <c r="H68" s="13">
        <v>84</v>
      </c>
      <c r="I68" s="13">
        <f t="shared" ca="1" si="33"/>
        <v>81</v>
      </c>
      <c r="J68" s="15">
        <f t="shared" ca="1" si="34"/>
        <v>3</v>
      </c>
      <c r="K68" s="16">
        <f t="shared" ca="1" si="35"/>
        <v>3.7037037037037035E-2</v>
      </c>
      <c r="L68" s="13">
        <f t="shared" si="38"/>
        <v>324.39344262295083</v>
      </c>
      <c r="M68" s="13">
        <f t="shared" si="39"/>
        <v>4.2449969678593087</v>
      </c>
      <c r="N68" s="13">
        <v>4401</v>
      </c>
      <c r="O68" s="15">
        <f t="shared" ca="1" si="36"/>
        <v>-3</v>
      </c>
      <c r="P68" s="2"/>
      <c r="Q68" s="2"/>
      <c r="R68" s="2"/>
      <c r="S68" s="18">
        <f t="shared" ca="1" si="40"/>
        <v>0.22873569697311313</v>
      </c>
      <c r="T68" s="20">
        <f t="shared" ca="1" si="41"/>
        <v>-0.32098763513541417</v>
      </c>
      <c r="U68" s="18">
        <f t="shared" ca="1" si="42"/>
        <v>-0.17346938775510204</v>
      </c>
      <c r="V68" s="20">
        <f t="shared" ca="1" si="43"/>
        <v>0.21050642479213907</v>
      </c>
      <c r="W68" s="21">
        <f t="shared" ca="1" si="44"/>
        <v>-19</v>
      </c>
      <c r="X68" s="21">
        <f t="shared" ca="1" si="37"/>
        <v>16</v>
      </c>
      <c r="Y68" s="2"/>
      <c r="Z68" s="2"/>
    </row>
    <row r="69" spans="1:26" ht="14.25" customHeight="1" x14ac:dyDescent="0.45">
      <c r="A69" s="12" t="s">
        <v>24</v>
      </c>
      <c r="B69" s="12" t="s">
        <v>55</v>
      </c>
      <c r="C69" s="13">
        <v>92</v>
      </c>
      <c r="D69" s="13">
        <v>37154</v>
      </c>
      <c r="E69" s="13">
        <f t="shared" ca="1" si="30"/>
        <v>39117</v>
      </c>
      <c r="F69" s="15">
        <f t="shared" ca="1" si="31"/>
        <v>-1963</v>
      </c>
      <c r="G69" s="16">
        <f t="shared" ca="1" si="32"/>
        <v>-5.0182784978398141E-2</v>
      </c>
      <c r="H69" s="13">
        <v>218</v>
      </c>
      <c r="I69" s="13">
        <f t="shared" ca="1" si="33"/>
        <v>357</v>
      </c>
      <c r="J69" s="15">
        <f t="shared" ca="1" si="34"/>
        <v>-139</v>
      </c>
      <c r="K69" s="16">
        <f t="shared" ca="1" si="35"/>
        <v>-0.38935574229691877</v>
      </c>
      <c r="L69" s="13">
        <f t="shared" si="38"/>
        <v>403.8478260869565</v>
      </c>
      <c r="M69" s="13">
        <f t="shared" si="39"/>
        <v>5.8674705280723476</v>
      </c>
      <c r="N69" s="13">
        <v>5487</v>
      </c>
      <c r="O69" s="15">
        <f t="shared" ca="1" si="36"/>
        <v>-19</v>
      </c>
      <c r="P69" s="2"/>
      <c r="Q69" s="2"/>
      <c r="R69" s="2"/>
      <c r="S69" s="18">
        <f t="shared" ca="1" si="40"/>
        <v>0.44098578059382598</v>
      </c>
      <c r="T69" s="20">
        <f t="shared" ca="1" si="41"/>
        <v>-0.4911685655722241</v>
      </c>
      <c r="U69" s="18">
        <f t="shared" ca="1" si="42"/>
        <v>0.3471698113207547</v>
      </c>
      <c r="V69" s="20">
        <f t="shared" ca="1" si="43"/>
        <v>-0.73652555361767347</v>
      </c>
      <c r="W69" s="21">
        <f t="shared" ca="1" si="44"/>
        <v>-22</v>
      </c>
      <c r="X69" s="21">
        <f t="shared" ca="1" si="37"/>
        <v>3</v>
      </c>
      <c r="Y69" s="2"/>
      <c r="Z69" s="2"/>
    </row>
    <row r="70" spans="1:26" ht="14.25" customHeight="1" x14ac:dyDescent="0.45">
      <c r="A70" s="12" t="s">
        <v>24</v>
      </c>
      <c r="B70" s="12" t="s">
        <v>62</v>
      </c>
      <c r="C70" s="13">
        <v>229</v>
      </c>
      <c r="D70" s="13">
        <v>4025</v>
      </c>
      <c r="E70" s="13">
        <f t="shared" ca="1" si="30"/>
        <v>3972</v>
      </c>
      <c r="F70" s="15">
        <f t="shared" ca="1" si="31"/>
        <v>53</v>
      </c>
      <c r="G70" s="16">
        <f t="shared" ca="1" si="32"/>
        <v>1.3343403826787512E-2</v>
      </c>
      <c r="H70" s="13">
        <v>2</v>
      </c>
      <c r="I70" s="13">
        <f t="shared" ca="1" si="33"/>
        <v>0</v>
      </c>
      <c r="J70" s="15">
        <f t="shared" ca="1" si="34"/>
        <v>2</v>
      </c>
      <c r="K70" s="16" t="str">
        <f t="shared" ca="1" si="35"/>
        <v/>
      </c>
      <c r="L70" s="13">
        <f t="shared" si="38"/>
        <v>17.5764192139738</v>
      </c>
      <c r="M70" s="13">
        <f t="shared" si="39"/>
        <v>0.49689440993788819</v>
      </c>
      <c r="N70" s="13">
        <v>689</v>
      </c>
      <c r="O70" s="15">
        <f t="shared" ca="1" si="36"/>
        <v>-3</v>
      </c>
      <c r="P70" s="2"/>
      <c r="Q70" s="2"/>
      <c r="R70" s="2"/>
      <c r="S70" s="18">
        <f t="shared" ca="1" si="40"/>
        <v>9.9160945842868033E-3</v>
      </c>
      <c r="T70" s="20">
        <f t="shared" ca="1" si="41"/>
        <v>3.4273092425007087E-3</v>
      </c>
      <c r="U70" s="18">
        <f t="shared" ca="1" si="42"/>
        <v>-1</v>
      </c>
      <c r="V70" s="20" t="str">
        <f t="shared" ca="1" si="43"/>
        <v/>
      </c>
      <c r="W70" s="21">
        <f t="shared" ca="1" si="44"/>
        <v>0</v>
      </c>
      <c r="X70" s="21">
        <f t="shared" ca="1" si="37"/>
        <v>-3</v>
      </c>
      <c r="Y70" s="2"/>
      <c r="Z70" s="2"/>
    </row>
    <row r="71" spans="1:26" ht="14.25" customHeight="1" x14ac:dyDescent="0.45">
      <c r="A71" s="12" t="s">
        <v>24</v>
      </c>
      <c r="B71" s="12" t="s">
        <v>56</v>
      </c>
      <c r="C71" s="13">
        <v>22</v>
      </c>
      <c r="D71" s="13">
        <v>4176</v>
      </c>
      <c r="E71" s="13">
        <f t="shared" ca="1" si="30"/>
        <v>5095</v>
      </c>
      <c r="F71" s="15">
        <f t="shared" ca="1" si="31"/>
        <v>-919</v>
      </c>
      <c r="G71" s="16">
        <f t="shared" ca="1" si="32"/>
        <v>-0.18037291462217861</v>
      </c>
      <c r="H71" s="13">
        <v>449</v>
      </c>
      <c r="I71" s="13">
        <f t="shared" ca="1" si="33"/>
        <v>486</v>
      </c>
      <c r="J71" s="15">
        <f t="shared" ca="1" si="34"/>
        <v>-37</v>
      </c>
      <c r="K71" s="16">
        <f t="shared" ca="1" si="35"/>
        <v>-7.6131687242798354E-2</v>
      </c>
      <c r="L71" s="13">
        <f t="shared" si="38"/>
        <v>189.81818181818181</v>
      </c>
      <c r="M71" s="13">
        <f t="shared" si="39"/>
        <v>107.51915708812261</v>
      </c>
      <c r="N71" s="13">
        <v>2481</v>
      </c>
      <c r="O71" s="15">
        <f t="shared" ca="1" si="36"/>
        <v>-11</v>
      </c>
      <c r="P71" s="2"/>
      <c r="Q71" s="2"/>
      <c r="R71" s="2"/>
      <c r="S71" s="18">
        <f t="shared" ca="1" si="40"/>
        <v>-0.2948096885813149</v>
      </c>
      <c r="T71" s="20">
        <f t="shared" ca="1" si="41"/>
        <v>0.11443677395913629</v>
      </c>
      <c r="U71" s="18">
        <f t="shared" ca="1" si="42"/>
        <v>-0.18319327731092436</v>
      </c>
      <c r="V71" s="20">
        <f t="shared" ca="1" si="43"/>
        <v>0.107061590068126</v>
      </c>
      <c r="W71" s="21">
        <f t="shared" ca="1" si="44"/>
        <v>-5</v>
      </c>
      <c r="X71" s="21">
        <f t="shared" ca="1" si="37"/>
        <v>-6</v>
      </c>
      <c r="Y71" s="2"/>
      <c r="Z71" s="2"/>
    </row>
    <row r="72" spans="1:26" ht="14.25" customHeight="1" x14ac:dyDescent="0.45">
      <c r="A72" s="12" t="s">
        <v>24</v>
      </c>
      <c r="B72" s="12" t="s">
        <v>61</v>
      </c>
      <c r="C72" s="13">
        <v>7</v>
      </c>
      <c r="D72" s="13">
        <v>172</v>
      </c>
      <c r="E72" s="13">
        <f t="shared" ca="1" si="30"/>
        <v>303</v>
      </c>
      <c r="F72" s="15">
        <f t="shared" ca="1" si="31"/>
        <v>-131</v>
      </c>
      <c r="G72" s="16">
        <f t="shared" ca="1" si="32"/>
        <v>-0.43234323432343236</v>
      </c>
      <c r="H72" s="13">
        <v>27</v>
      </c>
      <c r="I72" s="13">
        <f t="shared" ca="1" si="33"/>
        <v>20</v>
      </c>
      <c r="J72" s="15">
        <f t="shared" ca="1" si="34"/>
        <v>7</v>
      </c>
      <c r="K72" s="16">
        <f t="shared" ca="1" si="35"/>
        <v>0.35</v>
      </c>
      <c r="L72" s="13">
        <f t="shared" si="38"/>
        <v>24.571428571428573</v>
      </c>
      <c r="M72" s="13">
        <f t="shared" si="39"/>
        <v>156.97674418604652</v>
      </c>
      <c r="N72" s="13">
        <v>173</v>
      </c>
      <c r="O72" s="15">
        <f t="shared" ca="1" si="36"/>
        <v>-2</v>
      </c>
      <c r="P72" s="2"/>
      <c r="Q72" s="2"/>
      <c r="R72" s="2"/>
      <c r="S72" s="18">
        <f t="shared" ca="1" si="40"/>
        <v>-0.62124999999999997</v>
      </c>
      <c r="T72" s="20">
        <f t="shared" ca="1" si="41"/>
        <v>0.18890676567656761</v>
      </c>
      <c r="U72" s="18">
        <f t="shared" ca="1" si="42"/>
        <v>-0.6</v>
      </c>
      <c r="V72" s="20">
        <f t="shared" ca="1" si="43"/>
        <v>0.95</v>
      </c>
      <c r="W72" s="21">
        <f t="shared" ca="1" si="44"/>
        <v>2</v>
      </c>
      <c r="X72" s="21">
        <f t="shared" ca="1" si="37"/>
        <v>-4</v>
      </c>
      <c r="Y72" s="2"/>
      <c r="Z72" s="2"/>
    </row>
    <row r="73" spans="1:26" ht="14.25" customHeight="1" x14ac:dyDescent="0.45">
      <c r="A73" s="12" t="s">
        <v>24</v>
      </c>
      <c r="B73" s="12" t="s">
        <v>65</v>
      </c>
      <c r="C73" s="13">
        <v>7</v>
      </c>
      <c r="D73" s="13">
        <v>1846</v>
      </c>
      <c r="E73" s="13">
        <f t="shared" ca="1" si="30"/>
        <v>826</v>
      </c>
      <c r="F73" s="15">
        <f t="shared" ca="1" si="31"/>
        <v>1020</v>
      </c>
      <c r="G73" s="16">
        <f t="shared" ca="1" si="32"/>
        <v>1.2348668280871671</v>
      </c>
      <c r="H73" s="13">
        <v>41</v>
      </c>
      <c r="I73" s="13">
        <f t="shared" ca="1" si="33"/>
        <v>14</v>
      </c>
      <c r="J73" s="15">
        <f t="shared" ca="1" si="34"/>
        <v>27</v>
      </c>
      <c r="K73" s="16">
        <f t="shared" ca="1" si="35"/>
        <v>1.9285714285714286</v>
      </c>
      <c r="L73" s="13">
        <f t="shared" si="38"/>
        <v>263.71428571428572</v>
      </c>
      <c r="M73" s="13">
        <f t="shared" si="39"/>
        <v>22.210184182015169</v>
      </c>
      <c r="N73" s="13">
        <v>57</v>
      </c>
      <c r="O73" s="15">
        <f t="shared" ca="1" si="36"/>
        <v>3</v>
      </c>
      <c r="P73" s="2"/>
      <c r="Q73" s="2"/>
      <c r="R73" s="2"/>
      <c r="S73" s="18">
        <f t="shared" ca="1" si="40"/>
        <v>5.8833333333333337</v>
      </c>
      <c r="T73" s="20">
        <f t="shared" ca="1" si="41"/>
        <v>-4.6484665052461667</v>
      </c>
      <c r="U73" s="18">
        <f t="shared" ca="1" si="42"/>
        <v>-0.22222222222222221</v>
      </c>
      <c r="V73" s="20">
        <f t="shared" ca="1" si="43"/>
        <v>2.1507936507936507</v>
      </c>
      <c r="W73" s="21">
        <f t="shared" ca="1" si="44"/>
        <v>1</v>
      </c>
      <c r="X73" s="21">
        <f t="shared" ca="1" si="37"/>
        <v>2</v>
      </c>
      <c r="Y73" s="2"/>
      <c r="Z73" s="2"/>
    </row>
    <row r="74" spans="1:26" ht="14.25" customHeight="1" x14ac:dyDescent="0.45">
      <c r="A74" s="25"/>
      <c r="B74" s="25" t="s">
        <v>70</v>
      </c>
      <c r="C74" s="26">
        <f>SUM(C52:C73)</f>
        <v>1665</v>
      </c>
      <c r="D74" s="26">
        <f>SUM(D52:D73)</f>
        <v>419798</v>
      </c>
      <c r="E74" s="26">
        <f ca="1">SUM(E52:E73)</f>
        <v>485768</v>
      </c>
      <c r="F74" s="27">
        <f ca="1">SUM(F52:F73)</f>
        <v>-65970</v>
      </c>
      <c r="G74" s="28">
        <f ca="1">IF(C74=0,"",IFERROR(F74/E74,""))</f>
        <v>-0.13580556973699379</v>
      </c>
      <c r="H74" s="26">
        <f>SUM(H52:H73)</f>
        <v>2673</v>
      </c>
      <c r="I74" s="26">
        <f ca="1">SUM(I52:I73)</f>
        <v>2618</v>
      </c>
      <c r="J74" s="27">
        <f ca="1">SUM(J52:J73)</f>
        <v>55</v>
      </c>
      <c r="K74" s="28">
        <f ca="1">IF(C74=0,"",IFERROR(J74/I74,""))</f>
        <v>2.100840336134454E-2</v>
      </c>
      <c r="L74" s="26">
        <f t="shared" si="38"/>
        <v>252.13093093093093</v>
      </c>
      <c r="M74" s="26">
        <f t="shared" si="39"/>
        <v>6.367348105517415</v>
      </c>
      <c r="N74" s="26">
        <f>SUM(N52:N73)</f>
        <v>98109</v>
      </c>
      <c r="O74" s="27">
        <f ca="1">SUM(O52:O73)</f>
        <v>-210</v>
      </c>
      <c r="P74" s="2"/>
      <c r="Q74" s="2"/>
      <c r="R74" s="2"/>
      <c r="S74" s="29">
        <f t="shared" ca="1" si="40"/>
        <v>1.8439198864505957E-2</v>
      </c>
      <c r="T74" s="30">
        <f t="shared" ca="1" si="41"/>
        <v>-0.15424476860149974</v>
      </c>
      <c r="U74" s="29">
        <f t="shared" ca="1" si="42"/>
        <v>-0.18059467918622849</v>
      </c>
      <c r="V74" s="30">
        <f t="shared" ca="1" si="43"/>
        <v>0.20160308254757303</v>
      </c>
      <c r="W74" s="31">
        <f t="shared" ca="1" si="44"/>
        <v>-179</v>
      </c>
      <c r="X74" s="31">
        <f ca="1">IF(OR(C74=0,$O74="",$W74=""),"",$O74-$W74)</f>
        <v>-31</v>
      </c>
      <c r="Y74" s="2"/>
      <c r="Z74" s="2"/>
    </row>
    <row r="75" spans="1:26" ht="14.25" customHeight="1" x14ac:dyDescent="0.45">
      <c r="A75" s="12" t="s">
        <v>25</v>
      </c>
      <c r="B75" s="12" t="s">
        <v>37</v>
      </c>
      <c r="C75" s="13">
        <v>150</v>
      </c>
      <c r="D75" s="13">
        <v>157919</v>
      </c>
      <c r="E75" s="13">
        <f t="shared" ref="E75:E95" ca="1" si="45">IF($D75="","",IFERROR(IF(ISBLANK(INDIRECT("'"&amp;$Q$2&amp;"'!D"&amp;ROW())),"",INDIRECT("'"&amp;$Q$2&amp;"'!D"&amp;ROW())),""))</f>
        <v>166032</v>
      </c>
      <c r="F75" s="15">
        <f t="shared" ref="F75:F95" ca="1" si="46">IF(OR(D75="",E75=""),"",D75-E75)</f>
        <v>-8113</v>
      </c>
      <c r="G75" s="16">
        <f t="shared" ref="G75:G95" ca="1" si="47">IFERROR(F75/E75,"")</f>
        <v>-4.8864074395297295E-2</v>
      </c>
      <c r="H75" s="13">
        <v>1522</v>
      </c>
      <c r="I75" s="13">
        <f t="shared" ref="I75:I95" ca="1" si="48">IF($H75="","",IFERROR(IF(ISBLANK(INDIRECT("'"&amp;$Q$2&amp;"'!H"&amp;ROW())),"",INDIRECT("'"&amp;$Q$2&amp;"'!H"&amp;ROW())),""))</f>
        <v>1755</v>
      </c>
      <c r="J75" s="15">
        <f t="shared" ref="J75:J95" ca="1" si="49">IF(OR(H75="",I75=""),"",H75-I75)</f>
        <v>-233</v>
      </c>
      <c r="K75" s="16">
        <f t="shared" ref="K75:K95" ca="1" si="50">IFERROR(J75/I75,"")</f>
        <v>-0.13276353276353275</v>
      </c>
      <c r="L75" s="13">
        <f t="shared" si="38"/>
        <v>1052.7933333333333</v>
      </c>
      <c r="M75" s="13">
        <f t="shared" si="39"/>
        <v>9.6378523166940013</v>
      </c>
      <c r="N75" s="13">
        <v>4445</v>
      </c>
      <c r="O75" s="15">
        <f t="shared" ref="O75:O95" ca="1" si="51">IFERROR(IF(OR(N75="",ISBLANK(INDIRECT("'"&amp;$Q$2&amp;"'!N"&amp;ROW()))),"",N75-INDIRECT("'"&amp;$Q$2&amp;"'!N"&amp;ROW())),"")</f>
        <v>44</v>
      </c>
      <c r="P75" s="2"/>
      <c r="Q75" s="2"/>
      <c r="R75" s="2"/>
      <c r="S75" s="18">
        <f t="shared" ca="1" si="40"/>
        <v>0.11767675747723004</v>
      </c>
      <c r="T75" s="20">
        <f t="shared" ca="1" si="41"/>
        <v>-0.16654083187252733</v>
      </c>
      <c r="U75" s="18">
        <f t="shared" ca="1" si="42"/>
        <v>-1.4044943820224719E-2</v>
      </c>
      <c r="V75" s="20">
        <f t="shared" ca="1" si="43"/>
        <v>-0.11871858894330803</v>
      </c>
      <c r="W75" s="21">
        <f t="shared" ca="1" si="44"/>
        <v>120</v>
      </c>
      <c r="X75" s="21">
        <f t="shared" ref="X75:X95" ca="1" si="52">IF(OR($O75="",$W75=""),"",$O75-$W75)</f>
        <v>-76</v>
      </c>
      <c r="Y75" s="2"/>
      <c r="Z75" s="2"/>
    </row>
    <row r="76" spans="1:26" ht="14.25" customHeight="1" x14ac:dyDescent="0.45">
      <c r="A76" s="12" t="s">
        <v>25</v>
      </c>
      <c r="B76" s="12" t="s">
        <v>39</v>
      </c>
      <c r="C76" s="13">
        <v>147</v>
      </c>
      <c r="D76" s="13">
        <v>70495</v>
      </c>
      <c r="E76" s="13">
        <f t="shared" ca="1" si="45"/>
        <v>74136</v>
      </c>
      <c r="F76" s="15">
        <f t="shared" ca="1" si="46"/>
        <v>-3641</v>
      </c>
      <c r="G76" s="16">
        <f t="shared" ca="1" si="47"/>
        <v>-4.9112441998489263E-2</v>
      </c>
      <c r="H76" s="13">
        <v>338</v>
      </c>
      <c r="I76" s="13">
        <f t="shared" ca="1" si="48"/>
        <v>264</v>
      </c>
      <c r="J76" s="15">
        <f t="shared" ca="1" si="49"/>
        <v>74</v>
      </c>
      <c r="K76" s="16">
        <f t="shared" ca="1" si="50"/>
        <v>0.28030303030303028</v>
      </c>
      <c r="L76" s="13">
        <f t="shared" si="38"/>
        <v>479.55782312925169</v>
      </c>
      <c r="M76" s="13">
        <f t="shared" si="39"/>
        <v>4.7946662883892479</v>
      </c>
      <c r="N76" s="13">
        <v>2247</v>
      </c>
      <c r="O76" s="15">
        <f t="shared" ca="1" si="51"/>
        <v>8</v>
      </c>
      <c r="P76" s="2"/>
      <c r="Q76" s="2"/>
      <c r="R76" s="2"/>
      <c r="S76" s="18">
        <f t="shared" ca="1" si="40"/>
        <v>5.8375091010321643E-2</v>
      </c>
      <c r="T76" s="20">
        <f t="shared" ca="1" si="41"/>
        <v>-0.10748753300881091</v>
      </c>
      <c r="U76" s="18">
        <f t="shared" ca="1" si="42"/>
        <v>-0.10508474576271186</v>
      </c>
      <c r="V76" s="20">
        <f t="shared" ca="1" si="43"/>
        <v>0.38538777606574215</v>
      </c>
      <c r="W76" s="21">
        <f t="shared" ca="1" si="44"/>
        <v>18</v>
      </c>
      <c r="X76" s="21">
        <f t="shared" ca="1" si="52"/>
        <v>-10</v>
      </c>
      <c r="Y76" s="2"/>
      <c r="Z76" s="2"/>
    </row>
    <row r="77" spans="1:26" ht="14.25" customHeight="1" x14ac:dyDescent="0.45">
      <c r="A77" s="12" t="s">
        <v>25</v>
      </c>
      <c r="B77" s="12" t="s">
        <v>42</v>
      </c>
      <c r="C77" s="13">
        <v>88</v>
      </c>
      <c r="D77" s="13">
        <v>6505</v>
      </c>
      <c r="E77" s="13">
        <f t="shared" ca="1" si="45"/>
        <v>7964</v>
      </c>
      <c r="F77" s="15">
        <f t="shared" ca="1" si="46"/>
        <v>-1459</v>
      </c>
      <c r="G77" s="16">
        <f t="shared" ca="1" si="47"/>
        <v>-0.18319939728779508</v>
      </c>
      <c r="H77" s="13">
        <v>20</v>
      </c>
      <c r="I77" s="13">
        <f t="shared" ca="1" si="48"/>
        <v>3</v>
      </c>
      <c r="J77" s="15">
        <f t="shared" ca="1" si="49"/>
        <v>17</v>
      </c>
      <c r="K77" s="16">
        <f t="shared" ca="1" si="50"/>
        <v>5.666666666666667</v>
      </c>
      <c r="L77" s="13">
        <f t="shared" si="38"/>
        <v>73.920454545454547</v>
      </c>
      <c r="M77" s="13">
        <f t="shared" si="39"/>
        <v>3.0745580322828592</v>
      </c>
      <c r="N77" s="13">
        <v>273</v>
      </c>
      <c r="O77" s="15">
        <f t="shared" ca="1" si="51"/>
        <v>0</v>
      </c>
      <c r="P77" s="2"/>
      <c r="Q77" s="2"/>
      <c r="R77" s="2"/>
      <c r="S77" s="18">
        <f t="shared" ca="1" si="40"/>
        <v>0.32160637238632594</v>
      </c>
      <c r="T77" s="20">
        <f t="shared" ca="1" si="41"/>
        <v>-0.50480576967412105</v>
      </c>
      <c r="U77" s="18">
        <f t="shared" ca="1" si="42"/>
        <v>-0.76923076923076927</v>
      </c>
      <c r="V77" s="20">
        <f t="shared" ca="1" si="43"/>
        <v>6.4358974358974361</v>
      </c>
      <c r="W77" s="21">
        <f t="shared" ca="1" si="44"/>
        <v>3</v>
      </c>
      <c r="X77" s="21">
        <f t="shared" ca="1" si="52"/>
        <v>-3</v>
      </c>
      <c r="Y77" s="2"/>
      <c r="Z77" s="2"/>
    </row>
    <row r="78" spans="1:26" ht="14.25" customHeight="1" x14ac:dyDescent="0.45">
      <c r="A78" s="12" t="s">
        <v>25</v>
      </c>
      <c r="B78" s="12" t="s">
        <v>68</v>
      </c>
      <c r="C78" s="13">
        <v>7</v>
      </c>
      <c r="D78" s="13">
        <v>826</v>
      </c>
      <c r="E78" s="13">
        <f t="shared" ca="1" si="45"/>
        <v>1186</v>
      </c>
      <c r="F78" s="15">
        <f t="shared" ca="1" si="46"/>
        <v>-360</v>
      </c>
      <c r="G78" s="16">
        <f t="shared" ca="1" si="47"/>
        <v>-0.30354131534569984</v>
      </c>
      <c r="H78" s="13">
        <v>37</v>
      </c>
      <c r="I78" s="13">
        <f t="shared" ca="1" si="48"/>
        <v>26</v>
      </c>
      <c r="J78" s="15">
        <f t="shared" ca="1" si="49"/>
        <v>11</v>
      </c>
      <c r="K78" s="16">
        <f t="shared" ca="1" si="50"/>
        <v>0.42307692307692307</v>
      </c>
      <c r="L78" s="13">
        <f t="shared" si="38"/>
        <v>118</v>
      </c>
      <c r="M78" s="13">
        <f t="shared" si="39"/>
        <v>44.794188861985475</v>
      </c>
      <c r="N78" s="13">
        <v>212</v>
      </c>
      <c r="O78" s="15">
        <f t="shared" ca="1" si="51"/>
        <v>4</v>
      </c>
      <c r="P78" s="2"/>
      <c r="Q78" s="2"/>
      <c r="R78" s="2"/>
      <c r="S78" s="18">
        <f t="shared" ca="1" si="40"/>
        <v>-0.8254855797527958</v>
      </c>
      <c r="T78" s="20">
        <f t="shared" ca="1" si="41"/>
        <v>0.52194426440709596</v>
      </c>
      <c r="U78" s="18">
        <f t="shared" ca="1" si="42"/>
        <v>0.3</v>
      </c>
      <c r="V78" s="20">
        <f t="shared" ca="1" si="43"/>
        <v>0.12307692307692308</v>
      </c>
      <c r="W78" s="21">
        <f t="shared" ca="1" si="44"/>
        <v>1</v>
      </c>
      <c r="X78" s="21">
        <f t="shared" ca="1" si="52"/>
        <v>3</v>
      </c>
      <c r="Y78" s="2"/>
      <c r="Z78" s="2"/>
    </row>
    <row r="79" spans="1:26" ht="14.25" customHeight="1" x14ac:dyDescent="0.45">
      <c r="A79" s="12" t="s">
        <v>25</v>
      </c>
      <c r="B79" s="12" t="s">
        <v>69</v>
      </c>
      <c r="C79" s="13">
        <v>4</v>
      </c>
      <c r="D79" s="13">
        <v>85</v>
      </c>
      <c r="E79" s="13">
        <f t="shared" ca="1" si="45"/>
        <v>170</v>
      </c>
      <c r="F79" s="15">
        <f t="shared" ca="1" si="46"/>
        <v>-85</v>
      </c>
      <c r="G79" s="16">
        <f t="shared" ca="1" si="47"/>
        <v>-0.5</v>
      </c>
      <c r="H79" s="13">
        <v>1</v>
      </c>
      <c r="I79" s="13">
        <f t="shared" ca="1" si="48"/>
        <v>2</v>
      </c>
      <c r="J79" s="15">
        <f t="shared" ca="1" si="49"/>
        <v>-1</v>
      </c>
      <c r="K79" s="16">
        <f t="shared" ca="1" si="50"/>
        <v>-0.5</v>
      </c>
      <c r="L79" s="13">
        <f t="shared" si="38"/>
        <v>21.25</v>
      </c>
      <c r="M79" s="13">
        <f t="shared" si="39"/>
        <v>11.76470588235294</v>
      </c>
      <c r="N79" s="13">
        <v>37</v>
      </c>
      <c r="O79" s="15">
        <f t="shared" ca="1" si="51"/>
        <v>1</v>
      </c>
      <c r="P79" s="2"/>
      <c r="Q79" s="2"/>
      <c r="R79" s="2"/>
      <c r="S79" s="18">
        <f t="shared" ca="1" si="40"/>
        <v>1.6153846153846154</v>
      </c>
      <c r="T79" s="20">
        <f t="shared" ca="1" si="41"/>
        <v>-2.1153846153846154</v>
      </c>
      <c r="U79" s="18" t="str">
        <f t="shared" ca="1" si="42"/>
        <v/>
      </c>
      <c r="V79" s="20" t="str">
        <f t="shared" ca="1" si="43"/>
        <v/>
      </c>
      <c r="W79" s="21">
        <f t="shared" ca="1" si="44"/>
        <v>0</v>
      </c>
      <c r="X79" s="21">
        <f t="shared" ca="1" si="52"/>
        <v>1</v>
      </c>
      <c r="Y79" s="2"/>
      <c r="Z79" s="2"/>
    </row>
    <row r="80" spans="1:26" ht="14.25" customHeight="1" x14ac:dyDescent="0.45">
      <c r="A80" s="12" t="s">
        <v>25</v>
      </c>
      <c r="B80" s="12" t="s">
        <v>43</v>
      </c>
      <c r="C80" s="13">
        <v>99</v>
      </c>
      <c r="D80" s="13">
        <v>165080</v>
      </c>
      <c r="E80" s="13">
        <f t="shared" ca="1" si="45"/>
        <v>208151</v>
      </c>
      <c r="F80" s="15">
        <f t="shared" ca="1" si="46"/>
        <v>-43071</v>
      </c>
      <c r="G80" s="16">
        <f t="shared" ca="1" si="47"/>
        <v>-0.20692189804516914</v>
      </c>
      <c r="H80" s="13">
        <v>1556</v>
      </c>
      <c r="I80" s="13">
        <f t="shared" ca="1" si="48"/>
        <v>1845</v>
      </c>
      <c r="J80" s="15">
        <f t="shared" ca="1" si="49"/>
        <v>-289</v>
      </c>
      <c r="K80" s="16">
        <f t="shared" ca="1" si="50"/>
        <v>-0.15663956639566395</v>
      </c>
      <c r="L80" s="13">
        <f t="shared" si="38"/>
        <v>1667.4747474747476</v>
      </c>
      <c r="M80" s="13">
        <f t="shared" si="39"/>
        <v>9.4257329779500854</v>
      </c>
      <c r="N80" s="13">
        <v>4351</v>
      </c>
      <c r="O80" s="15">
        <f t="shared" ca="1" si="51"/>
        <v>0</v>
      </c>
      <c r="P80" s="2"/>
      <c r="Q80" s="2"/>
      <c r="R80" s="2"/>
      <c r="S80" s="18">
        <f t="shared" ca="1" si="40"/>
        <v>0.19714389238122076</v>
      </c>
      <c r="T80" s="20">
        <f t="shared" ca="1" si="41"/>
        <v>-0.4040657904263899</v>
      </c>
      <c r="U80" s="18">
        <f t="shared" ca="1" si="42"/>
        <v>-5.674846625766871E-2</v>
      </c>
      <c r="V80" s="20">
        <f t="shared" ca="1" si="43"/>
        <v>-9.9891100137995237E-2</v>
      </c>
      <c r="W80" s="21">
        <f t="shared" ca="1" si="44"/>
        <v>37</v>
      </c>
      <c r="X80" s="21">
        <f t="shared" ca="1" si="52"/>
        <v>-37</v>
      </c>
      <c r="Y80" s="2"/>
      <c r="Z80" s="2"/>
    </row>
    <row r="81" spans="1:26" ht="14.25" customHeight="1" x14ac:dyDescent="0.45">
      <c r="A81" s="12" t="s">
        <v>25</v>
      </c>
      <c r="B81" s="12" t="s">
        <v>44</v>
      </c>
      <c r="C81" s="13">
        <v>89</v>
      </c>
      <c r="D81" s="13">
        <v>80151</v>
      </c>
      <c r="E81" s="13">
        <f t="shared" ca="1" si="45"/>
        <v>99097</v>
      </c>
      <c r="F81" s="15">
        <f t="shared" ca="1" si="46"/>
        <v>-18946</v>
      </c>
      <c r="G81" s="16">
        <f t="shared" ca="1" si="47"/>
        <v>-0.19118641331220926</v>
      </c>
      <c r="H81" s="13">
        <v>1699</v>
      </c>
      <c r="I81" s="13">
        <f t="shared" ca="1" si="48"/>
        <v>1986</v>
      </c>
      <c r="J81" s="15">
        <f t="shared" ca="1" si="49"/>
        <v>-287</v>
      </c>
      <c r="K81" s="16">
        <f t="shared" ca="1" si="50"/>
        <v>-0.14451158106747231</v>
      </c>
      <c r="L81" s="13">
        <f t="shared" si="38"/>
        <v>900.57303370786519</v>
      </c>
      <c r="M81" s="13">
        <f t="shared" si="39"/>
        <v>21.197489738119298</v>
      </c>
      <c r="N81" s="13">
        <v>2513</v>
      </c>
      <c r="O81" s="15">
        <f t="shared" ca="1" si="51"/>
        <v>9</v>
      </c>
      <c r="P81" s="2"/>
      <c r="Q81" s="2"/>
      <c r="R81" s="2"/>
      <c r="S81" s="18">
        <f t="shared" ca="1" si="40"/>
        <v>0.22453846724167759</v>
      </c>
      <c r="T81" s="20">
        <f t="shared" ca="1" si="41"/>
        <v>-0.41572488055388684</v>
      </c>
      <c r="U81" s="18">
        <f t="shared" ca="1" si="42"/>
        <v>-2.0226936359151456E-2</v>
      </c>
      <c r="V81" s="20">
        <f t="shared" ca="1" si="43"/>
        <v>-0.12428464470832085</v>
      </c>
      <c r="W81" s="21">
        <f t="shared" ca="1" si="44"/>
        <v>73</v>
      </c>
      <c r="X81" s="21">
        <f t="shared" ca="1" si="52"/>
        <v>-64</v>
      </c>
      <c r="Y81" s="2"/>
      <c r="Z81" s="2"/>
    </row>
    <row r="82" spans="1:26" ht="14.25" customHeight="1" x14ac:dyDescent="0.45">
      <c r="A82" s="12" t="s">
        <v>25</v>
      </c>
      <c r="B82" s="12" t="s">
        <v>45</v>
      </c>
      <c r="C82" s="13">
        <v>95</v>
      </c>
      <c r="D82" s="13">
        <v>154133</v>
      </c>
      <c r="E82" s="13">
        <f t="shared" ca="1" si="45"/>
        <v>193342</v>
      </c>
      <c r="F82" s="15">
        <f t="shared" ca="1" si="46"/>
        <v>-39209</v>
      </c>
      <c r="G82" s="16">
        <f t="shared" ca="1" si="47"/>
        <v>-0.20279608155496479</v>
      </c>
      <c r="H82" s="13">
        <v>3296</v>
      </c>
      <c r="I82" s="13">
        <f t="shared" ca="1" si="48"/>
        <v>3704</v>
      </c>
      <c r="J82" s="15">
        <f t="shared" ca="1" si="49"/>
        <v>-408</v>
      </c>
      <c r="K82" s="16">
        <f t="shared" ca="1" si="50"/>
        <v>-0.1101511879049676</v>
      </c>
      <c r="L82" s="13">
        <f t="shared" si="38"/>
        <v>1622.4526315789474</v>
      </c>
      <c r="M82" s="13">
        <f t="shared" si="39"/>
        <v>21.384129290937047</v>
      </c>
      <c r="N82" s="13">
        <v>3764</v>
      </c>
      <c r="O82" s="15">
        <f t="shared" ca="1" si="51"/>
        <v>52</v>
      </c>
      <c r="P82" s="2"/>
      <c r="Q82" s="2"/>
      <c r="R82" s="2"/>
      <c r="S82" s="18">
        <f t="shared" ca="1" si="40"/>
        <v>0.16876632169455461</v>
      </c>
      <c r="T82" s="20">
        <f t="shared" ca="1" si="41"/>
        <v>-0.37156240324951939</v>
      </c>
      <c r="U82" s="18">
        <f t="shared" ca="1" si="42"/>
        <v>9.488619568430387E-2</v>
      </c>
      <c r="V82" s="20">
        <f t="shared" ca="1" si="43"/>
        <v>-0.20503738358927148</v>
      </c>
      <c r="W82" s="21">
        <f t="shared" ca="1" si="44"/>
        <v>54</v>
      </c>
      <c r="X82" s="21">
        <f t="shared" ca="1" si="52"/>
        <v>-2</v>
      </c>
      <c r="Y82" s="2"/>
      <c r="Z82" s="2"/>
    </row>
    <row r="83" spans="1:26" ht="14.25" customHeight="1" x14ac:dyDescent="0.45">
      <c r="A83" s="12" t="s">
        <v>25</v>
      </c>
      <c r="B83" s="12" t="s">
        <v>46</v>
      </c>
      <c r="C83" s="13">
        <v>141</v>
      </c>
      <c r="D83" s="13">
        <v>85318</v>
      </c>
      <c r="E83" s="13">
        <f t="shared" ca="1" si="45"/>
        <v>97576</v>
      </c>
      <c r="F83" s="15">
        <f t="shared" ca="1" si="46"/>
        <v>-12258</v>
      </c>
      <c r="G83" s="16">
        <f t="shared" ca="1" si="47"/>
        <v>-0.12562515372632616</v>
      </c>
      <c r="H83" s="13">
        <v>546</v>
      </c>
      <c r="I83" s="13">
        <f t="shared" ca="1" si="48"/>
        <v>648</v>
      </c>
      <c r="J83" s="15">
        <f t="shared" ca="1" si="49"/>
        <v>-102</v>
      </c>
      <c r="K83" s="16">
        <f t="shared" ca="1" si="50"/>
        <v>-0.15740740740740741</v>
      </c>
      <c r="L83" s="13">
        <f t="shared" si="38"/>
        <v>605.0921985815603</v>
      </c>
      <c r="M83" s="13">
        <f t="shared" si="39"/>
        <v>6.3995874258655849</v>
      </c>
      <c r="N83" s="13">
        <v>1797</v>
      </c>
      <c r="O83" s="15">
        <f t="shared" ca="1" si="51"/>
        <v>0</v>
      </c>
      <c r="P83" s="2"/>
      <c r="Q83" s="2"/>
      <c r="R83" s="2"/>
      <c r="S83" s="18">
        <f t="shared" ca="1" si="40"/>
        <v>-1.9332071804838132E-3</v>
      </c>
      <c r="T83" s="20">
        <f t="shared" ca="1" si="41"/>
        <v>-0.12369194654584234</v>
      </c>
      <c r="U83" s="18">
        <f t="shared" ca="1" si="42"/>
        <v>-0.15183246073298429</v>
      </c>
      <c r="V83" s="20">
        <f t="shared" ca="1" si="43"/>
        <v>-5.5749466744231257E-3</v>
      </c>
      <c r="W83" s="21">
        <f t="shared" ca="1" si="44"/>
        <v>15</v>
      </c>
      <c r="X83" s="21">
        <f t="shared" ca="1" si="52"/>
        <v>-15</v>
      </c>
      <c r="Y83" s="2"/>
      <c r="Z83" s="2"/>
    </row>
    <row r="84" spans="1:26" ht="14.25" customHeight="1" x14ac:dyDescent="0.45">
      <c r="A84" s="12" t="s">
        <v>25</v>
      </c>
      <c r="B84" s="12" t="s">
        <v>47</v>
      </c>
      <c r="C84" s="13">
        <v>106</v>
      </c>
      <c r="D84" s="13">
        <v>27813</v>
      </c>
      <c r="E84" s="13">
        <f t="shared" ca="1" si="45"/>
        <v>38457</v>
      </c>
      <c r="F84" s="15">
        <f t="shared" ca="1" si="46"/>
        <v>-10644</v>
      </c>
      <c r="G84" s="16">
        <f t="shared" ca="1" si="47"/>
        <v>-0.2767766596458382</v>
      </c>
      <c r="H84" s="13">
        <v>400</v>
      </c>
      <c r="I84" s="13">
        <f t="shared" ca="1" si="48"/>
        <v>460</v>
      </c>
      <c r="J84" s="15">
        <f t="shared" ca="1" si="49"/>
        <v>-60</v>
      </c>
      <c r="K84" s="16">
        <f t="shared" ca="1" si="50"/>
        <v>-0.13043478260869565</v>
      </c>
      <c r="L84" s="13">
        <f t="shared" si="38"/>
        <v>262.38679245283021</v>
      </c>
      <c r="M84" s="13">
        <f t="shared" si="39"/>
        <v>14.381763923345197</v>
      </c>
      <c r="N84" s="13">
        <v>760</v>
      </c>
      <c r="O84" s="15">
        <f t="shared" ca="1" si="51"/>
        <v>5</v>
      </c>
      <c r="P84" s="2"/>
      <c r="Q84" s="2"/>
      <c r="R84" s="2"/>
      <c r="S84" s="18">
        <f t="shared" ca="1" si="40"/>
        <v>0.54874954693729616</v>
      </c>
      <c r="T84" s="20">
        <f t="shared" ca="1" si="41"/>
        <v>-0.82552620658313436</v>
      </c>
      <c r="U84" s="18">
        <f t="shared" ca="1" si="42"/>
        <v>0.73584905660377353</v>
      </c>
      <c r="V84" s="20">
        <f t="shared" ca="1" si="43"/>
        <v>-0.86628383921246921</v>
      </c>
      <c r="W84" s="21">
        <f t="shared" ca="1" si="44"/>
        <v>20</v>
      </c>
      <c r="X84" s="21">
        <f t="shared" ca="1" si="52"/>
        <v>-15</v>
      </c>
      <c r="Y84" s="2"/>
      <c r="Z84" s="2"/>
    </row>
    <row r="85" spans="1:26" ht="14.25" customHeight="1" x14ac:dyDescent="0.45">
      <c r="A85" s="12" t="s">
        <v>25</v>
      </c>
      <c r="B85" s="12" t="s">
        <v>48</v>
      </c>
      <c r="C85" s="13">
        <v>66</v>
      </c>
      <c r="D85" s="13">
        <v>8781</v>
      </c>
      <c r="E85" s="13">
        <f t="shared" ca="1" si="45"/>
        <v>12861</v>
      </c>
      <c r="F85" s="15">
        <f t="shared" ca="1" si="46"/>
        <v>-4080</v>
      </c>
      <c r="G85" s="16">
        <f t="shared" ca="1" si="47"/>
        <v>-0.31723816188476789</v>
      </c>
      <c r="H85" s="13">
        <v>612</v>
      </c>
      <c r="I85" s="13">
        <f t="shared" ca="1" si="48"/>
        <v>1019</v>
      </c>
      <c r="J85" s="15">
        <f t="shared" ca="1" si="49"/>
        <v>-407</v>
      </c>
      <c r="K85" s="16">
        <f t="shared" ca="1" si="50"/>
        <v>-0.39941118743866538</v>
      </c>
      <c r="L85" s="13">
        <f t="shared" si="38"/>
        <v>133.04545454545453</v>
      </c>
      <c r="M85" s="13">
        <f t="shared" si="39"/>
        <v>69.695934403826442</v>
      </c>
      <c r="N85" s="13">
        <v>307</v>
      </c>
      <c r="O85" s="15">
        <f t="shared" ca="1" si="51"/>
        <v>8</v>
      </c>
      <c r="P85" s="2"/>
      <c r="Q85" s="2"/>
      <c r="R85" s="2"/>
      <c r="S85" s="18">
        <f t="shared" ca="1" si="40"/>
        <v>0.20162571241707933</v>
      </c>
      <c r="T85" s="20">
        <f t="shared" ca="1" si="41"/>
        <v>-0.51886387430184722</v>
      </c>
      <c r="U85" s="18">
        <f t="shared" ca="1" si="42"/>
        <v>0.17126436781609194</v>
      </c>
      <c r="V85" s="20">
        <f t="shared" ca="1" si="43"/>
        <v>-0.57067555525475733</v>
      </c>
      <c r="W85" s="21">
        <f t="shared" ca="1" si="44"/>
        <v>17</v>
      </c>
      <c r="X85" s="21">
        <f t="shared" ca="1" si="52"/>
        <v>-9</v>
      </c>
      <c r="Y85" s="2"/>
      <c r="Z85" s="2"/>
    </row>
    <row r="86" spans="1:26" ht="14.25" customHeight="1" x14ac:dyDescent="0.45">
      <c r="A86" s="12" t="s">
        <v>25</v>
      </c>
      <c r="B86" s="12" t="s">
        <v>49</v>
      </c>
      <c r="C86" s="13">
        <v>62</v>
      </c>
      <c r="D86" s="13">
        <v>46599</v>
      </c>
      <c r="E86" s="13">
        <f t="shared" ca="1" si="45"/>
        <v>70605</v>
      </c>
      <c r="F86" s="15">
        <f t="shared" ca="1" si="46"/>
        <v>-24006</v>
      </c>
      <c r="G86" s="16">
        <f t="shared" ca="1" si="47"/>
        <v>-0.34000424899086468</v>
      </c>
      <c r="H86" s="13">
        <v>423</v>
      </c>
      <c r="I86" s="13">
        <f t="shared" ca="1" si="48"/>
        <v>523</v>
      </c>
      <c r="J86" s="15">
        <f t="shared" ca="1" si="49"/>
        <v>-100</v>
      </c>
      <c r="K86" s="16">
        <f t="shared" ca="1" si="50"/>
        <v>-0.19120458891013384</v>
      </c>
      <c r="L86" s="13">
        <f t="shared" si="38"/>
        <v>751.59677419354841</v>
      </c>
      <c r="M86" s="13">
        <f t="shared" si="39"/>
        <v>9.0774480139058777</v>
      </c>
      <c r="N86" s="13">
        <v>1917</v>
      </c>
      <c r="O86" s="15">
        <f t="shared" ca="1" si="51"/>
        <v>10</v>
      </c>
      <c r="P86" s="2"/>
      <c r="Q86" s="2"/>
      <c r="R86" s="2"/>
      <c r="S86" s="18">
        <f t="shared" ca="1" si="40"/>
        <v>0.39983742416432055</v>
      </c>
      <c r="T86" s="20">
        <f t="shared" ca="1" si="41"/>
        <v>-0.73984167315518523</v>
      </c>
      <c r="U86" s="18">
        <f t="shared" ca="1" si="42"/>
        <v>-3.1481481481481478E-2</v>
      </c>
      <c r="V86" s="20">
        <f t="shared" ca="1" si="43"/>
        <v>-0.15972310742865237</v>
      </c>
      <c r="W86" s="21">
        <f t="shared" ca="1" si="44"/>
        <v>17</v>
      </c>
      <c r="X86" s="21">
        <f t="shared" ca="1" si="52"/>
        <v>-7</v>
      </c>
      <c r="Y86" s="2"/>
      <c r="Z86" s="2"/>
    </row>
    <row r="87" spans="1:26" ht="14.25" customHeight="1" x14ac:dyDescent="0.45">
      <c r="A87" s="12" t="s">
        <v>25</v>
      </c>
      <c r="B87" s="12" t="s">
        <v>50</v>
      </c>
      <c r="C87" s="13">
        <v>57</v>
      </c>
      <c r="D87" s="13">
        <v>14339</v>
      </c>
      <c r="E87" s="13">
        <f t="shared" ca="1" si="45"/>
        <v>20112</v>
      </c>
      <c r="F87" s="15">
        <f t="shared" ca="1" si="46"/>
        <v>-5773</v>
      </c>
      <c r="G87" s="16">
        <f t="shared" ca="1" si="47"/>
        <v>-0.28704256165473352</v>
      </c>
      <c r="H87" s="13">
        <v>70</v>
      </c>
      <c r="I87" s="13">
        <f t="shared" ca="1" si="48"/>
        <v>93</v>
      </c>
      <c r="J87" s="15">
        <f t="shared" ca="1" si="49"/>
        <v>-23</v>
      </c>
      <c r="K87" s="16">
        <f t="shared" ca="1" si="50"/>
        <v>-0.24731182795698925</v>
      </c>
      <c r="L87" s="13">
        <f t="shared" si="38"/>
        <v>251.56140350877192</v>
      </c>
      <c r="M87" s="13">
        <f t="shared" si="39"/>
        <v>4.8817909198688891</v>
      </c>
      <c r="N87" s="13">
        <v>527</v>
      </c>
      <c r="O87" s="15">
        <f t="shared" ca="1" si="51"/>
        <v>10</v>
      </c>
      <c r="P87" s="2"/>
      <c r="Q87" s="2"/>
      <c r="R87" s="2"/>
      <c r="S87" s="18">
        <f t="shared" ca="1" si="40"/>
        <v>0.45791953606379121</v>
      </c>
      <c r="T87" s="20">
        <f t="shared" ca="1" si="41"/>
        <v>-0.74496209771852473</v>
      </c>
      <c r="U87" s="18">
        <f t="shared" ca="1" si="42"/>
        <v>0.30985915492957744</v>
      </c>
      <c r="V87" s="20">
        <f t="shared" ca="1" si="43"/>
        <v>-0.55717098288656675</v>
      </c>
      <c r="W87" s="21">
        <f t="shared" ca="1" si="44"/>
        <v>23</v>
      </c>
      <c r="X87" s="21">
        <f t="shared" ca="1" si="52"/>
        <v>-13</v>
      </c>
      <c r="Y87" s="2"/>
      <c r="Z87" s="2"/>
    </row>
    <row r="88" spans="1:26" ht="14.25" customHeight="1" x14ac:dyDescent="0.45">
      <c r="A88" s="12" t="s">
        <v>25</v>
      </c>
      <c r="B88" s="12" t="s">
        <v>51</v>
      </c>
      <c r="C88" s="13">
        <v>31</v>
      </c>
      <c r="D88" s="13">
        <v>7067</v>
      </c>
      <c r="E88" s="13">
        <f t="shared" ca="1" si="45"/>
        <v>9959</v>
      </c>
      <c r="F88" s="15">
        <f t="shared" ca="1" si="46"/>
        <v>-2892</v>
      </c>
      <c r="G88" s="16">
        <f t="shared" ca="1" si="47"/>
        <v>-0.29039060146601064</v>
      </c>
      <c r="H88" s="13">
        <v>69</v>
      </c>
      <c r="I88" s="13">
        <f t="shared" ca="1" si="48"/>
        <v>73</v>
      </c>
      <c r="J88" s="15">
        <f t="shared" ca="1" si="49"/>
        <v>-4</v>
      </c>
      <c r="K88" s="16">
        <f t="shared" ca="1" si="50"/>
        <v>-5.4794520547945202E-2</v>
      </c>
      <c r="L88" s="13">
        <f t="shared" si="38"/>
        <v>227.96774193548387</v>
      </c>
      <c r="M88" s="13">
        <f t="shared" si="39"/>
        <v>9.7636903919626423</v>
      </c>
      <c r="N88" s="13">
        <v>440</v>
      </c>
      <c r="O88" s="15">
        <f t="shared" ca="1" si="51"/>
        <v>10</v>
      </c>
      <c r="P88" s="2"/>
      <c r="Q88" s="2"/>
      <c r="R88" s="2"/>
      <c r="S88" s="18">
        <f t="shared" ca="1" si="40"/>
        <v>0.45855301698886936</v>
      </c>
      <c r="T88" s="20">
        <f t="shared" ca="1" si="41"/>
        <v>-0.74894361845488</v>
      </c>
      <c r="U88" s="18">
        <f t="shared" ca="1" si="42"/>
        <v>0</v>
      </c>
      <c r="V88" s="20">
        <f t="shared" ca="1" si="43"/>
        <v>-5.4794520547945202E-2</v>
      </c>
      <c r="W88" s="21">
        <f t="shared" ca="1" si="44"/>
        <v>8</v>
      </c>
      <c r="X88" s="21">
        <f t="shared" ca="1" si="52"/>
        <v>2</v>
      </c>
      <c r="Y88" s="2"/>
      <c r="Z88" s="2"/>
    </row>
    <row r="89" spans="1:26" ht="14.25" customHeight="1" x14ac:dyDescent="0.45">
      <c r="A89" s="12" t="s">
        <v>25</v>
      </c>
      <c r="B89" s="12" t="s">
        <v>52</v>
      </c>
      <c r="C89" s="13">
        <v>50</v>
      </c>
      <c r="D89" s="13">
        <v>8708</v>
      </c>
      <c r="E89" s="13">
        <f t="shared" ca="1" si="45"/>
        <v>13123</v>
      </c>
      <c r="F89" s="15">
        <f t="shared" ca="1" si="46"/>
        <v>-4415</v>
      </c>
      <c r="G89" s="16">
        <f t="shared" ca="1" si="47"/>
        <v>-0.33643221824277986</v>
      </c>
      <c r="H89" s="13">
        <v>138</v>
      </c>
      <c r="I89" s="13">
        <f t="shared" ca="1" si="48"/>
        <v>212</v>
      </c>
      <c r="J89" s="15">
        <f t="shared" ca="1" si="49"/>
        <v>-74</v>
      </c>
      <c r="K89" s="16">
        <f t="shared" ca="1" si="50"/>
        <v>-0.34905660377358488</v>
      </c>
      <c r="L89" s="13">
        <f t="shared" si="38"/>
        <v>174.16</v>
      </c>
      <c r="M89" s="13">
        <f t="shared" si="39"/>
        <v>15.847496554892052</v>
      </c>
      <c r="N89" s="13">
        <v>450</v>
      </c>
      <c r="O89" s="15">
        <f t="shared" ca="1" si="51"/>
        <v>1</v>
      </c>
      <c r="P89" s="2"/>
      <c r="Q89" s="2"/>
      <c r="R89" s="2"/>
      <c r="S89" s="18">
        <f t="shared" ca="1" si="40"/>
        <v>0.30278963565968431</v>
      </c>
      <c r="T89" s="20">
        <f t="shared" ca="1" si="41"/>
        <v>-0.63922185390246411</v>
      </c>
      <c r="U89" s="18">
        <f t="shared" ca="1" si="42"/>
        <v>-3.1963470319634701E-2</v>
      </c>
      <c r="V89" s="20">
        <f t="shared" ca="1" si="43"/>
        <v>-0.31709313345395018</v>
      </c>
      <c r="W89" s="21">
        <f t="shared" ca="1" si="44"/>
        <v>7</v>
      </c>
      <c r="X89" s="21">
        <f t="shared" ca="1" si="52"/>
        <v>-6</v>
      </c>
      <c r="Y89" s="2"/>
      <c r="Z89" s="2"/>
    </row>
    <row r="90" spans="1:26" ht="14.25" customHeight="1" x14ac:dyDescent="0.45">
      <c r="A90" s="12" t="s">
        <v>25</v>
      </c>
      <c r="B90" s="12" t="s">
        <v>53</v>
      </c>
      <c r="C90" s="13">
        <v>59</v>
      </c>
      <c r="D90" s="13">
        <v>33281</v>
      </c>
      <c r="E90" s="13">
        <f t="shared" ca="1" si="45"/>
        <v>40691</v>
      </c>
      <c r="F90" s="15">
        <f t="shared" ca="1" si="46"/>
        <v>-7410</v>
      </c>
      <c r="G90" s="16">
        <f t="shared" ca="1" si="47"/>
        <v>-0.1821041507950161</v>
      </c>
      <c r="H90" s="13">
        <v>711</v>
      </c>
      <c r="I90" s="13">
        <f t="shared" ca="1" si="48"/>
        <v>950</v>
      </c>
      <c r="J90" s="15">
        <f t="shared" ca="1" si="49"/>
        <v>-239</v>
      </c>
      <c r="K90" s="16">
        <f t="shared" ca="1" si="50"/>
        <v>-0.25157894736842107</v>
      </c>
      <c r="L90" s="13">
        <f t="shared" si="38"/>
        <v>564.08474576271192</v>
      </c>
      <c r="M90" s="13">
        <f t="shared" si="39"/>
        <v>21.363540758991615</v>
      </c>
      <c r="N90" s="13">
        <v>1492</v>
      </c>
      <c r="O90" s="15">
        <f t="shared" ca="1" si="51"/>
        <v>7</v>
      </c>
      <c r="P90" s="2"/>
      <c r="Q90" s="2"/>
      <c r="R90" s="2"/>
      <c r="S90" s="18">
        <f t="shared" ca="1" si="40"/>
        <v>8.1762097073907972E-3</v>
      </c>
      <c r="T90" s="20">
        <f t="shared" ca="1" si="41"/>
        <v>-0.1902803605024069</v>
      </c>
      <c r="U90" s="18">
        <f t="shared" ca="1" si="42"/>
        <v>-6.953966699314397E-2</v>
      </c>
      <c r="V90" s="20">
        <f t="shared" ca="1" si="43"/>
        <v>-0.18203928037527711</v>
      </c>
      <c r="W90" s="21">
        <f t="shared" ca="1" si="44"/>
        <v>14</v>
      </c>
      <c r="X90" s="21">
        <f t="shared" ca="1" si="52"/>
        <v>-7</v>
      </c>
      <c r="Y90" s="2"/>
      <c r="Z90" s="2"/>
    </row>
    <row r="91" spans="1:26" ht="14.25" customHeight="1" x14ac:dyDescent="0.45">
      <c r="A91" s="12" t="s">
        <v>25</v>
      </c>
      <c r="B91" s="12" t="s">
        <v>54</v>
      </c>
      <c r="C91" s="13">
        <v>64</v>
      </c>
      <c r="D91" s="13">
        <v>81701</v>
      </c>
      <c r="E91" s="13">
        <f t="shared" ca="1" si="45"/>
        <v>111978</v>
      </c>
      <c r="F91" s="15">
        <f t="shared" ca="1" si="46"/>
        <v>-30277</v>
      </c>
      <c r="G91" s="16">
        <f t="shared" ca="1" si="47"/>
        <v>-0.27038346818124986</v>
      </c>
      <c r="H91" s="13">
        <v>1051</v>
      </c>
      <c r="I91" s="13">
        <f t="shared" ca="1" si="48"/>
        <v>1157</v>
      </c>
      <c r="J91" s="15">
        <f t="shared" ca="1" si="49"/>
        <v>-106</v>
      </c>
      <c r="K91" s="16">
        <f t="shared" ca="1" si="50"/>
        <v>-9.1616248919619711E-2</v>
      </c>
      <c r="L91" s="13">
        <f t="shared" si="38"/>
        <v>1276.578125</v>
      </c>
      <c r="M91" s="13">
        <f t="shared" si="39"/>
        <v>12.863979633052226</v>
      </c>
      <c r="N91" s="13">
        <v>2635</v>
      </c>
      <c r="O91" s="15">
        <f t="shared" ca="1" si="51"/>
        <v>52</v>
      </c>
      <c r="P91" s="2"/>
      <c r="Q91" s="2"/>
      <c r="R91" s="2"/>
      <c r="S91" s="18">
        <f t="shared" ca="1" si="40"/>
        <v>0.43445678490450024</v>
      </c>
      <c r="T91" s="20">
        <f t="shared" ca="1" si="41"/>
        <v>-0.70484025308575005</v>
      </c>
      <c r="U91" s="18">
        <f t="shared" ca="1" si="42"/>
        <v>0.22304439746300211</v>
      </c>
      <c r="V91" s="20">
        <f t="shared" ca="1" si="43"/>
        <v>-0.31466064638262181</v>
      </c>
      <c r="W91" s="21">
        <f t="shared" ca="1" si="44"/>
        <v>101</v>
      </c>
      <c r="X91" s="21">
        <f t="shared" ca="1" si="52"/>
        <v>-49</v>
      </c>
      <c r="Y91" s="2"/>
      <c r="Z91" s="2"/>
    </row>
    <row r="92" spans="1:26" ht="14.25" customHeight="1" x14ac:dyDescent="0.45">
      <c r="A92" s="12" t="s">
        <v>25</v>
      </c>
      <c r="B92" s="12" t="s">
        <v>55</v>
      </c>
      <c r="C92" s="13">
        <v>78</v>
      </c>
      <c r="D92" s="13">
        <v>41251</v>
      </c>
      <c r="E92" s="13">
        <f t="shared" ca="1" si="45"/>
        <v>58955</v>
      </c>
      <c r="F92" s="15">
        <f t="shared" ca="1" si="46"/>
        <v>-17704</v>
      </c>
      <c r="G92" s="16">
        <f t="shared" ca="1" si="47"/>
        <v>-0.30029683657026546</v>
      </c>
      <c r="H92" s="13">
        <v>557</v>
      </c>
      <c r="I92" s="13">
        <f t="shared" ca="1" si="48"/>
        <v>642</v>
      </c>
      <c r="J92" s="15">
        <f t="shared" ca="1" si="49"/>
        <v>-85</v>
      </c>
      <c r="K92" s="16">
        <f t="shared" ca="1" si="50"/>
        <v>-0.13239875389408098</v>
      </c>
      <c r="L92" s="13">
        <f t="shared" si="38"/>
        <v>528.85897435897436</v>
      </c>
      <c r="M92" s="13">
        <f t="shared" si="39"/>
        <v>13.502702964776612</v>
      </c>
      <c r="N92" s="13">
        <v>1212</v>
      </c>
      <c r="O92" s="15">
        <f t="shared" ca="1" si="51"/>
        <v>1</v>
      </c>
      <c r="P92" s="2"/>
      <c r="Q92" s="2"/>
      <c r="R92" s="2"/>
      <c r="S92" s="18">
        <f t="shared" ca="1" si="40"/>
        <v>0.51820663370416153</v>
      </c>
      <c r="T92" s="20">
        <f t="shared" ca="1" si="41"/>
        <v>-0.81850347027442694</v>
      </c>
      <c r="U92" s="18">
        <f t="shared" ca="1" si="42"/>
        <v>0.23224568138195778</v>
      </c>
      <c r="V92" s="20">
        <f t="shared" ca="1" si="43"/>
        <v>-0.36464443527603874</v>
      </c>
      <c r="W92" s="21">
        <f t="shared" ca="1" si="44"/>
        <v>17</v>
      </c>
      <c r="X92" s="21">
        <f t="shared" ca="1" si="52"/>
        <v>-16</v>
      </c>
      <c r="Y92" s="2"/>
      <c r="Z92" s="2"/>
    </row>
    <row r="93" spans="1:26" ht="14.25" customHeight="1" x14ac:dyDescent="0.45">
      <c r="A93" s="12" t="s">
        <v>25</v>
      </c>
      <c r="B93" s="12" t="s">
        <v>56</v>
      </c>
      <c r="C93" s="13">
        <v>21</v>
      </c>
      <c r="D93" s="13">
        <v>8577</v>
      </c>
      <c r="E93" s="13">
        <f t="shared" ca="1" si="45"/>
        <v>11036</v>
      </c>
      <c r="F93" s="15">
        <f t="shared" ca="1" si="46"/>
        <v>-2459</v>
      </c>
      <c r="G93" s="16">
        <f t="shared" ca="1" si="47"/>
        <v>-0.222816237767307</v>
      </c>
      <c r="H93" s="13">
        <v>702</v>
      </c>
      <c r="I93" s="13">
        <f t="shared" ca="1" si="48"/>
        <v>771</v>
      </c>
      <c r="J93" s="15">
        <f t="shared" ca="1" si="49"/>
        <v>-69</v>
      </c>
      <c r="K93" s="16">
        <f t="shared" ca="1" si="50"/>
        <v>-8.9494163424124515E-2</v>
      </c>
      <c r="L93" s="13">
        <f t="shared" si="38"/>
        <v>408.42857142857144</v>
      </c>
      <c r="M93" s="13">
        <f t="shared" si="39"/>
        <v>81.84679958027283</v>
      </c>
      <c r="N93" s="13">
        <v>1355</v>
      </c>
      <c r="O93" s="15">
        <f t="shared" ca="1" si="51"/>
        <v>-2</v>
      </c>
      <c r="P93" s="2"/>
      <c r="Q93" s="2"/>
      <c r="R93" s="2"/>
      <c r="S93" s="18">
        <f t="shared" ca="1" si="40"/>
        <v>-0.21658266486831831</v>
      </c>
      <c r="T93" s="20">
        <f t="shared" ca="1" si="41"/>
        <v>-6.2335728989886818E-3</v>
      </c>
      <c r="U93" s="18">
        <f t="shared" ca="1" si="42"/>
        <v>-0.16558441558441558</v>
      </c>
      <c r="V93" s="20">
        <f t="shared" ca="1" si="43"/>
        <v>7.6090252160291069E-2</v>
      </c>
      <c r="W93" s="21">
        <f t="shared" ca="1" si="44"/>
        <v>2</v>
      </c>
      <c r="X93" s="21">
        <f t="shared" ca="1" si="52"/>
        <v>-4</v>
      </c>
      <c r="Y93" s="2"/>
      <c r="Z93" s="2"/>
    </row>
    <row r="94" spans="1:26" ht="14.25" customHeight="1" x14ac:dyDescent="0.45">
      <c r="A94" s="12" t="s">
        <v>25</v>
      </c>
      <c r="B94" s="12" t="s">
        <v>61</v>
      </c>
      <c r="C94" s="13">
        <v>7</v>
      </c>
      <c r="D94" s="13">
        <v>764</v>
      </c>
      <c r="E94" s="13">
        <f t="shared" ca="1" si="45"/>
        <v>895</v>
      </c>
      <c r="F94" s="15">
        <f t="shared" ca="1" si="46"/>
        <v>-131</v>
      </c>
      <c r="G94" s="16">
        <f t="shared" ca="1" si="47"/>
        <v>-0.14636871508379889</v>
      </c>
      <c r="H94" s="13">
        <v>21</v>
      </c>
      <c r="I94" s="13">
        <f t="shared" ca="1" si="48"/>
        <v>41</v>
      </c>
      <c r="J94" s="15">
        <f t="shared" ca="1" si="49"/>
        <v>-20</v>
      </c>
      <c r="K94" s="16">
        <f t="shared" ca="1" si="50"/>
        <v>-0.48780487804878048</v>
      </c>
      <c r="L94" s="13">
        <f t="shared" si="38"/>
        <v>109.14285714285714</v>
      </c>
      <c r="M94" s="13">
        <f t="shared" si="39"/>
        <v>27.486910994764401</v>
      </c>
      <c r="N94" s="13">
        <v>230</v>
      </c>
      <c r="O94" s="15">
        <f t="shared" ca="1" si="51"/>
        <v>-4</v>
      </c>
      <c r="P94" s="2"/>
      <c r="Q94" s="2"/>
      <c r="R94" s="2"/>
      <c r="S94" s="18">
        <f t="shared" ca="1" si="40"/>
        <v>-0.51385116784356333</v>
      </c>
      <c r="T94" s="20">
        <f t="shared" ca="1" si="41"/>
        <v>0.36748245275976443</v>
      </c>
      <c r="U94" s="18">
        <f t="shared" ca="1" si="42"/>
        <v>-0.29310344827586204</v>
      </c>
      <c r="V94" s="20">
        <f t="shared" ca="1" si="43"/>
        <v>-0.19470142977291843</v>
      </c>
      <c r="W94" s="21">
        <f t="shared" ca="1" si="44"/>
        <v>0</v>
      </c>
      <c r="X94" s="21">
        <f t="shared" ca="1" si="52"/>
        <v>-4</v>
      </c>
      <c r="Y94" s="2"/>
      <c r="Z94" s="2"/>
    </row>
    <row r="95" spans="1:26" ht="14.25" customHeight="1" x14ac:dyDescent="0.45">
      <c r="A95" s="12" t="s">
        <v>25</v>
      </c>
      <c r="B95" s="12" t="s">
        <v>65</v>
      </c>
      <c r="C95" s="13">
        <v>7</v>
      </c>
      <c r="D95" s="13">
        <v>4119</v>
      </c>
      <c r="E95" s="13">
        <f t="shared" ca="1" si="45"/>
        <v>2103</v>
      </c>
      <c r="F95" s="15">
        <f t="shared" ca="1" si="46"/>
        <v>2016</v>
      </c>
      <c r="G95" s="16">
        <f t="shared" ca="1" si="47"/>
        <v>0.95863052781740365</v>
      </c>
      <c r="H95" s="13">
        <v>95</v>
      </c>
      <c r="I95" s="13">
        <f t="shared" ca="1" si="48"/>
        <v>57</v>
      </c>
      <c r="J95" s="15">
        <f t="shared" ca="1" si="49"/>
        <v>38</v>
      </c>
      <c r="K95" s="16">
        <f t="shared" ca="1" si="50"/>
        <v>0.66666666666666663</v>
      </c>
      <c r="L95" s="13">
        <f t="shared" si="38"/>
        <v>588.42857142857144</v>
      </c>
      <c r="M95" s="13">
        <f t="shared" si="39"/>
        <v>23.06385044913814</v>
      </c>
      <c r="N95" s="13">
        <v>334</v>
      </c>
      <c r="O95" s="15">
        <f t="shared" ca="1" si="51"/>
        <v>26</v>
      </c>
      <c r="P95" s="2"/>
      <c r="Q95" s="2"/>
      <c r="R95" s="2"/>
      <c r="S95" s="18">
        <f t="shared" ca="1" si="40"/>
        <v>1.1503067484662577</v>
      </c>
      <c r="T95" s="20">
        <f t="shared" ca="1" si="41"/>
        <v>-0.19167622064885403</v>
      </c>
      <c r="U95" s="18">
        <f t="shared" ca="1" si="42"/>
        <v>5.5555555555555552E-2</v>
      </c>
      <c r="V95" s="20">
        <f t="shared" ca="1" si="43"/>
        <v>0.61111111111111105</v>
      </c>
      <c r="W95" s="21">
        <f t="shared" ca="1" si="44"/>
        <v>13</v>
      </c>
      <c r="X95" s="21">
        <f t="shared" ca="1" si="52"/>
        <v>13</v>
      </c>
      <c r="Y95" s="2"/>
      <c r="Z95" s="2"/>
    </row>
    <row r="96" spans="1:26" ht="14.25" customHeight="1" x14ac:dyDescent="0.45">
      <c r="A96" s="25"/>
      <c r="B96" s="25" t="s">
        <v>71</v>
      </c>
      <c r="C96" s="26">
        <f>SUM(C75:C95)</f>
        <v>1428</v>
      </c>
      <c r="D96" s="26">
        <f>SUM(D75:D95)</f>
        <v>1003512</v>
      </c>
      <c r="E96" s="26">
        <f ca="1">SUM(E75:E95)</f>
        <v>1238429</v>
      </c>
      <c r="F96" s="27">
        <f ca="1">SUM(F75:F95)</f>
        <v>-234917</v>
      </c>
      <c r="G96" s="28">
        <f ca="1">IF(C96=0,"",IFERROR(F96/E96,""))</f>
        <v>-0.18968951792957045</v>
      </c>
      <c r="H96" s="26">
        <f>SUM(H75:H95)</f>
        <v>13864</v>
      </c>
      <c r="I96" s="26">
        <f ca="1">SUM(I75:I95)</f>
        <v>16231</v>
      </c>
      <c r="J96" s="27">
        <f ca="1">SUM(J75:J95)</f>
        <v>-2367</v>
      </c>
      <c r="K96" s="28">
        <f ca="1">IF(C96=0,"",IFERROR(J96/I96,""))</f>
        <v>-0.14583204978128272</v>
      </c>
      <c r="L96" s="26">
        <f t="shared" si="38"/>
        <v>702.73949579831935</v>
      </c>
      <c r="M96" s="26">
        <f t="shared" si="39"/>
        <v>13.815480034120171</v>
      </c>
      <c r="N96" s="26">
        <f>SUM(N75:N95)</f>
        <v>31298</v>
      </c>
      <c r="O96" s="27">
        <f ca="1">SUM(O75:O95)</f>
        <v>242</v>
      </c>
      <c r="P96" s="2"/>
      <c r="Q96" s="2"/>
      <c r="R96" s="2"/>
      <c r="S96" s="29">
        <f t="shared" ca="1" si="40"/>
        <v>0.19045028227352992</v>
      </c>
      <c r="T96" s="30">
        <f t="shared" ca="1" si="41"/>
        <v>-0.38013980020310034</v>
      </c>
      <c r="U96" s="29">
        <f t="shared" ca="1" si="42"/>
        <v>2.7278481012658229E-2</v>
      </c>
      <c r="V96" s="30">
        <f t="shared" ca="1" si="43"/>
        <v>-0.17311053079394095</v>
      </c>
      <c r="W96" s="31">
        <f t="shared" ca="1" si="44"/>
        <v>560</v>
      </c>
      <c r="X96" s="31">
        <f ca="1">IF(OR(C96=0,$O96="",$W96=""),"",$O96-$W96)</f>
        <v>-318</v>
      </c>
      <c r="Y96" s="2"/>
      <c r="Z96" s="2"/>
    </row>
    <row r="97" spans="1:26" ht="14.25" customHeight="1" x14ac:dyDescent="0.45">
      <c r="A97" s="39"/>
      <c r="B97" s="39" t="s">
        <v>72</v>
      </c>
      <c r="C97" s="40">
        <f>C30+C51+C74+C96</f>
        <v>6166</v>
      </c>
      <c r="D97" s="40">
        <f>D30+D51+D74+D96</f>
        <v>5874642</v>
      </c>
      <c r="E97" s="40">
        <f ca="1">E30+E51+E74+E96</f>
        <v>5628268</v>
      </c>
      <c r="F97" s="41">
        <f ca="1">F30+F51+F74+F96</f>
        <v>246374</v>
      </c>
      <c r="G97" s="42">
        <f ca="1">IF(OR(C30=0,C51=0,C74=0,C96=0),"",IFERROR(F97/E97,""))</f>
        <v>4.3774390274237115E-2</v>
      </c>
      <c r="H97" s="40">
        <f>H30+H51+H74+H96</f>
        <v>47610</v>
      </c>
      <c r="I97" s="40">
        <f ca="1">I30+I51+I74+I96</f>
        <v>53732</v>
      </c>
      <c r="J97" s="41">
        <f ca="1">J30+J51+J74+J96</f>
        <v>-6122</v>
      </c>
      <c r="K97" s="42">
        <f ca="1">IF(OR(C30=0,C51=0,C74=0,C96=0),"",IFERROR(J97/I97,""))</f>
        <v>-0.11393582967319288</v>
      </c>
      <c r="L97" s="40">
        <f t="shared" si="38"/>
        <v>952.74764839442105</v>
      </c>
      <c r="M97" s="40">
        <f t="shared" si="39"/>
        <v>8.1043236336784439</v>
      </c>
      <c r="N97" s="40">
        <f>N30+N51+N74+N96</f>
        <v>684206</v>
      </c>
      <c r="O97" s="41">
        <f ca="1">O30+O51+O74+O96</f>
        <v>774</v>
      </c>
      <c r="P97" s="2"/>
      <c r="Q97" s="2"/>
      <c r="R97" s="2"/>
      <c r="S97" s="29">
        <f t="shared" ca="1" si="40"/>
        <v>0.12525281456164403</v>
      </c>
      <c r="T97" s="30">
        <f t="shared" ca="1" si="41"/>
        <v>-8.1478424287406911E-2</v>
      </c>
      <c r="U97" s="29">
        <f t="shared" ca="1" si="42"/>
        <v>-6.7239718683555346E-4</v>
      </c>
      <c r="V97" s="30">
        <f t="shared" ca="1" si="43"/>
        <v>-0.11326343248635733</v>
      </c>
      <c r="W97" s="31">
        <f t="shared" ca="1" si="44"/>
        <v>3507</v>
      </c>
      <c r="X97" s="31">
        <f ca="1">IF(OR(C30=0,C51=0,C74=0,C96=0),"",$O97-$W97)</f>
        <v>-2733</v>
      </c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3:G97">
    <cfRule type="expression" dxfId="127" priority="1" stopIfTrue="1">
      <formula>AND(ISNUMBER(G3),G3&gt;=0.2)</formula>
    </cfRule>
    <cfRule type="expression" dxfId="126" priority="2" stopIfTrue="1">
      <formula>AND(ISNUMBER(G3),G3&lt;=-0.2)</formula>
    </cfRule>
    <cfRule type="expression" dxfId="125" priority="3" stopIfTrue="1">
      <formula>AND(ISNUMBER(G3),G3&gt;0)</formula>
    </cfRule>
    <cfRule type="expression" dxfId="124" priority="4" stopIfTrue="1">
      <formula>AND(ISNUMBER(G3),G3&lt;0)</formula>
    </cfRule>
  </conditionalFormatting>
  <conditionalFormatting sqref="K3:K97">
    <cfRule type="expression" dxfId="123" priority="5" stopIfTrue="1">
      <formula>AND(ISNUMBER(K3),K3&gt;=0.2)</formula>
    </cfRule>
    <cfRule type="expression" dxfId="122" priority="6" stopIfTrue="1">
      <formula>AND(ISNUMBER(K3),K3&lt;=-0.2)</formula>
    </cfRule>
    <cfRule type="expression" dxfId="121" priority="7" stopIfTrue="1">
      <formula>AND(ISNUMBER(K3),K3&gt;0)</formula>
    </cfRule>
    <cfRule type="expression" dxfId="120" priority="8" stopIfTrue="1">
      <formula>AND(ISNUMBER(K3),K3&lt;0)</formula>
    </cfRule>
  </conditionalFormatting>
  <conditionalFormatting sqref="T3:T97">
    <cfRule type="expression" dxfId="119" priority="9" stopIfTrue="1">
      <formula>AND(ISNUMBER(T3),T3&gt;=0.2)</formula>
    </cfRule>
    <cfRule type="expression" dxfId="118" priority="10" stopIfTrue="1">
      <formula>AND(ISNUMBER(T3),T3&lt;=-0.2)</formula>
    </cfRule>
    <cfRule type="expression" dxfId="117" priority="11" stopIfTrue="1">
      <formula>AND(ISNUMBER(T3),T3&gt;0)</formula>
    </cfRule>
    <cfRule type="expression" dxfId="116" priority="12" stopIfTrue="1">
      <formula>AND(ISNUMBER(T3),T3&lt;0)</formula>
    </cfRule>
  </conditionalFormatting>
  <conditionalFormatting sqref="V3:V97">
    <cfRule type="expression" dxfId="115" priority="13" stopIfTrue="1">
      <formula>AND(ISNUMBER(V3),V3&gt;=0.2)</formula>
    </cfRule>
    <cfRule type="expression" dxfId="114" priority="14" stopIfTrue="1">
      <formula>AND(ISNUMBER(V3),V3&lt;=-0.2)</formula>
    </cfRule>
    <cfRule type="expression" dxfId="113" priority="15" stopIfTrue="1">
      <formula>AND(ISNUMBER(V3),V3&gt;0)</formula>
    </cfRule>
    <cfRule type="expression" dxfId="112" priority="16" stopIfTrue="1">
      <formula>AND(ISNUMBER(V3),V3&lt;0)</formula>
    </cfRule>
  </conditionalFormatting>
  <conditionalFormatting sqref="F3:F97">
    <cfRule type="expression" dxfId="111" priority="17" stopIfTrue="1">
      <formula>AND(ISNUMBER(F3),F3&gt;0)</formula>
    </cfRule>
    <cfRule type="expression" dxfId="110" priority="18" stopIfTrue="1">
      <formula>AND(ISNUMBER(F3),F3&lt;0)</formula>
    </cfRule>
  </conditionalFormatting>
  <conditionalFormatting sqref="J3:J97">
    <cfRule type="expression" dxfId="109" priority="19" stopIfTrue="1">
      <formula>AND(ISNUMBER(J3),J3&gt;0)</formula>
    </cfRule>
    <cfRule type="expression" dxfId="108" priority="20" stopIfTrue="1">
      <formula>AND(ISNUMBER(J3),J3&lt;0)</formula>
    </cfRule>
  </conditionalFormatting>
  <conditionalFormatting sqref="O3:O97">
    <cfRule type="expression" dxfId="107" priority="21" stopIfTrue="1">
      <formula>AND(ISNUMBER(O3),O3&gt;0)</formula>
    </cfRule>
    <cfRule type="expression" dxfId="106" priority="22" stopIfTrue="1">
      <formula>AND(ISNUMBER(O3),O3&lt;0)</formula>
    </cfRule>
  </conditionalFormatting>
  <conditionalFormatting sqref="X3:X97">
    <cfRule type="expression" dxfId="105" priority="23" stopIfTrue="1">
      <formula>AND(ISNUMBER(X3),X3&gt;0)</formula>
    </cfRule>
    <cfRule type="expression" dxfId="104" priority="24" stopIfTrue="1">
      <formula>AND(ISNUMBER(X3),X3&lt;0)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18" workbookViewId="0"/>
  </sheetViews>
  <sheetFormatPr defaultColWidth="14.3984375" defaultRowHeight="15" customHeight="1" x14ac:dyDescent="0.45"/>
  <cols>
    <col min="1" max="1" width="15" style="56" customWidth="1"/>
    <col min="2" max="2" width="22" style="56" customWidth="1"/>
    <col min="3" max="3" width="11" style="56" customWidth="1"/>
    <col min="4" max="4" width="12" style="56" customWidth="1"/>
    <col min="5" max="6" width="13" style="56" customWidth="1"/>
    <col min="7" max="7" width="9" style="56" customWidth="1"/>
    <col min="8" max="8" width="10" style="56" customWidth="1"/>
    <col min="9" max="9" width="12" style="56" customWidth="1"/>
    <col min="10" max="10" width="11" style="56" customWidth="1"/>
    <col min="11" max="11" width="9" style="56" customWidth="1"/>
    <col min="12" max="13" width="14" style="56" customWidth="1"/>
    <col min="14" max="15" width="12" style="56" customWidth="1"/>
    <col min="16" max="16" width="8.73046875" style="56" customWidth="1"/>
    <col min="17" max="17" width="46" style="56" customWidth="1"/>
    <col min="18" max="18" width="8.73046875" style="56" customWidth="1"/>
    <col min="19" max="24" width="15" style="56" customWidth="1"/>
  </cols>
  <sheetData>
    <row r="1" spans="1:26" ht="17.25" customHeight="1" x14ac:dyDescent="0.5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30</v>
      </c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45">
      <c r="A2" s="5" t="s">
        <v>6</v>
      </c>
      <c r="B2" s="5" t="s">
        <v>31</v>
      </c>
      <c r="C2" s="5" t="s">
        <v>7</v>
      </c>
      <c r="D2" s="5" t="s">
        <v>8</v>
      </c>
      <c r="E2" s="5" t="s">
        <v>32</v>
      </c>
      <c r="F2" s="5" t="s">
        <v>33</v>
      </c>
      <c r="G2" s="5" t="s">
        <v>10</v>
      </c>
      <c r="H2" s="5" t="s">
        <v>11</v>
      </c>
      <c r="I2" s="5" t="s">
        <v>34</v>
      </c>
      <c r="J2" s="5" t="s">
        <v>35</v>
      </c>
      <c r="K2" s="5" t="s">
        <v>10</v>
      </c>
      <c r="L2" s="5" t="s">
        <v>36</v>
      </c>
      <c r="M2" s="5" t="s">
        <v>13</v>
      </c>
      <c r="N2" s="5" t="s">
        <v>14</v>
      </c>
      <c r="O2" s="5" t="s">
        <v>15</v>
      </c>
      <c r="P2" s="2"/>
      <c r="Q2" s="9" t="s">
        <v>74</v>
      </c>
      <c r="R2" s="2"/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2"/>
      <c r="Z2" s="2"/>
    </row>
    <row r="3" spans="1:26" ht="14.25" customHeight="1" x14ac:dyDescent="0.45">
      <c r="A3" s="12" t="s">
        <v>22</v>
      </c>
      <c r="B3" s="12" t="s">
        <v>37</v>
      </c>
      <c r="C3" s="13">
        <v>123</v>
      </c>
      <c r="D3" s="13">
        <v>516875</v>
      </c>
      <c r="E3" s="13">
        <f t="shared" ref="E3:E29" ca="1" si="0">IF($D3="","",IFERROR(IF(ISBLANK(INDIRECT("'"&amp;$Q$2&amp;"'!D"&amp;ROW())),"",INDIRECT("'"&amp;$Q$2&amp;"'!D"&amp;ROW())),""))</f>
        <v>367169</v>
      </c>
      <c r="F3" s="15">
        <f t="shared" ref="F3:F29" ca="1" si="1">IF(OR(D3="",E3=""),"",D3-E3)</f>
        <v>149706</v>
      </c>
      <c r="G3" s="16">
        <f t="shared" ref="G3:G29" ca="1" si="2">IFERROR(F3/E3,"")</f>
        <v>0.40773050012392115</v>
      </c>
      <c r="H3" s="13">
        <v>1943</v>
      </c>
      <c r="I3" s="13">
        <f t="shared" ref="I3:I29" ca="1" si="3">IF($H3="","",IFERROR(IF(ISBLANK(INDIRECT("'"&amp;$Q$2&amp;"'!H"&amp;ROW())),"",INDIRECT("'"&amp;$Q$2&amp;"'!H"&amp;ROW())),""))</f>
        <v>1463</v>
      </c>
      <c r="J3" s="15">
        <f t="shared" ref="J3:J29" ca="1" si="4">IF(OR(H3="",I3=""),"",H3-I3)</f>
        <v>480</v>
      </c>
      <c r="K3" s="16">
        <f t="shared" ref="K3:K29" ca="1" si="5">IFERROR(J3/I3,"")</f>
        <v>0.32809295967190705</v>
      </c>
      <c r="L3" s="13">
        <f t="shared" ref="L3:L34" si="6">IFERROR(D3/C3,"")</f>
        <v>4202.2357723577234</v>
      </c>
      <c r="M3" s="13">
        <f t="shared" ref="M3:M34" si="7">IFERROR(H3/D3*1000,"")</f>
        <v>3.75912938331318</v>
      </c>
      <c r="N3" s="13">
        <v>89076</v>
      </c>
      <c r="O3" s="15">
        <f t="shared" ref="O3:O29" ca="1" si="8">IFERROR(IF(OR(N3="",ISBLANK(INDIRECT("'"&amp;$Q$2&amp;"'!N"&amp;ROW()))),"",N3-INDIRECT("'"&amp;$Q$2&amp;"'!N"&amp;ROW())),"")</f>
        <v>1085</v>
      </c>
      <c r="P3" s="2"/>
      <c r="Q3" s="8" t="s">
        <v>38</v>
      </c>
      <c r="R3" s="2"/>
      <c r="S3" s="18">
        <f t="shared" ref="S3:S34" ca="1" si="9">IFERROR(IF(ISBLANK(INDIRECT("'"&amp;$Q$2&amp;"'!G"&amp;ROW())),"",INDIRECT("'"&amp;$Q$2&amp;"'!G"&amp;ROW())),"")</f>
        <v>-8.3594151678971301E-2</v>
      </c>
      <c r="T3" s="20">
        <f t="shared" ref="T3:T34" ca="1" si="10">IF(OR($G3="",$S3=""),"",$G3-$S3)</f>
        <v>0.49132465180289242</v>
      </c>
      <c r="U3" s="18">
        <f t="shared" ref="U3:U34" ca="1" si="11">IFERROR(IF(ISBLANK(INDIRECT("'"&amp;$Q$2&amp;"'!K"&amp;ROW())),"",INDIRECT("'"&amp;$Q$2&amp;"'!K"&amp;ROW())),"")</f>
        <v>-0.24470831182240579</v>
      </c>
      <c r="V3" s="20">
        <f t="shared" ref="V3:V34" ca="1" si="12">IF(OR($K3="",$U3=""),"",$K3-$U3)</f>
        <v>0.57280127149431281</v>
      </c>
      <c r="W3" s="21">
        <f t="shared" ref="W3:W34" ca="1" si="13">IFERROR(IF(ISBLANK(INDIRECT("'"&amp;$Q$2&amp;"'!O"&amp;ROW())),"",INDIRECT("'"&amp;$Q$2&amp;"'!O"&amp;ROW())),"")</f>
        <v>193</v>
      </c>
      <c r="X3" s="21">
        <f t="shared" ref="X3:X29" ca="1" si="14">IF(OR($O3="",$W3=""),"",$O3-$W3)</f>
        <v>892</v>
      </c>
      <c r="Y3" s="2"/>
      <c r="Z3" s="2"/>
    </row>
    <row r="4" spans="1:26" ht="14.25" customHeight="1" x14ac:dyDescent="0.45">
      <c r="A4" s="12" t="s">
        <v>22</v>
      </c>
      <c r="B4" s="12" t="s">
        <v>39</v>
      </c>
      <c r="C4" s="13">
        <v>144</v>
      </c>
      <c r="D4" s="13">
        <v>216205</v>
      </c>
      <c r="E4" s="13">
        <f t="shared" ca="1" si="0"/>
        <v>131208</v>
      </c>
      <c r="F4" s="15">
        <f t="shared" ca="1" si="1"/>
        <v>84997</v>
      </c>
      <c r="G4" s="16">
        <f t="shared" ca="1" si="2"/>
        <v>0.64780348759221995</v>
      </c>
      <c r="H4" s="13">
        <v>695</v>
      </c>
      <c r="I4" s="13">
        <f t="shared" ca="1" si="3"/>
        <v>570</v>
      </c>
      <c r="J4" s="15">
        <f t="shared" ca="1" si="4"/>
        <v>125</v>
      </c>
      <c r="K4" s="16">
        <f t="shared" ca="1" si="5"/>
        <v>0.21929824561403508</v>
      </c>
      <c r="L4" s="13">
        <f t="shared" si="6"/>
        <v>1501.4236111111111</v>
      </c>
      <c r="M4" s="13">
        <f t="shared" si="7"/>
        <v>3.2145417543535073</v>
      </c>
      <c r="N4" s="13">
        <v>26249</v>
      </c>
      <c r="O4" s="15">
        <f t="shared" ca="1" si="8"/>
        <v>25</v>
      </c>
      <c r="P4" s="2"/>
      <c r="Q4" s="22" t="s">
        <v>40</v>
      </c>
      <c r="R4" s="2"/>
      <c r="S4" s="18">
        <f t="shared" ca="1" si="9"/>
        <v>0.32282130902931805</v>
      </c>
      <c r="T4" s="20">
        <f t="shared" ca="1" si="10"/>
        <v>0.3249821785629019</v>
      </c>
      <c r="U4" s="18">
        <f t="shared" ca="1" si="11"/>
        <v>0.21535181236673773</v>
      </c>
      <c r="V4" s="20">
        <f t="shared" ca="1" si="12"/>
        <v>3.9464332472973485E-3</v>
      </c>
      <c r="W4" s="21">
        <f t="shared" ca="1" si="13"/>
        <v>21</v>
      </c>
      <c r="X4" s="21">
        <f t="shared" ca="1" si="14"/>
        <v>4</v>
      </c>
      <c r="Y4" s="2"/>
      <c r="Z4" s="2"/>
    </row>
    <row r="5" spans="1:26" ht="14.25" customHeight="1" x14ac:dyDescent="0.45">
      <c r="A5" s="12" t="s">
        <v>22</v>
      </c>
      <c r="B5" s="12" t="s">
        <v>41</v>
      </c>
      <c r="C5" s="13">
        <v>245</v>
      </c>
      <c r="D5" s="13">
        <v>4223</v>
      </c>
      <c r="E5" s="13">
        <f t="shared" ca="1" si="0"/>
        <v>6090</v>
      </c>
      <c r="F5" s="15">
        <f t="shared" ca="1" si="1"/>
        <v>-1867</v>
      </c>
      <c r="G5" s="16">
        <f t="shared" ca="1" si="2"/>
        <v>-0.30656814449917896</v>
      </c>
      <c r="H5" s="13">
        <v>10</v>
      </c>
      <c r="I5" s="13">
        <f t="shared" ca="1" si="3"/>
        <v>14</v>
      </c>
      <c r="J5" s="15">
        <f t="shared" ca="1" si="4"/>
        <v>-4</v>
      </c>
      <c r="K5" s="16">
        <f t="shared" ca="1" si="5"/>
        <v>-0.2857142857142857</v>
      </c>
      <c r="L5" s="13">
        <f t="shared" si="6"/>
        <v>17.236734693877551</v>
      </c>
      <c r="M5" s="13">
        <f t="shared" si="7"/>
        <v>2.3679848448969927</v>
      </c>
      <c r="N5" s="13">
        <v>3501</v>
      </c>
      <c r="O5" s="15">
        <f t="shared" ca="1" si="8"/>
        <v>-2</v>
      </c>
      <c r="P5" s="2"/>
      <c r="Q5" s="2"/>
      <c r="R5" s="2"/>
      <c r="S5" s="18">
        <f t="shared" ca="1" si="9"/>
        <v>0.16644321011300517</v>
      </c>
      <c r="T5" s="20">
        <f t="shared" ca="1" si="10"/>
        <v>-0.47301135461218413</v>
      </c>
      <c r="U5" s="18">
        <f t="shared" ca="1" si="11"/>
        <v>7.6923076923076927E-2</v>
      </c>
      <c r="V5" s="20">
        <f t="shared" ca="1" si="12"/>
        <v>-0.36263736263736263</v>
      </c>
      <c r="W5" s="21">
        <f t="shared" ca="1" si="13"/>
        <v>2</v>
      </c>
      <c r="X5" s="21">
        <f t="shared" ca="1" si="14"/>
        <v>-4</v>
      </c>
      <c r="Y5" s="2"/>
      <c r="Z5" s="2"/>
    </row>
    <row r="6" spans="1:26" ht="14.25" customHeight="1" x14ac:dyDescent="0.45">
      <c r="A6" s="12" t="s">
        <v>22</v>
      </c>
      <c r="B6" s="12" t="s">
        <v>42</v>
      </c>
      <c r="C6" s="13">
        <v>96</v>
      </c>
      <c r="D6" s="13">
        <v>52347</v>
      </c>
      <c r="E6" s="13">
        <f t="shared" ca="1" si="0"/>
        <v>56436</v>
      </c>
      <c r="F6" s="15">
        <f t="shared" ca="1" si="1"/>
        <v>-4089</v>
      </c>
      <c r="G6" s="16">
        <f t="shared" ca="1" si="2"/>
        <v>-7.2453752923665751E-2</v>
      </c>
      <c r="H6" s="13">
        <v>291</v>
      </c>
      <c r="I6" s="13">
        <f t="shared" ca="1" si="3"/>
        <v>269</v>
      </c>
      <c r="J6" s="15">
        <f t="shared" ca="1" si="4"/>
        <v>22</v>
      </c>
      <c r="K6" s="16">
        <f t="shared" ca="1" si="5"/>
        <v>8.1784386617100371E-2</v>
      </c>
      <c r="L6" s="13">
        <f t="shared" si="6"/>
        <v>545.28125</v>
      </c>
      <c r="M6" s="13">
        <f t="shared" si="7"/>
        <v>5.5590578256633618</v>
      </c>
      <c r="N6" s="13">
        <v>22931</v>
      </c>
      <c r="O6" s="15">
        <f t="shared" ca="1" si="8"/>
        <v>-4</v>
      </c>
      <c r="P6" s="2"/>
      <c r="Q6" s="2"/>
      <c r="R6" s="2"/>
      <c r="S6" s="18">
        <f t="shared" ca="1" si="9"/>
        <v>-0.14980415787887918</v>
      </c>
      <c r="T6" s="20">
        <f t="shared" ca="1" si="10"/>
        <v>7.7350404955213434E-2</v>
      </c>
      <c r="U6" s="18">
        <f t="shared" ca="1" si="11"/>
        <v>-8.5034013605442174E-2</v>
      </c>
      <c r="V6" s="20">
        <f t="shared" ca="1" si="12"/>
        <v>0.16681840022254255</v>
      </c>
      <c r="W6" s="21">
        <f t="shared" ca="1" si="13"/>
        <v>11</v>
      </c>
      <c r="X6" s="21">
        <f t="shared" ca="1" si="14"/>
        <v>-15</v>
      </c>
      <c r="Y6" s="2"/>
      <c r="Z6" s="2"/>
    </row>
    <row r="7" spans="1:26" ht="14.25" customHeight="1" x14ac:dyDescent="0.45">
      <c r="A7" s="12" t="s">
        <v>22</v>
      </c>
      <c r="B7" s="12" t="s">
        <v>43</v>
      </c>
      <c r="C7" s="13">
        <v>125</v>
      </c>
      <c r="D7" s="13">
        <v>108141</v>
      </c>
      <c r="E7" s="13">
        <f t="shared" ca="1" si="0"/>
        <v>105221</v>
      </c>
      <c r="F7" s="15">
        <f t="shared" ca="1" si="1"/>
        <v>2920</v>
      </c>
      <c r="G7" s="16">
        <f t="shared" ca="1" si="2"/>
        <v>2.7751114321285675E-2</v>
      </c>
      <c r="H7" s="13">
        <v>1025</v>
      </c>
      <c r="I7" s="13">
        <f t="shared" ca="1" si="3"/>
        <v>1220</v>
      </c>
      <c r="J7" s="15">
        <f t="shared" ca="1" si="4"/>
        <v>-195</v>
      </c>
      <c r="K7" s="16">
        <f t="shared" ca="1" si="5"/>
        <v>-0.1598360655737705</v>
      </c>
      <c r="L7" s="13">
        <f t="shared" si="6"/>
        <v>865.12800000000004</v>
      </c>
      <c r="M7" s="13">
        <f t="shared" si="7"/>
        <v>9.4783662070814962</v>
      </c>
      <c r="N7" s="13">
        <v>24832</v>
      </c>
      <c r="O7" s="15">
        <f t="shared" ca="1" si="8"/>
        <v>317</v>
      </c>
      <c r="P7" s="2"/>
      <c r="Q7" s="2"/>
      <c r="R7" s="2"/>
      <c r="S7" s="18">
        <f t="shared" ca="1" si="9"/>
        <v>-0.4751284481468549</v>
      </c>
      <c r="T7" s="20">
        <f t="shared" ca="1" si="10"/>
        <v>0.50287956246814058</v>
      </c>
      <c r="U7" s="18">
        <f t="shared" ca="1" si="11"/>
        <v>-0.44970681100586379</v>
      </c>
      <c r="V7" s="20">
        <f t="shared" ca="1" si="12"/>
        <v>0.28987074543209329</v>
      </c>
      <c r="W7" s="21">
        <f t="shared" ca="1" si="13"/>
        <v>73</v>
      </c>
      <c r="X7" s="21">
        <f t="shared" ca="1" si="14"/>
        <v>244</v>
      </c>
      <c r="Y7" s="2"/>
      <c r="Z7" s="2"/>
    </row>
    <row r="8" spans="1:26" ht="14.25" customHeight="1" x14ac:dyDescent="0.45">
      <c r="A8" s="12" t="s">
        <v>22</v>
      </c>
      <c r="B8" s="12" t="s">
        <v>44</v>
      </c>
      <c r="C8" s="13">
        <v>117</v>
      </c>
      <c r="D8" s="13">
        <v>347976</v>
      </c>
      <c r="E8" s="13">
        <f t="shared" ca="1" si="0"/>
        <v>272210</v>
      </c>
      <c r="F8" s="15">
        <f t="shared" ca="1" si="1"/>
        <v>75766</v>
      </c>
      <c r="G8" s="16">
        <f t="shared" ca="1" si="2"/>
        <v>0.27833657837698833</v>
      </c>
      <c r="H8" s="13">
        <v>3740</v>
      </c>
      <c r="I8" s="13">
        <f t="shared" ca="1" si="3"/>
        <v>4342</v>
      </c>
      <c r="J8" s="15">
        <f t="shared" ca="1" si="4"/>
        <v>-602</v>
      </c>
      <c r="K8" s="16">
        <f t="shared" ca="1" si="5"/>
        <v>-0.13864578535237218</v>
      </c>
      <c r="L8" s="13">
        <f t="shared" si="6"/>
        <v>2974.1538461538462</v>
      </c>
      <c r="M8" s="13">
        <f t="shared" si="7"/>
        <v>10.747867669034646</v>
      </c>
      <c r="N8" s="13">
        <v>21715</v>
      </c>
      <c r="O8" s="15">
        <f t="shared" ca="1" si="8"/>
        <v>218</v>
      </c>
      <c r="P8" s="2"/>
      <c r="Q8" s="2"/>
      <c r="R8" s="2"/>
      <c r="S8" s="18">
        <f t="shared" ca="1" si="9"/>
        <v>-0.26824875402555926</v>
      </c>
      <c r="T8" s="20">
        <f t="shared" ca="1" si="10"/>
        <v>0.54658533240254759</v>
      </c>
      <c r="U8" s="18">
        <f t="shared" ca="1" si="11"/>
        <v>-0.29087048832271761</v>
      </c>
      <c r="V8" s="20">
        <f t="shared" ca="1" si="12"/>
        <v>0.15222470297034543</v>
      </c>
      <c r="W8" s="21">
        <f t="shared" ca="1" si="13"/>
        <v>60</v>
      </c>
      <c r="X8" s="21">
        <f t="shared" ca="1" si="14"/>
        <v>158</v>
      </c>
      <c r="Y8" s="2"/>
      <c r="Z8" s="2"/>
    </row>
    <row r="9" spans="1:26" ht="14.25" customHeight="1" x14ac:dyDescent="0.45">
      <c r="A9" s="12" t="s">
        <v>22</v>
      </c>
      <c r="B9" s="12" t="s">
        <v>45</v>
      </c>
      <c r="C9" s="13">
        <v>119</v>
      </c>
      <c r="D9" s="13">
        <v>424827</v>
      </c>
      <c r="E9" s="13">
        <f t="shared" ca="1" si="0"/>
        <v>319358</v>
      </c>
      <c r="F9" s="15">
        <f t="shared" ca="1" si="1"/>
        <v>105469</v>
      </c>
      <c r="G9" s="16">
        <f t="shared" ca="1" si="2"/>
        <v>0.33025319547341853</v>
      </c>
      <c r="H9" s="13">
        <v>4187</v>
      </c>
      <c r="I9" s="13">
        <f t="shared" ca="1" si="3"/>
        <v>4035</v>
      </c>
      <c r="J9" s="15">
        <f t="shared" ca="1" si="4"/>
        <v>152</v>
      </c>
      <c r="K9" s="16">
        <f t="shared" ca="1" si="5"/>
        <v>3.7670384138785623E-2</v>
      </c>
      <c r="L9" s="13">
        <f t="shared" si="6"/>
        <v>3569.9747899159665</v>
      </c>
      <c r="M9" s="13">
        <f t="shared" si="7"/>
        <v>9.8557765867047049</v>
      </c>
      <c r="N9" s="13">
        <v>31301</v>
      </c>
      <c r="O9" s="15">
        <f t="shared" ca="1" si="8"/>
        <v>271</v>
      </c>
      <c r="P9" s="2"/>
      <c r="Q9" s="2"/>
      <c r="R9" s="2"/>
      <c r="S9" s="18">
        <f t="shared" ca="1" si="9"/>
        <v>-0.32202087278470803</v>
      </c>
      <c r="T9" s="20">
        <f t="shared" ca="1" si="10"/>
        <v>0.6522740682581265</v>
      </c>
      <c r="U9" s="18">
        <f t="shared" ca="1" si="11"/>
        <v>-0.40071290657953362</v>
      </c>
      <c r="V9" s="20">
        <f t="shared" ca="1" si="12"/>
        <v>0.43838329071831927</v>
      </c>
      <c r="W9" s="21">
        <f t="shared" ca="1" si="13"/>
        <v>47</v>
      </c>
      <c r="X9" s="21">
        <f t="shared" ca="1" si="14"/>
        <v>224</v>
      </c>
      <c r="Y9" s="2"/>
      <c r="Z9" s="2"/>
    </row>
    <row r="10" spans="1:26" ht="14.25" customHeight="1" x14ac:dyDescent="0.45">
      <c r="A10" s="12" t="s">
        <v>22</v>
      </c>
      <c r="B10" s="12" t="s">
        <v>46</v>
      </c>
      <c r="C10" s="13">
        <v>154</v>
      </c>
      <c r="D10" s="13">
        <v>202830</v>
      </c>
      <c r="E10" s="13">
        <f t="shared" ca="1" si="0"/>
        <v>197749</v>
      </c>
      <c r="F10" s="15">
        <f t="shared" ca="1" si="1"/>
        <v>5081</v>
      </c>
      <c r="G10" s="16">
        <f t="shared" ca="1" si="2"/>
        <v>2.5694188086918264E-2</v>
      </c>
      <c r="H10" s="13">
        <v>1305</v>
      </c>
      <c r="I10" s="13">
        <f t="shared" ca="1" si="3"/>
        <v>1527</v>
      </c>
      <c r="J10" s="15">
        <f t="shared" ca="1" si="4"/>
        <v>-222</v>
      </c>
      <c r="K10" s="16">
        <f t="shared" ca="1" si="5"/>
        <v>-0.14538310412573674</v>
      </c>
      <c r="L10" s="13">
        <f t="shared" si="6"/>
        <v>1317.077922077922</v>
      </c>
      <c r="M10" s="13">
        <f t="shared" si="7"/>
        <v>6.4339594734506731</v>
      </c>
      <c r="N10" s="13">
        <v>21574</v>
      </c>
      <c r="O10" s="15">
        <f t="shared" ca="1" si="8"/>
        <v>199</v>
      </c>
      <c r="P10" s="2"/>
      <c r="Q10" s="2"/>
      <c r="R10" s="2"/>
      <c r="S10" s="18">
        <f t="shared" ca="1" si="9"/>
        <v>0.26417772095253317</v>
      </c>
      <c r="T10" s="20">
        <f t="shared" ca="1" si="10"/>
        <v>-0.23848353286561491</v>
      </c>
      <c r="U10" s="18">
        <f t="shared" ca="1" si="11"/>
        <v>0.52091633466135456</v>
      </c>
      <c r="V10" s="20">
        <f t="shared" ca="1" si="12"/>
        <v>-0.6662994387870913</v>
      </c>
      <c r="W10" s="21">
        <f t="shared" ca="1" si="13"/>
        <v>96</v>
      </c>
      <c r="X10" s="21">
        <f t="shared" ca="1" si="14"/>
        <v>103</v>
      </c>
      <c r="Y10" s="2"/>
      <c r="Z10" s="2"/>
    </row>
    <row r="11" spans="1:26" ht="14.25" customHeight="1" x14ac:dyDescent="0.45">
      <c r="A11" s="12" t="s">
        <v>22</v>
      </c>
      <c r="B11" s="12" t="s">
        <v>47</v>
      </c>
      <c r="C11" s="13">
        <v>145</v>
      </c>
      <c r="D11" s="13">
        <v>572378</v>
      </c>
      <c r="E11" s="13">
        <f t="shared" ca="1" si="0"/>
        <v>383862</v>
      </c>
      <c r="F11" s="15">
        <f t="shared" ca="1" si="1"/>
        <v>188516</v>
      </c>
      <c r="G11" s="16">
        <f t="shared" ca="1" si="2"/>
        <v>0.49110357368012464</v>
      </c>
      <c r="H11" s="13">
        <v>4467</v>
      </c>
      <c r="I11" s="13">
        <f t="shared" ca="1" si="3"/>
        <v>3494</v>
      </c>
      <c r="J11" s="15">
        <f t="shared" ca="1" si="4"/>
        <v>973</v>
      </c>
      <c r="K11" s="16">
        <f t="shared" ca="1" si="5"/>
        <v>0.27847738981110476</v>
      </c>
      <c r="L11" s="13">
        <f t="shared" si="6"/>
        <v>3947.4344827586206</v>
      </c>
      <c r="M11" s="13">
        <f t="shared" si="7"/>
        <v>7.8042831834906305</v>
      </c>
      <c r="N11" s="13">
        <v>20774</v>
      </c>
      <c r="O11" s="15">
        <f t="shared" ca="1" si="8"/>
        <v>138</v>
      </c>
      <c r="P11" s="2"/>
      <c r="Q11" s="2"/>
      <c r="R11" s="2"/>
      <c r="S11" s="18">
        <f t="shared" ca="1" si="9"/>
        <v>-0.14474015484877178</v>
      </c>
      <c r="T11" s="20">
        <f t="shared" ca="1" si="10"/>
        <v>0.63584372852889648</v>
      </c>
      <c r="U11" s="18">
        <f t="shared" ca="1" si="11"/>
        <v>-0.19585730724971231</v>
      </c>
      <c r="V11" s="20">
        <f t="shared" ca="1" si="12"/>
        <v>0.4743346970608171</v>
      </c>
      <c r="W11" s="21">
        <f t="shared" ca="1" si="13"/>
        <v>46</v>
      </c>
      <c r="X11" s="21">
        <f t="shared" ca="1" si="14"/>
        <v>92</v>
      </c>
      <c r="Y11" s="2"/>
      <c r="Z11" s="2"/>
    </row>
    <row r="12" spans="1:26" ht="14.25" customHeight="1" x14ac:dyDescent="0.45">
      <c r="A12" s="12" t="s">
        <v>22</v>
      </c>
      <c r="B12" s="12" t="s">
        <v>48</v>
      </c>
      <c r="C12" s="13">
        <v>97</v>
      </c>
      <c r="D12" s="13">
        <v>151998</v>
      </c>
      <c r="E12" s="13">
        <f t="shared" ca="1" si="0"/>
        <v>150944</v>
      </c>
      <c r="F12" s="15">
        <f t="shared" ca="1" si="1"/>
        <v>1054</v>
      </c>
      <c r="G12" s="16">
        <f t="shared" ca="1" si="2"/>
        <v>6.9827220691117235E-3</v>
      </c>
      <c r="H12" s="13">
        <v>2359</v>
      </c>
      <c r="I12" s="13">
        <f t="shared" ca="1" si="3"/>
        <v>2726</v>
      </c>
      <c r="J12" s="15">
        <f t="shared" ca="1" si="4"/>
        <v>-367</v>
      </c>
      <c r="K12" s="16">
        <f t="shared" ca="1" si="5"/>
        <v>-0.13462949376375641</v>
      </c>
      <c r="L12" s="13">
        <f t="shared" si="6"/>
        <v>1566.9896907216496</v>
      </c>
      <c r="M12" s="13">
        <f t="shared" si="7"/>
        <v>15.519941051855945</v>
      </c>
      <c r="N12" s="13">
        <v>15454</v>
      </c>
      <c r="O12" s="15">
        <f t="shared" ca="1" si="8"/>
        <v>76</v>
      </c>
      <c r="P12" s="2"/>
      <c r="Q12" s="2"/>
      <c r="R12" s="2"/>
      <c r="S12" s="18">
        <f t="shared" ca="1" si="9"/>
        <v>0.65416269410746186</v>
      </c>
      <c r="T12" s="20">
        <f t="shared" ca="1" si="10"/>
        <v>-0.64717997203835009</v>
      </c>
      <c r="U12" s="18">
        <f t="shared" ca="1" si="11"/>
        <v>0.654126213592233</v>
      </c>
      <c r="V12" s="20">
        <f t="shared" ca="1" si="12"/>
        <v>-0.78875570735598943</v>
      </c>
      <c r="W12" s="21">
        <f t="shared" ca="1" si="13"/>
        <v>59</v>
      </c>
      <c r="X12" s="21">
        <f t="shared" ca="1" si="14"/>
        <v>17</v>
      </c>
      <c r="Y12" s="2"/>
      <c r="Z12" s="2"/>
    </row>
    <row r="13" spans="1:26" ht="14.25" customHeight="1" x14ac:dyDescent="0.45">
      <c r="A13" s="12" t="s">
        <v>22</v>
      </c>
      <c r="B13" s="12" t="s">
        <v>49</v>
      </c>
      <c r="C13" s="13">
        <v>85</v>
      </c>
      <c r="D13" s="13">
        <v>48629</v>
      </c>
      <c r="E13" s="13">
        <f t="shared" ca="1" si="0"/>
        <v>29162</v>
      </c>
      <c r="F13" s="15">
        <f t="shared" ca="1" si="1"/>
        <v>19467</v>
      </c>
      <c r="G13" s="16">
        <f t="shared" ca="1" si="2"/>
        <v>0.66754680748919826</v>
      </c>
      <c r="H13" s="13">
        <v>706</v>
      </c>
      <c r="I13" s="13">
        <f t="shared" ca="1" si="3"/>
        <v>487</v>
      </c>
      <c r="J13" s="15">
        <f t="shared" ca="1" si="4"/>
        <v>219</v>
      </c>
      <c r="K13" s="16">
        <f t="shared" ca="1" si="5"/>
        <v>0.44969199178644764</v>
      </c>
      <c r="L13" s="13">
        <f t="shared" si="6"/>
        <v>572.10588235294119</v>
      </c>
      <c r="M13" s="13">
        <f t="shared" si="7"/>
        <v>14.518085915811554</v>
      </c>
      <c r="N13" s="13">
        <v>16447</v>
      </c>
      <c r="O13" s="15">
        <f t="shared" ca="1" si="8"/>
        <v>101</v>
      </c>
      <c r="P13" s="2"/>
      <c r="Q13" s="2"/>
      <c r="R13" s="2"/>
      <c r="S13" s="18">
        <f t="shared" ca="1" si="9"/>
        <v>-0.55768909920977994</v>
      </c>
      <c r="T13" s="20">
        <f t="shared" ca="1" si="10"/>
        <v>1.2252359066989782</v>
      </c>
      <c r="U13" s="18">
        <f t="shared" ca="1" si="11"/>
        <v>-0.53882575757575757</v>
      </c>
      <c r="V13" s="20">
        <f t="shared" ca="1" si="12"/>
        <v>0.98851774936220527</v>
      </c>
      <c r="W13" s="21">
        <f t="shared" ca="1" si="13"/>
        <v>4</v>
      </c>
      <c r="X13" s="21">
        <f t="shared" ca="1" si="14"/>
        <v>97</v>
      </c>
      <c r="Y13" s="2"/>
      <c r="Z13" s="2"/>
    </row>
    <row r="14" spans="1:26" ht="14.25" customHeight="1" x14ac:dyDescent="0.45">
      <c r="A14" s="12" t="s">
        <v>22</v>
      </c>
      <c r="B14" s="12" t="s">
        <v>50</v>
      </c>
      <c r="C14" s="13">
        <v>78</v>
      </c>
      <c r="D14" s="13">
        <v>82265</v>
      </c>
      <c r="E14" s="13">
        <f t="shared" ca="1" si="0"/>
        <v>52435</v>
      </c>
      <c r="F14" s="15">
        <f t="shared" ca="1" si="1"/>
        <v>29830</v>
      </c>
      <c r="G14" s="16">
        <f t="shared" ca="1" si="2"/>
        <v>0.56889482216077047</v>
      </c>
      <c r="H14" s="13">
        <v>787</v>
      </c>
      <c r="I14" s="13">
        <f t="shared" ca="1" si="3"/>
        <v>477</v>
      </c>
      <c r="J14" s="15">
        <f t="shared" ca="1" si="4"/>
        <v>310</v>
      </c>
      <c r="K14" s="16">
        <f t="shared" ca="1" si="5"/>
        <v>0.64989517819706499</v>
      </c>
      <c r="L14" s="13">
        <f t="shared" si="6"/>
        <v>1054.6794871794871</v>
      </c>
      <c r="M14" s="13">
        <f t="shared" si="7"/>
        <v>9.5666443809639574</v>
      </c>
      <c r="N14" s="13">
        <v>6402</v>
      </c>
      <c r="O14" s="15">
        <f t="shared" ca="1" si="8"/>
        <v>74</v>
      </c>
      <c r="P14" s="2"/>
      <c r="Q14" s="2"/>
      <c r="R14" s="2"/>
      <c r="S14" s="18">
        <f t="shared" ca="1" si="9"/>
        <v>0.38595934765945072</v>
      </c>
      <c r="T14" s="20">
        <f t="shared" ca="1" si="10"/>
        <v>0.18293547450131975</v>
      </c>
      <c r="U14" s="18">
        <f t="shared" ca="1" si="11"/>
        <v>0.14939759036144579</v>
      </c>
      <c r="V14" s="20">
        <f t="shared" ca="1" si="12"/>
        <v>0.50049758783561926</v>
      </c>
      <c r="W14" s="21">
        <f t="shared" ca="1" si="13"/>
        <v>29</v>
      </c>
      <c r="X14" s="21">
        <f t="shared" ca="1" si="14"/>
        <v>45</v>
      </c>
      <c r="Y14" s="2"/>
      <c r="Z14" s="2"/>
    </row>
    <row r="15" spans="1:26" ht="14.25" customHeight="1" x14ac:dyDescent="0.45">
      <c r="A15" s="12" t="s">
        <v>22</v>
      </c>
      <c r="B15" s="12" t="s">
        <v>51</v>
      </c>
      <c r="C15" s="13">
        <v>44</v>
      </c>
      <c r="D15" s="13">
        <v>43212</v>
      </c>
      <c r="E15" s="13">
        <f t="shared" ca="1" si="0"/>
        <v>31393</v>
      </c>
      <c r="F15" s="15">
        <f t="shared" ca="1" si="1"/>
        <v>11819</v>
      </c>
      <c r="G15" s="16">
        <f t="shared" ca="1" si="2"/>
        <v>0.37648520370783295</v>
      </c>
      <c r="H15" s="13">
        <v>348</v>
      </c>
      <c r="I15" s="13">
        <f t="shared" ca="1" si="3"/>
        <v>543</v>
      </c>
      <c r="J15" s="15">
        <f t="shared" ca="1" si="4"/>
        <v>-195</v>
      </c>
      <c r="K15" s="16">
        <f t="shared" ca="1" si="5"/>
        <v>-0.35911602209944754</v>
      </c>
      <c r="L15" s="13">
        <f t="shared" si="6"/>
        <v>982.09090909090912</v>
      </c>
      <c r="M15" s="13">
        <f t="shared" si="7"/>
        <v>8.0533185226326029</v>
      </c>
      <c r="N15" s="13">
        <v>3679</v>
      </c>
      <c r="O15" s="15">
        <f t="shared" ca="1" si="8"/>
        <v>24</v>
      </c>
      <c r="P15" s="2"/>
      <c r="Q15" s="2"/>
      <c r="R15" s="2"/>
      <c r="S15" s="18">
        <f t="shared" ca="1" si="9"/>
        <v>-0.20433405145102015</v>
      </c>
      <c r="T15" s="20">
        <f t="shared" ca="1" si="10"/>
        <v>0.58081925515885313</v>
      </c>
      <c r="U15" s="18">
        <f t="shared" ca="1" si="11"/>
        <v>0.11270491803278689</v>
      </c>
      <c r="V15" s="20">
        <f t="shared" ca="1" si="12"/>
        <v>-0.47182094013223441</v>
      </c>
      <c r="W15" s="21">
        <f t="shared" ca="1" si="13"/>
        <v>7</v>
      </c>
      <c r="X15" s="21">
        <f t="shared" ca="1" si="14"/>
        <v>17</v>
      </c>
      <c r="Y15" s="2"/>
      <c r="Z15" s="2"/>
    </row>
    <row r="16" spans="1:26" ht="14.25" customHeight="1" x14ac:dyDescent="0.45">
      <c r="A16" s="12" t="s">
        <v>22</v>
      </c>
      <c r="B16" s="12" t="s">
        <v>52</v>
      </c>
      <c r="C16" s="13">
        <v>73</v>
      </c>
      <c r="D16" s="13">
        <v>158474</v>
      </c>
      <c r="E16" s="13">
        <f t="shared" ca="1" si="0"/>
        <v>136318</v>
      </c>
      <c r="F16" s="15">
        <f t="shared" ca="1" si="1"/>
        <v>22156</v>
      </c>
      <c r="G16" s="16">
        <f t="shared" ca="1" si="2"/>
        <v>0.16253172728473128</v>
      </c>
      <c r="H16" s="13">
        <v>1498</v>
      </c>
      <c r="I16" s="13">
        <f t="shared" ca="1" si="3"/>
        <v>1960</v>
      </c>
      <c r="J16" s="15">
        <f t="shared" ca="1" si="4"/>
        <v>-462</v>
      </c>
      <c r="K16" s="16">
        <f t="shared" ca="1" si="5"/>
        <v>-0.23571428571428571</v>
      </c>
      <c r="L16" s="13">
        <f t="shared" si="6"/>
        <v>2170.8767123287671</v>
      </c>
      <c r="M16" s="13">
        <f t="shared" si="7"/>
        <v>9.4526546941454122</v>
      </c>
      <c r="N16" s="13">
        <v>12733</v>
      </c>
      <c r="O16" s="15">
        <f t="shared" ca="1" si="8"/>
        <v>268</v>
      </c>
      <c r="P16" s="2"/>
      <c r="Q16" s="2"/>
      <c r="R16" s="2"/>
      <c r="S16" s="18">
        <f t="shared" ca="1" si="9"/>
        <v>0.35056571621059307</v>
      </c>
      <c r="T16" s="20">
        <f t="shared" ca="1" si="10"/>
        <v>-0.18803398892586179</v>
      </c>
      <c r="U16" s="18">
        <f t="shared" ca="1" si="11"/>
        <v>1.0523560209424083</v>
      </c>
      <c r="V16" s="20">
        <f t="shared" ca="1" si="12"/>
        <v>-1.2880703066566941</v>
      </c>
      <c r="W16" s="21">
        <f t="shared" ca="1" si="13"/>
        <v>180</v>
      </c>
      <c r="X16" s="21">
        <f t="shared" ca="1" si="14"/>
        <v>88</v>
      </c>
      <c r="Y16" s="2"/>
      <c r="Z16" s="2"/>
    </row>
    <row r="17" spans="1:26" ht="14.25" customHeight="1" x14ac:dyDescent="0.45">
      <c r="A17" s="12" t="s">
        <v>22</v>
      </c>
      <c r="B17" s="12" t="s">
        <v>53</v>
      </c>
      <c r="C17" s="13">
        <v>67</v>
      </c>
      <c r="D17" s="13">
        <v>205869</v>
      </c>
      <c r="E17" s="13">
        <f t="shared" ca="1" si="0"/>
        <v>243443</v>
      </c>
      <c r="F17" s="15">
        <f t="shared" ca="1" si="1"/>
        <v>-37574</v>
      </c>
      <c r="G17" s="16">
        <f t="shared" ca="1" si="2"/>
        <v>-0.15434413805285016</v>
      </c>
      <c r="H17" s="13">
        <v>2433</v>
      </c>
      <c r="I17" s="13">
        <f t="shared" ca="1" si="3"/>
        <v>3376</v>
      </c>
      <c r="J17" s="15">
        <f t="shared" ca="1" si="4"/>
        <v>-943</v>
      </c>
      <c r="K17" s="16">
        <f t="shared" ca="1" si="5"/>
        <v>-0.27932464454976302</v>
      </c>
      <c r="L17" s="13">
        <f t="shared" si="6"/>
        <v>3072.6716417910447</v>
      </c>
      <c r="M17" s="13">
        <f t="shared" si="7"/>
        <v>11.818195065794267</v>
      </c>
      <c r="N17" s="13">
        <v>7814</v>
      </c>
      <c r="O17" s="15">
        <f t="shared" ca="1" si="8"/>
        <v>35</v>
      </c>
      <c r="P17" s="2"/>
      <c r="Q17" s="2"/>
      <c r="R17" s="2"/>
      <c r="S17" s="18">
        <f t="shared" ca="1" si="9"/>
        <v>0.93885791653392803</v>
      </c>
      <c r="T17" s="20">
        <f t="shared" ca="1" si="10"/>
        <v>-1.0932020545867782</v>
      </c>
      <c r="U17" s="18">
        <f t="shared" ca="1" si="11"/>
        <v>1.0635696821515892</v>
      </c>
      <c r="V17" s="20">
        <f t="shared" ca="1" si="12"/>
        <v>-1.3428943267013522</v>
      </c>
      <c r="W17" s="21">
        <f t="shared" ca="1" si="13"/>
        <v>17</v>
      </c>
      <c r="X17" s="21">
        <f t="shared" ca="1" si="14"/>
        <v>18</v>
      </c>
      <c r="Y17" s="2"/>
      <c r="Z17" s="2"/>
    </row>
    <row r="18" spans="1:26" ht="14.25" customHeight="1" x14ac:dyDescent="0.45">
      <c r="A18" s="12" t="s">
        <v>22</v>
      </c>
      <c r="B18" s="12" t="s">
        <v>54</v>
      </c>
      <c r="C18" s="13">
        <v>95</v>
      </c>
      <c r="D18" s="13">
        <v>196933</v>
      </c>
      <c r="E18" s="13">
        <f t="shared" ca="1" si="0"/>
        <v>131060</v>
      </c>
      <c r="F18" s="15">
        <f t="shared" ca="1" si="1"/>
        <v>65873</v>
      </c>
      <c r="G18" s="16">
        <f t="shared" ca="1" si="2"/>
        <v>0.50261712192888752</v>
      </c>
      <c r="H18" s="13">
        <v>2149</v>
      </c>
      <c r="I18" s="13">
        <f t="shared" ca="1" si="3"/>
        <v>1519</v>
      </c>
      <c r="J18" s="15">
        <f t="shared" ca="1" si="4"/>
        <v>630</v>
      </c>
      <c r="K18" s="16">
        <f t="shared" ca="1" si="5"/>
        <v>0.41474654377880182</v>
      </c>
      <c r="L18" s="13">
        <f t="shared" si="6"/>
        <v>2072.9789473684209</v>
      </c>
      <c r="M18" s="13">
        <f t="shared" si="7"/>
        <v>10.912340745329629</v>
      </c>
      <c r="N18" s="13">
        <v>18217</v>
      </c>
      <c r="O18" s="15">
        <f t="shared" ca="1" si="8"/>
        <v>52</v>
      </c>
      <c r="P18" s="2"/>
      <c r="Q18" s="2"/>
      <c r="R18" s="2"/>
      <c r="S18" s="18">
        <f t="shared" ca="1" si="9"/>
        <v>-0.47422895471613336</v>
      </c>
      <c r="T18" s="20">
        <f t="shared" ca="1" si="10"/>
        <v>0.97684607664502088</v>
      </c>
      <c r="U18" s="18">
        <f t="shared" ca="1" si="11"/>
        <v>-0.38252032520325202</v>
      </c>
      <c r="V18" s="20">
        <f t="shared" ca="1" si="12"/>
        <v>0.7972668689820539</v>
      </c>
      <c r="W18" s="21">
        <f t="shared" ca="1" si="13"/>
        <v>14</v>
      </c>
      <c r="X18" s="21">
        <f t="shared" ca="1" si="14"/>
        <v>38</v>
      </c>
      <c r="Y18" s="2"/>
      <c r="Z18" s="2"/>
    </row>
    <row r="19" spans="1:26" ht="14.25" customHeight="1" x14ac:dyDescent="0.45">
      <c r="A19" s="12" t="s">
        <v>22</v>
      </c>
      <c r="B19" s="12" t="s">
        <v>55</v>
      </c>
      <c r="C19" s="13">
        <v>106</v>
      </c>
      <c r="D19" s="13">
        <v>172329</v>
      </c>
      <c r="E19" s="13">
        <f t="shared" ca="1" si="0"/>
        <v>95175</v>
      </c>
      <c r="F19" s="15">
        <f t="shared" ca="1" si="1"/>
        <v>77154</v>
      </c>
      <c r="G19" s="16">
        <f t="shared" ca="1" si="2"/>
        <v>0.8106540583136328</v>
      </c>
      <c r="H19" s="13">
        <v>2107</v>
      </c>
      <c r="I19" s="13">
        <f t="shared" ca="1" si="3"/>
        <v>856</v>
      </c>
      <c r="J19" s="15">
        <f t="shared" ca="1" si="4"/>
        <v>1251</v>
      </c>
      <c r="K19" s="16">
        <f t="shared" ca="1" si="5"/>
        <v>1.4614485981308412</v>
      </c>
      <c r="L19" s="13">
        <f t="shared" si="6"/>
        <v>1625.7452830188679</v>
      </c>
      <c r="M19" s="13">
        <f t="shared" si="7"/>
        <v>12.226613048297152</v>
      </c>
      <c r="N19" s="13">
        <v>19019</v>
      </c>
      <c r="O19" s="15">
        <f t="shared" ca="1" si="8"/>
        <v>63</v>
      </c>
      <c r="P19" s="2"/>
      <c r="Q19" s="2"/>
      <c r="R19" s="2"/>
      <c r="S19" s="18">
        <f t="shared" ca="1" si="9"/>
        <v>-0.30796917036282995</v>
      </c>
      <c r="T19" s="20">
        <f t="shared" ca="1" si="10"/>
        <v>1.1186232286764628</v>
      </c>
      <c r="U19" s="18">
        <f t="shared" ca="1" si="11"/>
        <v>-0.40965517241379312</v>
      </c>
      <c r="V19" s="20">
        <f t="shared" ca="1" si="12"/>
        <v>1.8711037705446343</v>
      </c>
      <c r="W19" s="21">
        <f t="shared" ca="1" si="13"/>
        <v>26</v>
      </c>
      <c r="X19" s="21">
        <f t="shared" ca="1" si="14"/>
        <v>37</v>
      </c>
      <c r="Y19" s="2"/>
      <c r="Z19" s="2"/>
    </row>
    <row r="20" spans="1:26" ht="14.25" customHeight="1" x14ac:dyDescent="0.45">
      <c r="A20" s="12" t="s">
        <v>22</v>
      </c>
      <c r="B20" s="12" t="s">
        <v>56</v>
      </c>
      <c r="C20" s="13">
        <v>24</v>
      </c>
      <c r="D20" s="13">
        <v>12837</v>
      </c>
      <c r="E20" s="13">
        <f t="shared" ca="1" si="0"/>
        <v>72937</v>
      </c>
      <c r="F20" s="15">
        <f t="shared" ca="1" si="1"/>
        <v>-60100</v>
      </c>
      <c r="G20" s="16">
        <f t="shared" ca="1" si="2"/>
        <v>-0.82399879347930405</v>
      </c>
      <c r="H20" s="13">
        <v>1764</v>
      </c>
      <c r="I20" s="13">
        <f t="shared" ca="1" si="3"/>
        <v>1638</v>
      </c>
      <c r="J20" s="15">
        <f t="shared" ca="1" si="4"/>
        <v>126</v>
      </c>
      <c r="K20" s="16">
        <f t="shared" ca="1" si="5"/>
        <v>7.6923076923076927E-2</v>
      </c>
      <c r="L20" s="13">
        <f t="shared" si="6"/>
        <v>534.875</v>
      </c>
      <c r="M20" s="13">
        <f t="shared" si="7"/>
        <v>137.41528394484692</v>
      </c>
      <c r="N20" s="13">
        <v>14561</v>
      </c>
      <c r="O20" s="15">
        <f t="shared" ca="1" si="8"/>
        <v>55</v>
      </c>
      <c r="P20" s="2"/>
      <c r="Q20" s="2"/>
      <c r="R20" s="2"/>
      <c r="S20" s="18">
        <f t="shared" ca="1" si="9"/>
        <v>-0.22624756004413138</v>
      </c>
      <c r="T20" s="20">
        <f t="shared" ca="1" si="10"/>
        <v>-0.59775123343517267</v>
      </c>
      <c r="U20" s="18">
        <f t="shared" ca="1" si="11"/>
        <v>0.16666666666666666</v>
      </c>
      <c r="V20" s="20">
        <f t="shared" ca="1" si="12"/>
        <v>-8.974358974358973E-2</v>
      </c>
      <c r="W20" s="21">
        <f t="shared" ca="1" si="13"/>
        <v>49</v>
      </c>
      <c r="X20" s="21">
        <f t="shared" ca="1" si="14"/>
        <v>6</v>
      </c>
      <c r="Y20" s="2"/>
      <c r="Z20" s="2"/>
    </row>
    <row r="21" spans="1:26" ht="14.25" customHeight="1" x14ac:dyDescent="0.45">
      <c r="A21" s="12" t="s">
        <v>22</v>
      </c>
      <c r="B21" s="12" t="s">
        <v>57</v>
      </c>
      <c r="C21" s="13">
        <v>8</v>
      </c>
      <c r="D21" s="13">
        <v>10664</v>
      </c>
      <c r="E21" s="13">
        <f t="shared" ca="1" si="0"/>
        <v>5597</v>
      </c>
      <c r="F21" s="15">
        <f t="shared" ca="1" si="1"/>
        <v>5067</v>
      </c>
      <c r="G21" s="16">
        <f t="shared" ca="1" si="2"/>
        <v>0.90530641415043778</v>
      </c>
      <c r="H21" s="13">
        <v>392</v>
      </c>
      <c r="I21" s="13">
        <f t="shared" ca="1" si="3"/>
        <v>173</v>
      </c>
      <c r="J21" s="15">
        <f t="shared" ca="1" si="4"/>
        <v>219</v>
      </c>
      <c r="K21" s="16">
        <f t="shared" ca="1" si="5"/>
        <v>1.2658959537572254</v>
      </c>
      <c r="L21" s="13">
        <f t="shared" si="6"/>
        <v>1333</v>
      </c>
      <c r="M21" s="13">
        <f t="shared" si="7"/>
        <v>36.759189797449359</v>
      </c>
      <c r="N21" s="13">
        <v>10601</v>
      </c>
      <c r="O21" s="15">
        <f t="shared" ca="1" si="8"/>
        <v>-1</v>
      </c>
      <c r="P21" s="2"/>
      <c r="Q21" s="2"/>
      <c r="R21" s="2"/>
      <c r="S21" s="18">
        <f t="shared" ca="1" si="9"/>
        <v>2.5559085133418042</v>
      </c>
      <c r="T21" s="20">
        <f t="shared" ca="1" si="10"/>
        <v>-1.6506020991913664</v>
      </c>
      <c r="U21" s="18">
        <f t="shared" ca="1" si="11"/>
        <v>4.580645161290323</v>
      </c>
      <c r="V21" s="20">
        <f t="shared" ca="1" si="12"/>
        <v>-3.3147492075330973</v>
      </c>
      <c r="W21" s="21">
        <f t="shared" ca="1" si="13"/>
        <v>2</v>
      </c>
      <c r="X21" s="21">
        <f t="shared" ca="1" si="14"/>
        <v>-3</v>
      </c>
      <c r="Y21" s="2"/>
      <c r="Z21" s="2"/>
    </row>
    <row r="22" spans="1:26" ht="14.25" customHeight="1" x14ac:dyDescent="0.45">
      <c r="A22" s="12" t="s">
        <v>22</v>
      </c>
      <c r="B22" s="12" t="s">
        <v>58</v>
      </c>
      <c r="C22" s="13">
        <v>24</v>
      </c>
      <c r="D22" s="13">
        <v>8406</v>
      </c>
      <c r="E22" s="13">
        <f t="shared" ca="1" si="0"/>
        <v>6203</v>
      </c>
      <c r="F22" s="15">
        <f t="shared" ca="1" si="1"/>
        <v>2203</v>
      </c>
      <c r="G22" s="16">
        <f t="shared" ca="1" si="2"/>
        <v>0.35515073351604065</v>
      </c>
      <c r="H22" s="13">
        <v>167</v>
      </c>
      <c r="I22" s="13">
        <f t="shared" ca="1" si="3"/>
        <v>198</v>
      </c>
      <c r="J22" s="15">
        <f t="shared" ca="1" si="4"/>
        <v>-31</v>
      </c>
      <c r="K22" s="16">
        <f t="shared" ca="1" si="5"/>
        <v>-0.15656565656565657</v>
      </c>
      <c r="L22" s="13">
        <f t="shared" si="6"/>
        <v>350.25</v>
      </c>
      <c r="M22" s="13">
        <f t="shared" si="7"/>
        <v>19.866761836783251</v>
      </c>
      <c r="N22" s="13">
        <v>7378</v>
      </c>
      <c r="O22" s="15">
        <f t="shared" ca="1" si="8"/>
        <v>-3</v>
      </c>
      <c r="P22" s="2"/>
      <c r="Q22" s="2"/>
      <c r="R22" s="2"/>
      <c r="S22" s="18">
        <f t="shared" ca="1" si="9"/>
        <v>-0.4588204501832141</v>
      </c>
      <c r="T22" s="20">
        <f t="shared" ca="1" si="10"/>
        <v>0.8139711836992547</v>
      </c>
      <c r="U22" s="18">
        <f t="shared" ca="1" si="11"/>
        <v>-3.8834951456310676E-2</v>
      </c>
      <c r="V22" s="20">
        <f t="shared" ca="1" si="12"/>
        <v>-0.1177307051093459</v>
      </c>
      <c r="W22" s="21">
        <f t="shared" ca="1" si="13"/>
        <v>-4</v>
      </c>
      <c r="X22" s="21">
        <f t="shared" ca="1" si="14"/>
        <v>1</v>
      </c>
      <c r="Y22" s="2"/>
      <c r="Z22" s="2"/>
    </row>
    <row r="23" spans="1:26" ht="14.25" customHeight="1" x14ac:dyDescent="0.45">
      <c r="A23" s="12" t="s">
        <v>22</v>
      </c>
      <c r="B23" s="12" t="s">
        <v>59</v>
      </c>
      <c r="C23" s="13">
        <v>9</v>
      </c>
      <c r="D23" s="13">
        <v>15529</v>
      </c>
      <c r="E23" s="13">
        <f t="shared" ca="1" si="0"/>
        <v>13590</v>
      </c>
      <c r="F23" s="15">
        <f t="shared" ca="1" si="1"/>
        <v>1939</v>
      </c>
      <c r="G23" s="16">
        <f t="shared" ca="1" si="2"/>
        <v>0.14267844002943342</v>
      </c>
      <c r="H23" s="13">
        <v>0</v>
      </c>
      <c r="I23" s="13">
        <f t="shared" ca="1" si="3"/>
        <v>332</v>
      </c>
      <c r="J23" s="15">
        <f t="shared" ca="1" si="4"/>
        <v>-332</v>
      </c>
      <c r="K23" s="16">
        <f t="shared" ca="1" si="5"/>
        <v>-1</v>
      </c>
      <c r="L23" s="13">
        <f t="shared" si="6"/>
        <v>1725.4444444444443</v>
      </c>
      <c r="M23" s="13">
        <f t="shared" si="7"/>
        <v>0</v>
      </c>
      <c r="N23" s="13">
        <v>5621</v>
      </c>
      <c r="O23" s="15">
        <f t="shared" ca="1" si="8"/>
        <v>7</v>
      </c>
      <c r="P23" s="2"/>
      <c r="Q23" s="2"/>
      <c r="R23" s="2"/>
      <c r="S23" s="18">
        <f t="shared" ca="1" si="9"/>
        <v>4.2879377431906613</v>
      </c>
      <c r="T23" s="20">
        <f t="shared" ca="1" si="10"/>
        <v>-4.1452593031612279</v>
      </c>
      <c r="U23" s="18">
        <f t="shared" ca="1" si="11"/>
        <v>0.97619047619047616</v>
      </c>
      <c r="V23" s="20">
        <f t="shared" ca="1" si="12"/>
        <v>-1.9761904761904763</v>
      </c>
      <c r="W23" s="21">
        <f t="shared" ca="1" si="13"/>
        <v>14</v>
      </c>
      <c r="X23" s="21">
        <f t="shared" ca="1" si="14"/>
        <v>-7</v>
      </c>
      <c r="Y23" s="2"/>
      <c r="Z23" s="2"/>
    </row>
    <row r="24" spans="1:26" ht="14.25" customHeight="1" x14ac:dyDescent="0.45">
      <c r="A24" s="12" t="s">
        <v>22</v>
      </c>
      <c r="B24" s="12" t="s">
        <v>60</v>
      </c>
      <c r="C24" s="13">
        <v>7</v>
      </c>
      <c r="D24" s="13">
        <v>9932</v>
      </c>
      <c r="E24" s="13">
        <f t="shared" ca="1" si="0"/>
        <v>14743</v>
      </c>
      <c r="F24" s="15">
        <f t="shared" ca="1" si="1"/>
        <v>-4811</v>
      </c>
      <c r="G24" s="16">
        <f t="shared" ca="1" si="2"/>
        <v>-0.32632435732211895</v>
      </c>
      <c r="H24" s="13">
        <v>301</v>
      </c>
      <c r="I24" s="13">
        <f t="shared" ca="1" si="3"/>
        <v>351</v>
      </c>
      <c r="J24" s="15">
        <f t="shared" ca="1" si="4"/>
        <v>-50</v>
      </c>
      <c r="K24" s="16">
        <f t="shared" ca="1" si="5"/>
        <v>-0.14245014245014245</v>
      </c>
      <c r="L24" s="13">
        <f t="shared" si="6"/>
        <v>1418.8571428571429</v>
      </c>
      <c r="M24" s="13">
        <f t="shared" si="7"/>
        <v>30.306081353201773</v>
      </c>
      <c r="N24" s="13">
        <v>2323</v>
      </c>
      <c r="O24" s="15">
        <f t="shared" ca="1" si="8"/>
        <v>5</v>
      </c>
      <c r="P24" s="2"/>
      <c r="Q24" s="2"/>
      <c r="R24" s="2"/>
      <c r="S24" s="18">
        <f t="shared" ca="1" si="9"/>
        <v>0.48949282683370376</v>
      </c>
      <c r="T24" s="20">
        <f t="shared" ca="1" si="10"/>
        <v>-0.81581718415582272</v>
      </c>
      <c r="U24" s="18">
        <f t="shared" ca="1" si="11"/>
        <v>0.37109375</v>
      </c>
      <c r="V24" s="20">
        <f t="shared" ca="1" si="12"/>
        <v>-0.51354389245014243</v>
      </c>
      <c r="W24" s="21">
        <f t="shared" ca="1" si="13"/>
        <v>3</v>
      </c>
      <c r="X24" s="21">
        <f t="shared" ca="1" si="14"/>
        <v>2</v>
      </c>
      <c r="Y24" s="2"/>
      <c r="Z24" s="2"/>
    </row>
    <row r="25" spans="1:26" ht="14.25" customHeight="1" x14ac:dyDescent="0.45">
      <c r="A25" s="12" t="s">
        <v>22</v>
      </c>
      <c r="B25" s="12" t="s">
        <v>61</v>
      </c>
      <c r="C25" s="13">
        <v>7</v>
      </c>
      <c r="D25" s="13">
        <v>20821</v>
      </c>
      <c r="E25" s="13">
        <f t="shared" ca="1" si="0"/>
        <v>113039</v>
      </c>
      <c r="F25" s="15">
        <f t="shared" ca="1" si="1"/>
        <v>-92218</v>
      </c>
      <c r="G25" s="16">
        <f t="shared" ca="1" si="2"/>
        <v>-0.8158069338900733</v>
      </c>
      <c r="H25" s="13">
        <v>179</v>
      </c>
      <c r="I25" s="13">
        <f t="shared" ca="1" si="3"/>
        <v>670</v>
      </c>
      <c r="J25" s="15">
        <f t="shared" ca="1" si="4"/>
        <v>-491</v>
      </c>
      <c r="K25" s="16">
        <f t="shared" ca="1" si="5"/>
        <v>-0.73283582089552235</v>
      </c>
      <c r="L25" s="13">
        <f t="shared" si="6"/>
        <v>2974.4285714285716</v>
      </c>
      <c r="M25" s="13">
        <f t="shared" si="7"/>
        <v>8.5970894769703659</v>
      </c>
      <c r="N25" s="13">
        <v>6186</v>
      </c>
      <c r="O25" s="15">
        <f t="shared" ca="1" si="8"/>
        <v>17</v>
      </c>
      <c r="P25" s="2"/>
      <c r="Q25" s="2"/>
      <c r="R25" s="2"/>
      <c r="S25" s="18">
        <f t="shared" ca="1" si="9"/>
        <v>5.7313166200202463</v>
      </c>
      <c r="T25" s="20">
        <f t="shared" ca="1" si="10"/>
        <v>-6.5471235539103194</v>
      </c>
      <c r="U25" s="18">
        <f t="shared" ca="1" si="11"/>
        <v>2.8068181818181817</v>
      </c>
      <c r="V25" s="20">
        <f t="shared" ca="1" si="12"/>
        <v>-3.539654002713704</v>
      </c>
      <c r="W25" s="21">
        <f t="shared" ca="1" si="13"/>
        <v>15</v>
      </c>
      <c r="X25" s="21">
        <f t="shared" ca="1" si="14"/>
        <v>2</v>
      </c>
      <c r="Y25" s="2"/>
      <c r="Z25" s="2"/>
    </row>
    <row r="26" spans="1:26" ht="14.25" customHeight="1" x14ac:dyDescent="0.45">
      <c r="A26" s="12" t="s">
        <v>22</v>
      </c>
      <c r="B26" s="12" t="s">
        <v>62</v>
      </c>
      <c r="C26" s="13">
        <v>238</v>
      </c>
      <c r="D26" s="13">
        <v>98990</v>
      </c>
      <c r="E26" s="13">
        <f t="shared" ca="1" si="0"/>
        <v>40025</v>
      </c>
      <c r="F26" s="15">
        <f t="shared" ca="1" si="1"/>
        <v>58965</v>
      </c>
      <c r="G26" s="16">
        <f t="shared" ca="1" si="2"/>
        <v>1.4732042473454092</v>
      </c>
      <c r="H26" s="13">
        <v>438</v>
      </c>
      <c r="I26" s="13">
        <f t="shared" ca="1" si="3"/>
        <v>130</v>
      </c>
      <c r="J26" s="15">
        <f t="shared" ca="1" si="4"/>
        <v>308</v>
      </c>
      <c r="K26" s="16">
        <f t="shared" ca="1" si="5"/>
        <v>2.3692307692307693</v>
      </c>
      <c r="L26" s="13">
        <f t="shared" si="6"/>
        <v>415.92436974789916</v>
      </c>
      <c r="M26" s="13">
        <f t="shared" si="7"/>
        <v>4.4246893625618755</v>
      </c>
      <c r="N26" s="13">
        <v>7932</v>
      </c>
      <c r="O26" s="15">
        <f t="shared" ca="1" si="8"/>
        <v>34</v>
      </c>
      <c r="P26" s="2"/>
      <c r="Q26" s="2"/>
      <c r="R26" s="2"/>
      <c r="S26" s="18">
        <f t="shared" ca="1" si="9"/>
        <v>-0.20822535657059207</v>
      </c>
      <c r="T26" s="20">
        <f t="shared" ca="1" si="10"/>
        <v>1.6814296039160013</v>
      </c>
      <c r="U26" s="18">
        <f t="shared" ca="1" si="11"/>
        <v>7.7519379844961239E-3</v>
      </c>
      <c r="V26" s="20">
        <f t="shared" ca="1" si="12"/>
        <v>2.3614788312462731</v>
      </c>
      <c r="W26" s="21">
        <f t="shared" ca="1" si="13"/>
        <v>9</v>
      </c>
      <c r="X26" s="21">
        <f t="shared" ca="1" si="14"/>
        <v>25</v>
      </c>
      <c r="Y26" s="2"/>
      <c r="Z26" s="2"/>
    </row>
    <row r="27" spans="1:26" ht="14.25" customHeight="1" x14ac:dyDescent="0.45">
      <c r="A27" s="12" t="s">
        <v>22</v>
      </c>
      <c r="B27" s="12" t="s">
        <v>63</v>
      </c>
      <c r="C27" s="13">
        <v>10</v>
      </c>
      <c r="D27" s="13">
        <v>1834</v>
      </c>
      <c r="E27" s="13">
        <f t="shared" ca="1" si="0"/>
        <v>1912</v>
      </c>
      <c r="F27" s="15">
        <f t="shared" ca="1" si="1"/>
        <v>-78</v>
      </c>
      <c r="G27" s="16">
        <f t="shared" ca="1" si="2"/>
        <v>-4.079497907949791E-2</v>
      </c>
      <c r="H27" s="13">
        <v>36</v>
      </c>
      <c r="I27" s="13">
        <f t="shared" ca="1" si="3"/>
        <v>37</v>
      </c>
      <c r="J27" s="15">
        <f t="shared" ca="1" si="4"/>
        <v>-1</v>
      </c>
      <c r="K27" s="16">
        <f t="shared" ca="1" si="5"/>
        <v>-2.7027027027027029E-2</v>
      </c>
      <c r="L27" s="13">
        <f t="shared" si="6"/>
        <v>183.4</v>
      </c>
      <c r="M27" s="13">
        <f t="shared" si="7"/>
        <v>19.629225736095965</v>
      </c>
      <c r="N27" s="13">
        <v>16712</v>
      </c>
      <c r="O27" s="15">
        <f t="shared" ca="1" si="8"/>
        <v>-9</v>
      </c>
      <c r="P27" s="2"/>
      <c r="Q27" s="2"/>
      <c r="R27" s="2"/>
      <c r="S27" s="18">
        <f t="shared" ca="1" si="9"/>
        <v>-8.5604973696795789E-2</v>
      </c>
      <c r="T27" s="20">
        <f t="shared" ca="1" si="10"/>
        <v>4.4809994617297878E-2</v>
      </c>
      <c r="U27" s="18">
        <f t="shared" ca="1" si="11"/>
        <v>-9.7560975609756101E-2</v>
      </c>
      <c r="V27" s="20">
        <f t="shared" ca="1" si="12"/>
        <v>7.0533948582729072E-2</v>
      </c>
      <c r="W27" s="21">
        <f t="shared" ca="1" si="13"/>
        <v>-1</v>
      </c>
      <c r="X27" s="21">
        <f t="shared" ca="1" si="14"/>
        <v>-8</v>
      </c>
      <c r="Y27" s="2"/>
      <c r="Z27" s="2"/>
    </row>
    <row r="28" spans="1:26" ht="14.25" customHeight="1" x14ac:dyDescent="0.45">
      <c r="A28" s="12" t="s">
        <v>22</v>
      </c>
      <c r="B28" s="12" t="s">
        <v>64</v>
      </c>
      <c r="C28" s="13">
        <v>20</v>
      </c>
      <c r="D28" s="13">
        <v>5398</v>
      </c>
      <c r="E28" s="13">
        <f t="shared" ca="1" si="0"/>
        <v>4983</v>
      </c>
      <c r="F28" s="15">
        <f t="shared" ca="1" si="1"/>
        <v>415</v>
      </c>
      <c r="G28" s="16">
        <f t="shared" ca="1" si="2"/>
        <v>8.3283162753361423E-2</v>
      </c>
      <c r="H28" s="13">
        <v>50</v>
      </c>
      <c r="I28" s="13">
        <f t="shared" ca="1" si="3"/>
        <v>31</v>
      </c>
      <c r="J28" s="15">
        <f t="shared" ca="1" si="4"/>
        <v>19</v>
      </c>
      <c r="K28" s="16">
        <f t="shared" ca="1" si="5"/>
        <v>0.61290322580645162</v>
      </c>
      <c r="L28" s="13">
        <f t="shared" si="6"/>
        <v>269.89999999999998</v>
      </c>
      <c r="M28" s="13">
        <f t="shared" si="7"/>
        <v>9.2626898851426454</v>
      </c>
      <c r="N28" s="13">
        <v>21919</v>
      </c>
      <c r="O28" s="15">
        <f t="shared" ca="1" si="8"/>
        <v>3</v>
      </c>
      <c r="P28" s="2"/>
      <c r="Q28" s="2"/>
      <c r="R28" s="2"/>
      <c r="S28" s="18">
        <f t="shared" ca="1" si="9"/>
        <v>-0.31542794339881852</v>
      </c>
      <c r="T28" s="20">
        <f t="shared" ca="1" si="10"/>
        <v>0.39871110615217997</v>
      </c>
      <c r="U28" s="18">
        <f t="shared" ca="1" si="11"/>
        <v>-0.11428571428571428</v>
      </c>
      <c r="V28" s="20">
        <f t="shared" ca="1" si="12"/>
        <v>0.72718894009216595</v>
      </c>
      <c r="W28" s="21">
        <f t="shared" ca="1" si="13"/>
        <v>8</v>
      </c>
      <c r="X28" s="21">
        <f t="shared" ca="1" si="14"/>
        <v>-5</v>
      </c>
      <c r="Y28" s="2"/>
      <c r="Z28" s="2"/>
    </row>
    <row r="29" spans="1:26" ht="14.25" customHeight="1" x14ac:dyDescent="0.45">
      <c r="A29" s="12" t="s">
        <v>22</v>
      </c>
      <c r="B29" s="12" t="s">
        <v>65</v>
      </c>
      <c r="C29" s="13">
        <v>6</v>
      </c>
      <c r="D29" s="13">
        <v>3666</v>
      </c>
      <c r="E29" s="13">
        <f t="shared" ca="1" si="0"/>
        <v>37678</v>
      </c>
      <c r="F29" s="15">
        <f t="shared" ca="1" si="1"/>
        <v>-34012</v>
      </c>
      <c r="G29" s="16">
        <f t="shared" ca="1" si="2"/>
        <v>-0.90270184192366898</v>
      </c>
      <c r="H29" s="13">
        <v>85</v>
      </c>
      <c r="I29" s="13">
        <f t="shared" ca="1" si="3"/>
        <v>52</v>
      </c>
      <c r="J29" s="15">
        <f t="shared" ca="1" si="4"/>
        <v>33</v>
      </c>
      <c r="K29" s="16">
        <f t="shared" ca="1" si="5"/>
        <v>0.63461538461538458</v>
      </c>
      <c r="L29" s="13">
        <f t="shared" si="6"/>
        <v>611</v>
      </c>
      <c r="M29" s="13">
        <f t="shared" si="7"/>
        <v>23.186033824331698</v>
      </c>
      <c r="N29" s="13">
        <v>9602</v>
      </c>
      <c r="O29" s="15">
        <f t="shared" ca="1" si="8"/>
        <v>30</v>
      </c>
      <c r="P29" s="2"/>
      <c r="Q29" s="2"/>
      <c r="R29" s="2"/>
      <c r="S29" s="18">
        <f t="shared" ca="1" si="9"/>
        <v>1.6250957987877099</v>
      </c>
      <c r="T29" s="20">
        <f t="shared" ca="1" si="10"/>
        <v>-2.5277976407113787</v>
      </c>
      <c r="U29" s="18">
        <f t="shared" ca="1" si="11"/>
        <v>-0.85269121813031157</v>
      </c>
      <c r="V29" s="20">
        <f t="shared" ca="1" si="12"/>
        <v>1.4873066027456963</v>
      </c>
      <c r="W29" s="21">
        <f t="shared" ca="1" si="13"/>
        <v>34</v>
      </c>
      <c r="X29" s="21">
        <f t="shared" ca="1" si="14"/>
        <v>-4</v>
      </c>
      <c r="Y29" s="2"/>
      <c r="Z29" s="2"/>
    </row>
    <row r="30" spans="1:26" ht="14.25" customHeight="1" x14ac:dyDescent="0.45">
      <c r="A30" s="25"/>
      <c r="B30" s="25" t="s">
        <v>66</v>
      </c>
      <c r="C30" s="26">
        <f>SUM(C3:C29)</f>
        <v>2266</v>
      </c>
      <c r="D30" s="26">
        <f>SUM(D3:D29)</f>
        <v>3693588</v>
      </c>
      <c r="E30" s="26">
        <f ca="1">SUM(E3:E29)</f>
        <v>3019940</v>
      </c>
      <c r="F30" s="27">
        <f ca="1">SUM(F3:F29)</f>
        <v>673648</v>
      </c>
      <c r="G30" s="28">
        <f ca="1">IF(C30=0,"",IFERROR(F30/E30,""))</f>
        <v>0.22306668344404193</v>
      </c>
      <c r="H30" s="26">
        <f>SUM(H3:H29)</f>
        <v>33462</v>
      </c>
      <c r="I30" s="26">
        <f ca="1">SUM(I3:I29)</f>
        <v>32490</v>
      </c>
      <c r="J30" s="27">
        <f ca="1">SUM(J3:J29)</f>
        <v>972</v>
      </c>
      <c r="K30" s="28">
        <f ca="1">IF(C30=0,"",IFERROR(J30/I30,""))</f>
        <v>2.9916897506925208E-2</v>
      </c>
      <c r="L30" s="26">
        <f t="shared" si="6"/>
        <v>1630.0035304501323</v>
      </c>
      <c r="M30" s="26">
        <f t="shared" si="7"/>
        <v>9.0594836240533603</v>
      </c>
      <c r="N30" s="26">
        <f>SUM(N3:N29)</f>
        <v>464553</v>
      </c>
      <c r="O30" s="27">
        <f ca="1">SUM(O3:O29)</f>
        <v>3078</v>
      </c>
      <c r="P30" s="2"/>
      <c r="Q30" s="2"/>
      <c r="R30" s="2"/>
      <c r="S30" s="29">
        <f t="shared" ca="1" si="9"/>
        <v>-7.8953548447700903E-2</v>
      </c>
      <c r="T30" s="30">
        <f t="shared" ca="1" si="10"/>
        <v>0.30202023189174282</v>
      </c>
      <c r="U30" s="29">
        <f t="shared" ca="1" si="11"/>
        <v>-9.8551689695355424E-2</v>
      </c>
      <c r="V30" s="30">
        <f t="shared" ca="1" si="12"/>
        <v>0.12846858720228063</v>
      </c>
      <c r="W30" s="31">
        <f t="shared" ca="1" si="13"/>
        <v>1014</v>
      </c>
      <c r="X30" s="31">
        <f ca="1">IF(OR(C30=0,$O30="",$W30=""),"",$O30-$W30)</f>
        <v>2064</v>
      </c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3">
        <v>156</v>
      </c>
      <c r="D31" s="13">
        <v>36700</v>
      </c>
      <c r="E31" s="13">
        <f t="shared" ref="E31:E50" ca="1" si="15">IF($D31="","",IFERROR(IF(ISBLANK(INDIRECT("'"&amp;$Q$2&amp;"'!D"&amp;ROW())),"",INDIRECT("'"&amp;$Q$2&amp;"'!D"&amp;ROW())),""))</f>
        <v>291577</v>
      </c>
      <c r="F31" s="15">
        <f t="shared" ref="F31:F50" ca="1" si="16">IF(OR(D31="",E31=""),"",D31-E31)</f>
        <v>-254877</v>
      </c>
      <c r="G31" s="16">
        <f t="shared" ref="G31:G50" ca="1" si="17">IFERROR(F31/E31,"")</f>
        <v>-0.87413273337746122</v>
      </c>
      <c r="H31" s="13">
        <v>116</v>
      </c>
      <c r="I31" s="13">
        <f t="shared" ref="I31:I50" ca="1" si="18">IF($H31="","",IFERROR(IF(ISBLANK(INDIRECT("'"&amp;$Q$2&amp;"'!H"&amp;ROW())),"",INDIRECT("'"&amp;$Q$2&amp;"'!H"&amp;ROW())),""))</f>
        <v>127</v>
      </c>
      <c r="J31" s="15">
        <f t="shared" ref="J31:J50" ca="1" si="19">IF(OR(H31="",I31=""),"",H31-I31)</f>
        <v>-11</v>
      </c>
      <c r="K31" s="16">
        <f t="shared" ref="K31:K50" ca="1" si="20">IFERROR(J31/I31,"")</f>
        <v>-8.6614173228346455E-2</v>
      </c>
      <c r="L31" s="13">
        <f t="shared" si="6"/>
        <v>235.25641025641025</v>
      </c>
      <c r="M31" s="13">
        <f t="shared" si="7"/>
        <v>3.1607629427792916</v>
      </c>
      <c r="N31" s="13">
        <v>32488</v>
      </c>
      <c r="O31" s="15">
        <f t="shared" ref="O31:O50" ca="1" si="21">IFERROR(IF(OR(N31="",ISBLANK(INDIRECT("'"&amp;$Q$2&amp;"'!N"&amp;ROW()))),"",N31-INDIRECT("'"&amp;$Q$2&amp;"'!N"&amp;ROW())),"")</f>
        <v>15</v>
      </c>
      <c r="P31" s="2"/>
      <c r="Q31" s="2"/>
      <c r="R31" s="2"/>
      <c r="S31" s="18">
        <f t="shared" ca="1" si="9"/>
        <v>10.937157127650863</v>
      </c>
      <c r="T31" s="20">
        <f t="shared" ca="1" si="10"/>
        <v>-11.811289861028325</v>
      </c>
      <c r="U31" s="18">
        <f t="shared" ca="1" si="11"/>
        <v>0.60759493670886078</v>
      </c>
      <c r="V31" s="20">
        <f t="shared" ca="1" si="12"/>
        <v>-0.69420910993720719</v>
      </c>
      <c r="W31" s="21">
        <f t="shared" ca="1" si="13"/>
        <v>10</v>
      </c>
      <c r="X31" s="21">
        <f t="shared" ref="X31:X50" ca="1" si="22">IF(OR($O31="",$W31=""),"",$O31-$W31)</f>
        <v>5</v>
      </c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3">
        <v>155</v>
      </c>
      <c r="D32" s="13">
        <v>42212</v>
      </c>
      <c r="E32" s="13">
        <f t="shared" ca="1" si="15"/>
        <v>40747</v>
      </c>
      <c r="F32" s="15">
        <f t="shared" ca="1" si="16"/>
        <v>1465</v>
      </c>
      <c r="G32" s="16">
        <f t="shared" ca="1" si="17"/>
        <v>3.5953567133776718E-2</v>
      </c>
      <c r="H32" s="13">
        <v>92</v>
      </c>
      <c r="I32" s="13">
        <f t="shared" ca="1" si="18"/>
        <v>68</v>
      </c>
      <c r="J32" s="15">
        <f t="shared" ca="1" si="19"/>
        <v>24</v>
      </c>
      <c r="K32" s="16">
        <f t="shared" ca="1" si="20"/>
        <v>0.35294117647058826</v>
      </c>
      <c r="L32" s="13">
        <f t="shared" si="6"/>
        <v>272.33548387096772</v>
      </c>
      <c r="M32" s="13">
        <f t="shared" si="7"/>
        <v>2.1794750307969299</v>
      </c>
      <c r="N32" s="13">
        <v>21737</v>
      </c>
      <c r="O32" s="15">
        <f t="shared" ca="1" si="21"/>
        <v>2</v>
      </c>
      <c r="P32" s="2"/>
      <c r="Q32" s="2"/>
      <c r="R32" s="2"/>
      <c r="S32" s="18">
        <f t="shared" ca="1" si="9"/>
        <v>0.14387176463982931</v>
      </c>
      <c r="T32" s="20">
        <f t="shared" ca="1" si="10"/>
        <v>-0.1079181975060526</v>
      </c>
      <c r="U32" s="18">
        <f t="shared" ca="1" si="11"/>
        <v>0.65853658536585369</v>
      </c>
      <c r="V32" s="20">
        <f t="shared" ca="1" si="12"/>
        <v>-0.30559540889526543</v>
      </c>
      <c r="W32" s="21">
        <f t="shared" ca="1" si="13"/>
        <v>3</v>
      </c>
      <c r="X32" s="21">
        <f t="shared" ca="1" si="22"/>
        <v>-1</v>
      </c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3">
        <v>98</v>
      </c>
      <c r="D33" s="13">
        <v>16771</v>
      </c>
      <c r="E33" s="13">
        <f t="shared" ca="1" si="15"/>
        <v>18335</v>
      </c>
      <c r="F33" s="15">
        <f t="shared" ca="1" si="16"/>
        <v>-1564</v>
      </c>
      <c r="G33" s="16">
        <f t="shared" ca="1" si="17"/>
        <v>-8.5301336242159798E-2</v>
      </c>
      <c r="H33" s="13">
        <v>5</v>
      </c>
      <c r="I33" s="13">
        <f t="shared" ca="1" si="18"/>
        <v>4</v>
      </c>
      <c r="J33" s="15">
        <f t="shared" ca="1" si="19"/>
        <v>1</v>
      </c>
      <c r="K33" s="16">
        <f t="shared" ca="1" si="20"/>
        <v>0.25</v>
      </c>
      <c r="L33" s="13">
        <f t="shared" si="6"/>
        <v>171.13265306122449</v>
      </c>
      <c r="M33" s="13">
        <f t="shared" si="7"/>
        <v>0.29813368314352151</v>
      </c>
      <c r="N33" s="13">
        <v>8957</v>
      </c>
      <c r="O33" s="15">
        <f t="shared" ca="1" si="21"/>
        <v>-4</v>
      </c>
      <c r="P33" s="2"/>
      <c r="Q33" s="2"/>
      <c r="R33" s="2"/>
      <c r="S33" s="18">
        <f t="shared" ca="1" si="9"/>
        <v>-0.28704747832173272</v>
      </c>
      <c r="T33" s="20">
        <f t="shared" ca="1" si="10"/>
        <v>0.20174614207957292</v>
      </c>
      <c r="U33" s="18">
        <f t="shared" ca="1" si="11"/>
        <v>-0.33333333333333331</v>
      </c>
      <c r="V33" s="20">
        <f t="shared" ca="1" si="12"/>
        <v>0.58333333333333326</v>
      </c>
      <c r="W33" s="21">
        <f t="shared" ca="1" si="13"/>
        <v>-1</v>
      </c>
      <c r="X33" s="21">
        <f t="shared" ca="1" si="22"/>
        <v>-3</v>
      </c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3">
        <v>121</v>
      </c>
      <c r="D34" s="13">
        <v>721</v>
      </c>
      <c r="E34" s="13">
        <f t="shared" ca="1" si="15"/>
        <v>905</v>
      </c>
      <c r="F34" s="15">
        <f t="shared" ca="1" si="16"/>
        <v>-184</v>
      </c>
      <c r="G34" s="16">
        <f t="shared" ca="1" si="17"/>
        <v>-0.20331491712707184</v>
      </c>
      <c r="H34" s="13">
        <v>0</v>
      </c>
      <c r="I34" s="13">
        <f t="shared" ca="1" si="18"/>
        <v>0</v>
      </c>
      <c r="J34" s="15">
        <f t="shared" ca="1" si="19"/>
        <v>0</v>
      </c>
      <c r="K34" s="16" t="str">
        <f t="shared" ca="1" si="20"/>
        <v/>
      </c>
      <c r="L34" s="13">
        <f t="shared" si="6"/>
        <v>5.9586776859504136</v>
      </c>
      <c r="M34" s="13">
        <f t="shared" si="7"/>
        <v>0</v>
      </c>
      <c r="N34" s="13">
        <v>6</v>
      </c>
      <c r="O34" s="15">
        <f t="shared" ca="1" si="21"/>
        <v>0</v>
      </c>
      <c r="P34" s="2"/>
      <c r="Q34" s="2"/>
      <c r="R34" s="2"/>
      <c r="S34" s="18">
        <f t="shared" ca="1" si="9"/>
        <v>-0.45317220543806647</v>
      </c>
      <c r="T34" s="20">
        <f t="shared" ca="1" si="10"/>
        <v>0.24985728831099463</v>
      </c>
      <c r="U34" s="18" t="str">
        <f t="shared" ca="1" si="11"/>
        <v/>
      </c>
      <c r="V34" s="20" t="str">
        <f t="shared" ca="1" si="12"/>
        <v/>
      </c>
      <c r="W34" s="21">
        <f t="shared" ca="1" si="13"/>
        <v>0</v>
      </c>
      <c r="X34" s="21">
        <f t="shared" ca="1" si="22"/>
        <v>0</v>
      </c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3">
        <v>138</v>
      </c>
      <c r="D35" s="13">
        <v>9472</v>
      </c>
      <c r="E35" s="13">
        <f t="shared" ca="1" si="15"/>
        <v>10237</v>
      </c>
      <c r="F35" s="15">
        <f t="shared" ca="1" si="16"/>
        <v>-765</v>
      </c>
      <c r="G35" s="16">
        <f t="shared" ca="1" si="17"/>
        <v>-7.472892448959656E-2</v>
      </c>
      <c r="H35" s="13">
        <v>48</v>
      </c>
      <c r="I35" s="13">
        <f t="shared" ca="1" si="18"/>
        <v>126</v>
      </c>
      <c r="J35" s="15">
        <f t="shared" ca="1" si="19"/>
        <v>-78</v>
      </c>
      <c r="K35" s="16">
        <f t="shared" ca="1" si="20"/>
        <v>-0.61904761904761907</v>
      </c>
      <c r="L35" s="13">
        <f t="shared" ref="L35:L66" si="23">IFERROR(D35/C35,"")</f>
        <v>68.637681159420296</v>
      </c>
      <c r="M35" s="13">
        <f t="shared" ref="M35:M66" si="24">IFERROR(H35/D35*1000,"")</f>
        <v>5.0675675675675675</v>
      </c>
      <c r="N35" s="13">
        <v>1941</v>
      </c>
      <c r="O35" s="15">
        <f t="shared" ca="1" si="21"/>
        <v>4</v>
      </c>
      <c r="P35" s="2"/>
      <c r="Q35" s="2"/>
      <c r="R35" s="2"/>
      <c r="S35" s="18">
        <f t="shared" ref="S35:S66" ca="1" si="25">IFERROR(IF(ISBLANK(INDIRECT("'"&amp;$Q$2&amp;"'!G"&amp;ROW())),"",INDIRECT("'"&amp;$Q$2&amp;"'!G"&amp;ROW())),"")</f>
        <v>3.1357177853993143E-3</v>
      </c>
      <c r="T35" s="20">
        <f t="shared" ref="T35:T66" ca="1" si="26">IF(OR($G35="",$S35=""),"",$G35-$S35)</f>
        <v>-7.7864642274995871E-2</v>
      </c>
      <c r="U35" s="18">
        <f t="shared" ref="U35:U66" ca="1" si="27">IFERROR(IF(ISBLANK(INDIRECT("'"&amp;$Q$2&amp;"'!K"&amp;ROW())),"",INDIRECT("'"&amp;$Q$2&amp;"'!K"&amp;ROW())),"")</f>
        <v>-0.20253164556962025</v>
      </c>
      <c r="V35" s="20">
        <f t="shared" ref="V35:V66" ca="1" si="28">IF(OR($K35="",$U35=""),"",$K35-$U35)</f>
        <v>-0.41651597347799885</v>
      </c>
      <c r="W35" s="21">
        <f t="shared" ref="W35:W66" ca="1" si="29">IFERROR(IF(ISBLANK(INDIRECT("'"&amp;$Q$2&amp;"'!O"&amp;ROW())),"",INDIRECT("'"&amp;$Q$2&amp;"'!O"&amp;ROW())),"")</f>
        <v>1</v>
      </c>
      <c r="X35" s="21">
        <f t="shared" ca="1" si="22"/>
        <v>3</v>
      </c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3">
        <v>120</v>
      </c>
      <c r="D36" s="13">
        <v>39135</v>
      </c>
      <c r="E36" s="13">
        <f t="shared" ca="1" si="15"/>
        <v>40666</v>
      </c>
      <c r="F36" s="15">
        <f t="shared" ca="1" si="16"/>
        <v>-1531</v>
      </c>
      <c r="G36" s="16">
        <f t="shared" ca="1" si="17"/>
        <v>-3.7648158166527321E-2</v>
      </c>
      <c r="H36" s="13">
        <v>552</v>
      </c>
      <c r="I36" s="13">
        <f t="shared" ca="1" si="18"/>
        <v>944</v>
      </c>
      <c r="J36" s="15">
        <f t="shared" ca="1" si="19"/>
        <v>-392</v>
      </c>
      <c r="K36" s="16">
        <f t="shared" ca="1" si="20"/>
        <v>-0.4152542372881356</v>
      </c>
      <c r="L36" s="13">
        <f t="shared" si="23"/>
        <v>326.125</v>
      </c>
      <c r="M36" s="13">
        <f t="shared" si="24"/>
        <v>14.105021080873898</v>
      </c>
      <c r="N36" s="13">
        <v>5888</v>
      </c>
      <c r="O36" s="15">
        <f t="shared" ca="1" si="21"/>
        <v>7</v>
      </c>
      <c r="P36" s="2"/>
      <c r="Q36" s="2"/>
      <c r="R36" s="2"/>
      <c r="S36" s="18">
        <f t="shared" ca="1" si="25"/>
        <v>-6.392284142439518E-2</v>
      </c>
      <c r="T36" s="20">
        <f t="shared" ca="1" si="26"/>
        <v>2.6274683257867859E-2</v>
      </c>
      <c r="U36" s="18">
        <f t="shared" ca="1" si="27"/>
        <v>2.3861171366594359E-2</v>
      </c>
      <c r="V36" s="20">
        <f t="shared" ca="1" si="28"/>
        <v>-0.43911540865472998</v>
      </c>
      <c r="W36" s="21">
        <f t="shared" ca="1" si="29"/>
        <v>2</v>
      </c>
      <c r="X36" s="21">
        <f t="shared" ca="1" si="22"/>
        <v>5</v>
      </c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3">
        <v>160</v>
      </c>
      <c r="D37" s="13">
        <v>6504</v>
      </c>
      <c r="E37" s="13">
        <f t="shared" ca="1" si="15"/>
        <v>7612</v>
      </c>
      <c r="F37" s="15">
        <f t="shared" ca="1" si="16"/>
        <v>-1108</v>
      </c>
      <c r="G37" s="16">
        <f t="shared" ca="1" si="17"/>
        <v>-0.14555964266946925</v>
      </c>
      <c r="H37" s="13">
        <v>48</v>
      </c>
      <c r="I37" s="13">
        <f t="shared" ca="1" si="18"/>
        <v>59</v>
      </c>
      <c r="J37" s="15">
        <f t="shared" ca="1" si="19"/>
        <v>-11</v>
      </c>
      <c r="K37" s="16">
        <f t="shared" ca="1" si="20"/>
        <v>-0.1864406779661017</v>
      </c>
      <c r="L37" s="13">
        <f t="shared" si="23"/>
        <v>40.65</v>
      </c>
      <c r="M37" s="13">
        <f t="shared" si="24"/>
        <v>7.3800738007380069</v>
      </c>
      <c r="N37" s="13">
        <v>3237</v>
      </c>
      <c r="O37" s="15">
        <f t="shared" ca="1" si="21"/>
        <v>1</v>
      </c>
      <c r="P37" s="2"/>
      <c r="Q37" s="2"/>
      <c r="R37" s="2"/>
      <c r="S37" s="18">
        <f t="shared" ca="1" si="25"/>
        <v>0.38551146705496908</v>
      </c>
      <c r="T37" s="20">
        <f t="shared" ca="1" si="26"/>
        <v>-0.53107110972443827</v>
      </c>
      <c r="U37" s="18">
        <f t="shared" ca="1" si="27"/>
        <v>1.5652173913043479</v>
      </c>
      <c r="V37" s="20">
        <f t="shared" ca="1" si="28"/>
        <v>-1.7516580692704495</v>
      </c>
      <c r="W37" s="21">
        <f t="shared" ca="1" si="29"/>
        <v>2</v>
      </c>
      <c r="X37" s="21">
        <f t="shared" ca="1" si="22"/>
        <v>-1</v>
      </c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3">
        <v>197</v>
      </c>
      <c r="D38" s="13">
        <v>10887</v>
      </c>
      <c r="E38" s="13">
        <f t="shared" ca="1" si="15"/>
        <v>8056</v>
      </c>
      <c r="F38" s="15">
        <f t="shared" ca="1" si="16"/>
        <v>2831</v>
      </c>
      <c r="G38" s="16">
        <f t="shared" ca="1" si="17"/>
        <v>0.35141509433962265</v>
      </c>
      <c r="H38" s="13">
        <v>183</v>
      </c>
      <c r="I38" s="13">
        <f t="shared" ca="1" si="18"/>
        <v>172</v>
      </c>
      <c r="J38" s="15">
        <f t="shared" ca="1" si="19"/>
        <v>11</v>
      </c>
      <c r="K38" s="16">
        <f t="shared" ca="1" si="20"/>
        <v>6.3953488372093026E-2</v>
      </c>
      <c r="L38" s="13">
        <f t="shared" si="23"/>
        <v>55.263959390862944</v>
      </c>
      <c r="M38" s="13">
        <f t="shared" si="24"/>
        <v>16.809038302562687</v>
      </c>
      <c r="N38" s="13">
        <v>1711</v>
      </c>
      <c r="O38" s="15">
        <f t="shared" ca="1" si="21"/>
        <v>6</v>
      </c>
      <c r="P38" s="2"/>
      <c r="Q38" s="2"/>
      <c r="R38" s="2"/>
      <c r="S38" s="18">
        <f t="shared" ca="1" si="25"/>
        <v>0.10720175920835624</v>
      </c>
      <c r="T38" s="20">
        <f t="shared" ca="1" si="26"/>
        <v>0.24421333513126642</v>
      </c>
      <c r="U38" s="18">
        <f t="shared" ca="1" si="27"/>
        <v>1.0235294117647058</v>
      </c>
      <c r="V38" s="20">
        <f t="shared" ca="1" si="28"/>
        <v>-0.95957592339261277</v>
      </c>
      <c r="W38" s="21">
        <f t="shared" ca="1" si="29"/>
        <v>10</v>
      </c>
      <c r="X38" s="21">
        <f t="shared" ca="1" si="22"/>
        <v>-4</v>
      </c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3">
        <v>81</v>
      </c>
      <c r="D39" s="13">
        <v>4212</v>
      </c>
      <c r="E39" s="13">
        <f t="shared" ca="1" si="15"/>
        <v>1941</v>
      </c>
      <c r="F39" s="15">
        <f t="shared" ca="1" si="16"/>
        <v>2271</v>
      </c>
      <c r="G39" s="16">
        <f t="shared" ca="1" si="17"/>
        <v>1.1700154559505409</v>
      </c>
      <c r="H39" s="13">
        <v>8</v>
      </c>
      <c r="I39" s="13">
        <f t="shared" ca="1" si="18"/>
        <v>10</v>
      </c>
      <c r="J39" s="15">
        <f t="shared" ca="1" si="19"/>
        <v>-2</v>
      </c>
      <c r="K39" s="16">
        <f t="shared" ca="1" si="20"/>
        <v>-0.2</v>
      </c>
      <c r="L39" s="13">
        <f t="shared" si="23"/>
        <v>52</v>
      </c>
      <c r="M39" s="13">
        <f t="shared" si="24"/>
        <v>1.8993352326685662</v>
      </c>
      <c r="N39" s="13">
        <v>225</v>
      </c>
      <c r="O39" s="15">
        <f t="shared" ca="1" si="21"/>
        <v>1</v>
      </c>
      <c r="P39" s="2"/>
      <c r="Q39" s="2"/>
      <c r="R39" s="2"/>
      <c r="S39" s="18">
        <f t="shared" ca="1" si="25"/>
        <v>-0.35429141716566864</v>
      </c>
      <c r="T39" s="20">
        <f t="shared" ca="1" si="26"/>
        <v>1.5243068731162095</v>
      </c>
      <c r="U39" s="18">
        <f t="shared" ca="1" si="27"/>
        <v>-0.78260869565217395</v>
      </c>
      <c r="V39" s="20">
        <f t="shared" ca="1" si="28"/>
        <v>0.58260869565217388</v>
      </c>
      <c r="W39" s="21">
        <f t="shared" ca="1" si="29"/>
        <v>0</v>
      </c>
      <c r="X39" s="21">
        <f t="shared" ca="1" si="22"/>
        <v>1</v>
      </c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3">
        <v>83</v>
      </c>
      <c r="D40" s="13">
        <v>6832</v>
      </c>
      <c r="E40" s="13">
        <f t="shared" ca="1" si="15"/>
        <v>6191</v>
      </c>
      <c r="F40" s="15">
        <f t="shared" ca="1" si="16"/>
        <v>641</v>
      </c>
      <c r="G40" s="16">
        <f t="shared" ca="1" si="17"/>
        <v>0.10353739298982394</v>
      </c>
      <c r="H40" s="13">
        <v>54</v>
      </c>
      <c r="I40" s="13">
        <f t="shared" ca="1" si="18"/>
        <v>94</v>
      </c>
      <c r="J40" s="15">
        <f t="shared" ca="1" si="19"/>
        <v>-40</v>
      </c>
      <c r="K40" s="16">
        <f t="shared" ca="1" si="20"/>
        <v>-0.42553191489361702</v>
      </c>
      <c r="L40" s="13">
        <f t="shared" si="23"/>
        <v>82.313253012048193</v>
      </c>
      <c r="M40" s="13">
        <f t="shared" si="24"/>
        <v>7.903981264637002</v>
      </c>
      <c r="N40" s="13">
        <v>4958</v>
      </c>
      <c r="O40" s="15">
        <f t="shared" ca="1" si="21"/>
        <v>1</v>
      </c>
      <c r="P40" s="2"/>
      <c r="Q40" s="2"/>
      <c r="R40" s="2"/>
      <c r="S40" s="18">
        <f t="shared" ca="1" si="25"/>
        <v>-0.24893849326701445</v>
      </c>
      <c r="T40" s="20">
        <f t="shared" ca="1" si="26"/>
        <v>0.3524758862568384</v>
      </c>
      <c r="U40" s="18">
        <f t="shared" ca="1" si="27"/>
        <v>-0.2878787878787879</v>
      </c>
      <c r="V40" s="20">
        <f t="shared" ca="1" si="28"/>
        <v>-0.13765312701482912</v>
      </c>
      <c r="W40" s="21">
        <f t="shared" ca="1" si="29"/>
        <v>4</v>
      </c>
      <c r="X40" s="21">
        <f t="shared" ca="1" si="22"/>
        <v>-3</v>
      </c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3">
        <v>77</v>
      </c>
      <c r="D41" s="13">
        <v>12790</v>
      </c>
      <c r="E41" s="13">
        <f t="shared" ca="1" si="15"/>
        <v>8540</v>
      </c>
      <c r="F41" s="15">
        <f t="shared" ca="1" si="16"/>
        <v>4250</v>
      </c>
      <c r="G41" s="16">
        <f t="shared" ca="1" si="17"/>
        <v>0.49765807962529274</v>
      </c>
      <c r="H41" s="13">
        <v>102</v>
      </c>
      <c r="I41" s="13">
        <f t="shared" ca="1" si="18"/>
        <v>111</v>
      </c>
      <c r="J41" s="15">
        <f t="shared" ca="1" si="19"/>
        <v>-9</v>
      </c>
      <c r="K41" s="16">
        <f t="shared" ca="1" si="20"/>
        <v>-8.1081081081081086E-2</v>
      </c>
      <c r="L41" s="13">
        <f t="shared" si="23"/>
        <v>166.10389610389609</v>
      </c>
      <c r="M41" s="13">
        <f t="shared" si="24"/>
        <v>7.9749804534792812</v>
      </c>
      <c r="N41" s="13">
        <v>3529</v>
      </c>
      <c r="O41" s="15">
        <f t="shared" ca="1" si="21"/>
        <v>-1</v>
      </c>
      <c r="P41" s="2"/>
      <c r="Q41" s="2"/>
      <c r="R41" s="2"/>
      <c r="S41" s="18">
        <f t="shared" ca="1" si="25"/>
        <v>0.11911938147031843</v>
      </c>
      <c r="T41" s="20">
        <f t="shared" ca="1" si="26"/>
        <v>0.37853869815497432</v>
      </c>
      <c r="U41" s="18">
        <f t="shared" ca="1" si="27"/>
        <v>0.60869565217391308</v>
      </c>
      <c r="V41" s="20">
        <f t="shared" ca="1" si="28"/>
        <v>-0.68977673325499422</v>
      </c>
      <c r="W41" s="21">
        <f t="shared" ca="1" si="29"/>
        <v>0</v>
      </c>
      <c r="X41" s="21">
        <f t="shared" ca="1" si="22"/>
        <v>-1</v>
      </c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3">
        <v>41</v>
      </c>
      <c r="D42" s="13">
        <v>7517</v>
      </c>
      <c r="E42" s="13">
        <f t="shared" ca="1" si="15"/>
        <v>6081</v>
      </c>
      <c r="F42" s="15">
        <f t="shared" ca="1" si="16"/>
        <v>1436</v>
      </c>
      <c r="G42" s="16">
        <f t="shared" ca="1" si="17"/>
        <v>0.23614537082716658</v>
      </c>
      <c r="H42" s="13">
        <v>133</v>
      </c>
      <c r="I42" s="13">
        <f t="shared" ca="1" si="18"/>
        <v>248</v>
      </c>
      <c r="J42" s="15">
        <f t="shared" ca="1" si="19"/>
        <v>-115</v>
      </c>
      <c r="K42" s="16">
        <f t="shared" ca="1" si="20"/>
        <v>-0.46370967741935482</v>
      </c>
      <c r="L42" s="13">
        <f t="shared" si="23"/>
        <v>183.34146341463415</v>
      </c>
      <c r="M42" s="13">
        <f t="shared" si="24"/>
        <v>17.693228681654915</v>
      </c>
      <c r="N42" s="13">
        <v>651</v>
      </c>
      <c r="O42" s="15">
        <f t="shared" ca="1" si="21"/>
        <v>1</v>
      </c>
      <c r="P42" s="2"/>
      <c r="Q42" s="2"/>
      <c r="R42" s="2"/>
      <c r="S42" s="18">
        <f t="shared" ca="1" si="25"/>
        <v>-0.25349864964399704</v>
      </c>
      <c r="T42" s="20">
        <f t="shared" ca="1" si="26"/>
        <v>0.48964402047116362</v>
      </c>
      <c r="U42" s="18">
        <f t="shared" ca="1" si="27"/>
        <v>-0.15358361774744028</v>
      </c>
      <c r="V42" s="20">
        <f t="shared" ca="1" si="28"/>
        <v>-0.31012605967191453</v>
      </c>
      <c r="W42" s="21">
        <f t="shared" ca="1" si="29"/>
        <v>2</v>
      </c>
      <c r="X42" s="21">
        <f t="shared" ca="1" si="22"/>
        <v>-1</v>
      </c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3">
        <v>75</v>
      </c>
      <c r="D43" s="13">
        <v>3667</v>
      </c>
      <c r="E43" s="13">
        <f t="shared" ca="1" si="15"/>
        <v>5062</v>
      </c>
      <c r="F43" s="15">
        <f t="shared" ca="1" si="16"/>
        <v>-1395</v>
      </c>
      <c r="G43" s="16">
        <f t="shared" ca="1" si="17"/>
        <v>-0.27558277360726985</v>
      </c>
      <c r="H43" s="13">
        <v>25</v>
      </c>
      <c r="I43" s="13">
        <f t="shared" ca="1" si="18"/>
        <v>57</v>
      </c>
      <c r="J43" s="15">
        <f t="shared" ca="1" si="19"/>
        <v>-32</v>
      </c>
      <c r="K43" s="16">
        <f t="shared" ca="1" si="20"/>
        <v>-0.56140350877192979</v>
      </c>
      <c r="L43" s="13">
        <f t="shared" si="23"/>
        <v>48.893333333333331</v>
      </c>
      <c r="M43" s="13">
        <f t="shared" si="24"/>
        <v>6.817562039814562</v>
      </c>
      <c r="N43" s="13">
        <v>1952</v>
      </c>
      <c r="O43" s="15">
        <f t="shared" ca="1" si="21"/>
        <v>0</v>
      </c>
      <c r="P43" s="2"/>
      <c r="Q43" s="2"/>
      <c r="R43" s="2"/>
      <c r="S43" s="18">
        <f t="shared" ca="1" si="25"/>
        <v>0.12664144224348986</v>
      </c>
      <c r="T43" s="20">
        <f t="shared" ca="1" si="26"/>
        <v>-0.40222421585075974</v>
      </c>
      <c r="U43" s="18">
        <f t="shared" ca="1" si="27"/>
        <v>7.5471698113207544E-2</v>
      </c>
      <c r="V43" s="20">
        <f t="shared" ca="1" si="28"/>
        <v>-0.63687520688513732</v>
      </c>
      <c r="W43" s="21">
        <f t="shared" ca="1" si="29"/>
        <v>1</v>
      </c>
      <c r="X43" s="21">
        <f t="shared" ca="1" si="22"/>
        <v>-1</v>
      </c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3">
        <v>59</v>
      </c>
      <c r="D44" s="13">
        <v>10889</v>
      </c>
      <c r="E44" s="13">
        <f t="shared" ca="1" si="15"/>
        <v>22611</v>
      </c>
      <c r="F44" s="15">
        <f t="shared" ca="1" si="16"/>
        <v>-11722</v>
      </c>
      <c r="G44" s="16">
        <f t="shared" ca="1" si="17"/>
        <v>-0.5184202379372872</v>
      </c>
      <c r="H44" s="13">
        <v>337</v>
      </c>
      <c r="I44" s="13">
        <f t="shared" ca="1" si="18"/>
        <v>568</v>
      </c>
      <c r="J44" s="15">
        <f t="shared" ca="1" si="19"/>
        <v>-231</v>
      </c>
      <c r="K44" s="16">
        <f t="shared" ca="1" si="20"/>
        <v>-0.40669014084507044</v>
      </c>
      <c r="L44" s="13">
        <f t="shared" si="23"/>
        <v>184.5593220338983</v>
      </c>
      <c r="M44" s="13">
        <f t="shared" si="24"/>
        <v>30.948663789145009</v>
      </c>
      <c r="N44" s="13">
        <v>4895</v>
      </c>
      <c r="O44" s="15">
        <f t="shared" ca="1" si="21"/>
        <v>5</v>
      </c>
      <c r="P44" s="2"/>
      <c r="Q44" s="2"/>
      <c r="R44" s="2"/>
      <c r="S44" s="18">
        <f t="shared" ca="1" si="25"/>
        <v>0.63268106000433244</v>
      </c>
      <c r="T44" s="20">
        <f t="shared" ca="1" si="26"/>
        <v>-1.1511012979416195</v>
      </c>
      <c r="U44" s="18">
        <f t="shared" ca="1" si="27"/>
        <v>0.51871657754010692</v>
      </c>
      <c r="V44" s="20">
        <f t="shared" ca="1" si="28"/>
        <v>-0.9254067183851773</v>
      </c>
      <c r="W44" s="21">
        <f t="shared" ca="1" si="29"/>
        <v>4</v>
      </c>
      <c r="X44" s="21">
        <f t="shared" ca="1" si="22"/>
        <v>1</v>
      </c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3">
        <v>95</v>
      </c>
      <c r="D45" s="13">
        <v>21536</v>
      </c>
      <c r="E45" s="13">
        <f t="shared" ca="1" si="15"/>
        <v>20281</v>
      </c>
      <c r="F45" s="15">
        <f t="shared" ca="1" si="16"/>
        <v>1255</v>
      </c>
      <c r="G45" s="16">
        <f t="shared" ca="1" si="17"/>
        <v>6.1880577880775112E-2</v>
      </c>
      <c r="H45" s="13">
        <v>308</v>
      </c>
      <c r="I45" s="13">
        <f t="shared" ca="1" si="18"/>
        <v>369</v>
      </c>
      <c r="J45" s="15">
        <f t="shared" ca="1" si="19"/>
        <v>-61</v>
      </c>
      <c r="K45" s="16">
        <f t="shared" ca="1" si="20"/>
        <v>-0.16531165311653118</v>
      </c>
      <c r="L45" s="13">
        <f t="shared" si="23"/>
        <v>226.69473684210527</v>
      </c>
      <c r="M45" s="13">
        <f t="shared" si="24"/>
        <v>14.301634472511143</v>
      </c>
      <c r="N45" s="13">
        <v>3746</v>
      </c>
      <c r="O45" s="15">
        <f t="shared" ca="1" si="21"/>
        <v>3</v>
      </c>
      <c r="P45" s="2"/>
      <c r="Q45" s="2"/>
      <c r="R45" s="2"/>
      <c r="S45" s="18">
        <f t="shared" ca="1" si="25"/>
        <v>-0.38934722389497772</v>
      </c>
      <c r="T45" s="20">
        <f t="shared" ca="1" si="26"/>
        <v>0.45122780177575283</v>
      </c>
      <c r="U45" s="18">
        <f t="shared" ca="1" si="27"/>
        <v>-0.34805653710247347</v>
      </c>
      <c r="V45" s="20">
        <f t="shared" ca="1" si="28"/>
        <v>0.1827448839859423</v>
      </c>
      <c r="W45" s="21">
        <f t="shared" ca="1" si="29"/>
        <v>6</v>
      </c>
      <c r="X45" s="21">
        <f t="shared" ca="1" si="22"/>
        <v>-3</v>
      </c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3">
        <v>105</v>
      </c>
      <c r="D46" s="13">
        <v>29521</v>
      </c>
      <c r="E46" s="13">
        <f t="shared" ca="1" si="15"/>
        <v>19516</v>
      </c>
      <c r="F46" s="15">
        <f t="shared" ca="1" si="16"/>
        <v>10005</v>
      </c>
      <c r="G46" s="16">
        <f t="shared" ca="1" si="17"/>
        <v>0.51265628202500513</v>
      </c>
      <c r="H46" s="13">
        <v>351</v>
      </c>
      <c r="I46" s="13">
        <f t="shared" ca="1" si="18"/>
        <v>345</v>
      </c>
      <c r="J46" s="15">
        <f t="shared" ca="1" si="19"/>
        <v>6</v>
      </c>
      <c r="K46" s="16">
        <f t="shared" ca="1" si="20"/>
        <v>1.7391304347826087E-2</v>
      </c>
      <c r="L46" s="13">
        <f t="shared" si="23"/>
        <v>281.15238095238095</v>
      </c>
      <c r="M46" s="13">
        <f t="shared" si="24"/>
        <v>11.88984113004302</v>
      </c>
      <c r="N46" s="13">
        <v>4504</v>
      </c>
      <c r="O46" s="15">
        <f t="shared" ca="1" si="21"/>
        <v>0</v>
      </c>
      <c r="P46" s="2"/>
      <c r="Q46" s="2"/>
      <c r="R46" s="2"/>
      <c r="S46" s="18">
        <f t="shared" ca="1" si="25"/>
        <v>-0.28807500091197608</v>
      </c>
      <c r="T46" s="20">
        <f t="shared" ca="1" si="26"/>
        <v>0.80073128293698126</v>
      </c>
      <c r="U46" s="18">
        <f t="shared" ca="1" si="27"/>
        <v>-0.47727272727272729</v>
      </c>
      <c r="V46" s="20">
        <f t="shared" ca="1" si="28"/>
        <v>0.49466403162055339</v>
      </c>
      <c r="W46" s="21">
        <f t="shared" ca="1" si="29"/>
        <v>2</v>
      </c>
      <c r="X46" s="21">
        <f t="shared" ca="1" si="22"/>
        <v>-2</v>
      </c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3">
        <v>6</v>
      </c>
      <c r="D47" s="13">
        <v>1002</v>
      </c>
      <c r="E47" s="13">
        <f t="shared" ca="1" si="15"/>
        <v>666</v>
      </c>
      <c r="F47" s="15">
        <f t="shared" ca="1" si="16"/>
        <v>336</v>
      </c>
      <c r="G47" s="16">
        <f t="shared" ca="1" si="17"/>
        <v>0.50450450450450446</v>
      </c>
      <c r="H47" s="13">
        <v>30</v>
      </c>
      <c r="I47" s="13">
        <f t="shared" ca="1" si="18"/>
        <v>28</v>
      </c>
      <c r="J47" s="15">
        <f t="shared" ca="1" si="19"/>
        <v>2</v>
      </c>
      <c r="K47" s="16">
        <f t="shared" ca="1" si="20"/>
        <v>7.1428571428571425E-2</v>
      </c>
      <c r="L47" s="13">
        <f t="shared" si="23"/>
        <v>167</v>
      </c>
      <c r="M47" s="13">
        <f t="shared" si="24"/>
        <v>29.940119760479043</v>
      </c>
      <c r="N47" s="13">
        <v>855</v>
      </c>
      <c r="O47" s="15">
        <f t="shared" ca="1" si="21"/>
        <v>1</v>
      </c>
      <c r="P47" s="2"/>
      <c r="Q47" s="2"/>
      <c r="R47" s="2"/>
      <c r="S47" s="18">
        <f t="shared" ca="1" si="25"/>
        <v>0.17047451669595781</v>
      </c>
      <c r="T47" s="20">
        <f t="shared" ca="1" si="26"/>
        <v>0.33402998780854665</v>
      </c>
      <c r="U47" s="18">
        <f t="shared" ca="1" si="27"/>
        <v>-0.71717171717171713</v>
      </c>
      <c r="V47" s="20">
        <f t="shared" ca="1" si="28"/>
        <v>0.78860028860028852</v>
      </c>
      <c r="W47" s="21">
        <f t="shared" ca="1" si="29"/>
        <v>0</v>
      </c>
      <c r="X47" s="21">
        <f t="shared" ca="1" si="22"/>
        <v>1</v>
      </c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3">
        <v>7</v>
      </c>
      <c r="D48" s="13">
        <v>2356</v>
      </c>
      <c r="E48" s="13">
        <f t="shared" ca="1" si="15"/>
        <v>2932</v>
      </c>
      <c r="F48" s="15">
        <f t="shared" ca="1" si="16"/>
        <v>-576</v>
      </c>
      <c r="G48" s="16">
        <f t="shared" ca="1" si="17"/>
        <v>-0.19645293315143247</v>
      </c>
      <c r="H48" s="13">
        <v>282</v>
      </c>
      <c r="I48" s="13">
        <f t="shared" ca="1" si="18"/>
        <v>206</v>
      </c>
      <c r="J48" s="15">
        <f t="shared" ca="1" si="19"/>
        <v>76</v>
      </c>
      <c r="K48" s="16">
        <f t="shared" ca="1" si="20"/>
        <v>0.36893203883495146</v>
      </c>
      <c r="L48" s="13">
        <f t="shared" si="23"/>
        <v>336.57142857142856</v>
      </c>
      <c r="M48" s="13">
        <f t="shared" si="24"/>
        <v>119.69439728353142</v>
      </c>
      <c r="N48" s="13">
        <v>862</v>
      </c>
      <c r="O48" s="15">
        <f t="shared" ca="1" si="21"/>
        <v>3</v>
      </c>
      <c r="P48" s="2"/>
      <c r="Q48" s="2"/>
      <c r="R48" s="2"/>
      <c r="S48" s="18">
        <f t="shared" ca="1" si="25"/>
        <v>1.9378757515030061</v>
      </c>
      <c r="T48" s="20">
        <f t="shared" ca="1" si="26"/>
        <v>-2.1343286846544385</v>
      </c>
      <c r="U48" s="18">
        <f t="shared" ca="1" si="27"/>
        <v>0.49275362318840582</v>
      </c>
      <c r="V48" s="20">
        <f t="shared" ca="1" si="28"/>
        <v>-0.12382158435345436</v>
      </c>
      <c r="W48" s="21">
        <f t="shared" ca="1" si="29"/>
        <v>1</v>
      </c>
      <c r="X48" s="21">
        <f t="shared" ca="1" si="22"/>
        <v>2</v>
      </c>
      <c r="Y48" s="2"/>
      <c r="Z48" s="2"/>
    </row>
    <row r="49" spans="1:26" ht="14.25" customHeight="1" x14ac:dyDescent="0.45">
      <c r="A49" s="12" t="s">
        <v>23</v>
      </c>
      <c r="B49" s="12" t="s">
        <v>62</v>
      </c>
      <c r="C49" s="13">
        <v>228</v>
      </c>
      <c r="D49" s="13">
        <v>7973</v>
      </c>
      <c r="E49" s="13">
        <f t="shared" ca="1" si="15"/>
        <v>6330</v>
      </c>
      <c r="F49" s="15">
        <f t="shared" ca="1" si="16"/>
        <v>1643</v>
      </c>
      <c r="G49" s="16">
        <f t="shared" ca="1" si="17"/>
        <v>0.25955766192733015</v>
      </c>
      <c r="H49" s="13">
        <v>2</v>
      </c>
      <c r="I49" s="13">
        <f t="shared" ca="1" si="18"/>
        <v>2</v>
      </c>
      <c r="J49" s="15">
        <f t="shared" ca="1" si="19"/>
        <v>0</v>
      </c>
      <c r="K49" s="16">
        <f t="shared" ca="1" si="20"/>
        <v>0</v>
      </c>
      <c r="L49" s="13">
        <f t="shared" si="23"/>
        <v>34.969298245614034</v>
      </c>
      <c r="M49" s="13">
        <f t="shared" si="24"/>
        <v>0.25084660729963631</v>
      </c>
      <c r="N49" s="13">
        <v>4820</v>
      </c>
      <c r="O49" s="15">
        <f t="shared" ca="1" si="21"/>
        <v>3</v>
      </c>
      <c r="P49" s="2"/>
      <c r="Q49" s="2"/>
      <c r="R49" s="2"/>
      <c r="S49" s="18">
        <f t="shared" ca="1" si="25"/>
        <v>-9.3382984818103698E-2</v>
      </c>
      <c r="T49" s="20">
        <f t="shared" ca="1" si="26"/>
        <v>0.35294064674543385</v>
      </c>
      <c r="U49" s="18">
        <f t="shared" ca="1" si="27"/>
        <v>1</v>
      </c>
      <c r="V49" s="20">
        <f t="shared" ca="1" si="28"/>
        <v>-1</v>
      </c>
      <c r="W49" s="21">
        <f t="shared" ca="1" si="29"/>
        <v>2</v>
      </c>
      <c r="X49" s="21">
        <f t="shared" ca="1" si="22"/>
        <v>1</v>
      </c>
      <c r="Y49" s="2"/>
      <c r="Z49" s="2"/>
    </row>
    <row r="50" spans="1:26" ht="14.25" customHeight="1" x14ac:dyDescent="0.45">
      <c r="A50" s="12" t="s">
        <v>23</v>
      </c>
      <c r="B50" s="12" t="s">
        <v>65</v>
      </c>
      <c r="C50" s="13">
        <v>6</v>
      </c>
      <c r="D50" s="13">
        <v>327</v>
      </c>
      <c r="E50" s="13">
        <f t="shared" ca="1" si="15"/>
        <v>81</v>
      </c>
      <c r="F50" s="15">
        <f t="shared" ca="1" si="16"/>
        <v>246</v>
      </c>
      <c r="G50" s="16">
        <f t="shared" ca="1" si="17"/>
        <v>3.0370370370370372</v>
      </c>
      <c r="H50" s="13">
        <v>3</v>
      </c>
      <c r="I50" s="13">
        <f t="shared" ca="1" si="18"/>
        <v>4</v>
      </c>
      <c r="J50" s="15">
        <f t="shared" ca="1" si="19"/>
        <v>-1</v>
      </c>
      <c r="K50" s="16">
        <f t="shared" ca="1" si="20"/>
        <v>-0.25</v>
      </c>
      <c r="L50" s="13">
        <f t="shared" si="23"/>
        <v>54.5</v>
      </c>
      <c r="M50" s="13">
        <f t="shared" si="24"/>
        <v>9.1743119266055047</v>
      </c>
      <c r="N50" s="13">
        <v>42</v>
      </c>
      <c r="O50" s="15">
        <f t="shared" ca="1" si="21"/>
        <v>0</v>
      </c>
      <c r="P50" s="2"/>
      <c r="Q50" s="2"/>
      <c r="R50" s="2"/>
      <c r="S50" s="18">
        <f t="shared" ca="1" si="25"/>
        <v>-0.6988847583643123</v>
      </c>
      <c r="T50" s="20">
        <f t="shared" ca="1" si="26"/>
        <v>3.7359217954013495</v>
      </c>
      <c r="U50" s="18">
        <f t="shared" ca="1" si="27"/>
        <v>-0.55555555555555558</v>
      </c>
      <c r="V50" s="20">
        <f t="shared" ca="1" si="28"/>
        <v>0.30555555555555558</v>
      </c>
      <c r="W50" s="21">
        <f t="shared" ca="1" si="29"/>
        <v>0</v>
      </c>
      <c r="X50" s="21">
        <f t="shared" ca="1" si="22"/>
        <v>0</v>
      </c>
      <c r="Y50" s="2"/>
      <c r="Z50" s="2"/>
    </row>
    <row r="51" spans="1:26" ht="14.25" customHeight="1" x14ac:dyDescent="0.45">
      <c r="A51" s="25"/>
      <c r="B51" s="25" t="s">
        <v>67</v>
      </c>
      <c r="C51" s="26">
        <f>SUM(C31:C50)</f>
        <v>2008</v>
      </c>
      <c r="D51" s="26">
        <f>SUM(D31:D50)</f>
        <v>271024</v>
      </c>
      <c r="E51" s="26">
        <f ca="1">SUM(E31:E50)</f>
        <v>518367</v>
      </c>
      <c r="F51" s="27">
        <f ca="1">SUM(F31:F50)</f>
        <v>-247343</v>
      </c>
      <c r="G51" s="28">
        <f ca="1">IF(C51=0,"",IFERROR(F51/E51,""))</f>
        <v>-0.47715807526327875</v>
      </c>
      <c r="H51" s="26">
        <f>SUM(H31:H50)</f>
        <v>2679</v>
      </c>
      <c r="I51" s="26">
        <f ca="1">SUM(I31:I50)</f>
        <v>3542</v>
      </c>
      <c r="J51" s="27">
        <f ca="1">SUM(J31:J50)</f>
        <v>-863</v>
      </c>
      <c r="K51" s="28">
        <f ca="1">IF(C51=0,"",IFERROR(J51/I51,""))</f>
        <v>-0.24364765669113495</v>
      </c>
      <c r="L51" s="26">
        <f t="shared" si="23"/>
        <v>134.97211155378486</v>
      </c>
      <c r="M51" s="26">
        <f t="shared" si="24"/>
        <v>9.8847334553397488</v>
      </c>
      <c r="N51" s="26">
        <f>SUM(N31:N50)</f>
        <v>107004</v>
      </c>
      <c r="O51" s="27">
        <f ca="1">SUM(O31:O50)</f>
        <v>48</v>
      </c>
      <c r="P51" s="2"/>
      <c r="Q51" s="2"/>
      <c r="R51" s="2"/>
      <c r="S51" s="29">
        <f t="shared" ca="1" si="25"/>
        <v>0.9295325871304192</v>
      </c>
      <c r="T51" s="30">
        <f t="shared" ca="1" si="26"/>
        <v>-1.4066906623936979</v>
      </c>
      <c r="U51" s="29">
        <f t="shared" ca="1" si="27"/>
        <v>-5.6473095364944062E-2</v>
      </c>
      <c r="V51" s="30">
        <f t="shared" ca="1" si="28"/>
        <v>-0.18717456132619087</v>
      </c>
      <c r="W51" s="31">
        <f t="shared" ca="1" si="29"/>
        <v>49</v>
      </c>
      <c r="X51" s="31">
        <f ca="1">IF(OR(C51=0,$O51="",$W51=""),"",$O51-$W51)</f>
        <v>-1</v>
      </c>
      <c r="Y51" s="2"/>
      <c r="Z51" s="2"/>
    </row>
    <row r="52" spans="1:26" ht="14.25" customHeight="1" x14ac:dyDescent="0.45">
      <c r="A52" s="12" t="s">
        <v>24</v>
      </c>
      <c r="B52" s="12" t="s">
        <v>37</v>
      </c>
      <c r="C52" s="13">
        <v>149</v>
      </c>
      <c r="D52" s="13">
        <v>41618</v>
      </c>
      <c r="E52" s="13">
        <f t="shared" ref="E52:E73" ca="1" si="30">IF($D52="","",IFERROR(IF(ISBLANK(INDIRECT("'"&amp;$Q$2&amp;"'!D"&amp;ROW())),"",INDIRECT("'"&amp;$Q$2&amp;"'!D"&amp;ROW())),""))</f>
        <v>78442</v>
      </c>
      <c r="F52" s="15">
        <f t="shared" ref="F52:F73" ca="1" si="31">IF(OR(D52="",E52=""),"",D52-E52)</f>
        <v>-36824</v>
      </c>
      <c r="G52" s="16">
        <f t="shared" ref="G52:G73" ca="1" si="32">IFERROR(F52/E52,"")</f>
        <v>-0.46944239055607967</v>
      </c>
      <c r="H52" s="13">
        <v>257</v>
      </c>
      <c r="I52" s="13">
        <f t="shared" ref="I52:I73" ca="1" si="33">IF($H52="","",IFERROR(IF(ISBLANK(INDIRECT("'"&amp;$Q$2&amp;"'!H"&amp;ROW())),"",INDIRECT("'"&amp;$Q$2&amp;"'!H"&amp;ROW())),""))</f>
        <v>366</v>
      </c>
      <c r="J52" s="15">
        <f t="shared" ref="J52:J73" ca="1" si="34">IF(OR(H52="",I52=""),"",H52-I52)</f>
        <v>-109</v>
      </c>
      <c r="K52" s="16">
        <f t="shared" ref="K52:K73" ca="1" si="35">IFERROR(J52/I52,"")</f>
        <v>-0.29781420765027322</v>
      </c>
      <c r="L52" s="13">
        <f t="shared" si="23"/>
        <v>279.31543624161071</v>
      </c>
      <c r="M52" s="13">
        <f t="shared" si="24"/>
        <v>6.1752126483733001</v>
      </c>
      <c r="N52" s="13">
        <v>11789</v>
      </c>
      <c r="O52" s="15">
        <f t="shared" ref="O52:O73" ca="1" si="36">IFERROR(IF(OR(N52="",ISBLANK(INDIRECT("'"&amp;$Q$2&amp;"'!N"&amp;ROW()))),"",N52-INDIRECT("'"&amp;$Q$2&amp;"'!N"&amp;ROW())),"")</f>
        <v>-22</v>
      </c>
      <c r="P52" s="2"/>
      <c r="Q52" s="2"/>
      <c r="R52" s="2"/>
      <c r="S52" s="18">
        <f t="shared" ca="1" si="25"/>
        <v>1.2482659787904844</v>
      </c>
      <c r="T52" s="20">
        <f t="shared" ca="1" si="26"/>
        <v>-1.717708369346564</v>
      </c>
      <c r="U52" s="18">
        <f t="shared" ca="1" si="27"/>
        <v>0.59825327510917026</v>
      </c>
      <c r="V52" s="20">
        <f t="shared" ca="1" si="28"/>
        <v>-0.89606748275944348</v>
      </c>
      <c r="W52" s="21">
        <f t="shared" ca="1" si="29"/>
        <v>-10</v>
      </c>
      <c r="X52" s="21">
        <f t="shared" ref="X52:X73" ca="1" si="37">IF(OR($O52="",$W52=""),"",$O52-$W52)</f>
        <v>-12</v>
      </c>
      <c r="Y52" s="2"/>
      <c r="Z52" s="2"/>
    </row>
    <row r="53" spans="1:26" ht="14.25" customHeight="1" x14ac:dyDescent="0.45">
      <c r="A53" s="12" t="s">
        <v>24</v>
      </c>
      <c r="B53" s="12" t="s">
        <v>39</v>
      </c>
      <c r="C53" s="13">
        <v>149</v>
      </c>
      <c r="D53" s="13">
        <v>34910</v>
      </c>
      <c r="E53" s="13">
        <f t="shared" ca="1" si="30"/>
        <v>17966</v>
      </c>
      <c r="F53" s="15">
        <f t="shared" ca="1" si="31"/>
        <v>16944</v>
      </c>
      <c r="G53" s="16">
        <f t="shared" ca="1" si="32"/>
        <v>0.94311477234776797</v>
      </c>
      <c r="H53" s="13">
        <v>41</v>
      </c>
      <c r="I53" s="13">
        <f t="shared" ca="1" si="33"/>
        <v>50</v>
      </c>
      <c r="J53" s="15">
        <f t="shared" ca="1" si="34"/>
        <v>-9</v>
      </c>
      <c r="K53" s="16">
        <f t="shared" ca="1" si="35"/>
        <v>-0.18</v>
      </c>
      <c r="L53" s="13">
        <f t="shared" si="23"/>
        <v>234.29530201342283</v>
      </c>
      <c r="M53" s="13">
        <f t="shared" si="24"/>
        <v>1.1744485820681754</v>
      </c>
      <c r="N53" s="13">
        <v>4817</v>
      </c>
      <c r="O53" s="15">
        <f t="shared" ca="1" si="36"/>
        <v>2</v>
      </c>
      <c r="P53" s="2"/>
      <c r="Q53" s="2"/>
      <c r="R53" s="2"/>
      <c r="S53" s="18">
        <f t="shared" ca="1" si="25"/>
        <v>-0.45315638887197907</v>
      </c>
      <c r="T53" s="20">
        <f t="shared" ca="1" si="26"/>
        <v>1.3962711612197469</v>
      </c>
      <c r="U53" s="18">
        <f t="shared" ca="1" si="27"/>
        <v>0.3888888888888889</v>
      </c>
      <c r="V53" s="20">
        <f t="shared" ca="1" si="28"/>
        <v>-0.56888888888888889</v>
      </c>
      <c r="W53" s="21">
        <f t="shared" ca="1" si="29"/>
        <v>-10</v>
      </c>
      <c r="X53" s="21">
        <f t="shared" ca="1" si="37"/>
        <v>12</v>
      </c>
      <c r="Y53" s="2"/>
      <c r="Z53" s="2"/>
    </row>
    <row r="54" spans="1:26" ht="14.25" customHeight="1" x14ac:dyDescent="0.45">
      <c r="A54" s="12" t="s">
        <v>24</v>
      </c>
      <c r="B54" s="12" t="s">
        <v>42</v>
      </c>
      <c r="C54" s="13">
        <v>101</v>
      </c>
      <c r="D54" s="13">
        <v>2614</v>
      </c>
      <c r="E54" s="13">
        <f t="shared" ca="1" si="30"/>
        <v>2324</v>
      </c>
      <c r="F54" s="15">
        <f t="shared" ca="1" si="31"/>
        <v>290</v>
      </c>
      <c r="G54" s="16">
        <f t="shared" ca="1" si="32"/>
        <v>0.12478485370051635</v>
      </c>
      <c r="H54" s="13">
        <v>1</v>
      </c>
      <c r="I54" s="13">
        <f t="shared" ca="1" si="33"/>
        <v>2</v>
      </c>
      <c r="J54" s="15">
        <f t="shared" ca="1" si="34"/>
        <v>-1</v>
      </c>
      <c r="K54" s="16">
        <f t="shared" ca="1" si="35"/>
        <v>-0.5</v>
      </c>
      <c r="L54" s="13">
        <f t="shared" si="23"/>
        <v>25.881188118811881</v>
      </c>
      <c r="M54" s="13">
        <f t="shared" si="24"/>
        <v>0.38255547054322875</v>
      </c>
      <c r="N54" s="13">
        <v>873</v>
      </c>
      <c r="O54" s="15">
        <f t="shared" ca="1" si="36"/>
        <v>-3</v>
      </c>
      <c r="P54" s="2"/>
      <c r="Q54" s="2"/>
      <c r="R54" s="2"/>
      <c r="S54" s="18">
        <f t="shared" ca="1" si="25"/>
        <v>0.52193844138834311</v>
      </c>
      <c r="T54" s="20">
        <f t="shared" ca="1" si="26"/>
        <v>-0.39715358768782677</v>
      </c>
      <c r="U54" s="18">
        <f t="shared" ca="1" si="27"/>
        <v>-0.5</v>
      </c>
      <c r="V54" s="20">
        <f t="shared" ca="1" si="28"/>
        <v>0</v>
      </c>
      <c r="W54" s="21">
        <f t="shared" ca="1" si="29"/>
        <v>3</v>
      </c>
      <c r="X54" s="21">
        <f t="shared" ca="1" si="37"/>
        <v>-6</v>
      </c>
      <c r="Y54" s="2"/>
      <c r="Z54" s="2"/>
    </row>
    <row r="55" spans="1:26" ht="14.25" customHeight="1" x14ac:dyDescent="0.45">
      <c r="A55" s="12" t="s">
        <v>24</v>
      </c>
      <c r="B55" s="12" t="s">
        <v>68</v>
      </c>
      <c r="C55" s="13">
        <v>10</v>
      </c>
      <c r="D55" s="13">
        <v>34446</v>
      </c>
      <c r="E55" s="13">
        <f t="shared" ca="1" si="30"/>
        <v>25402</v>
      </c>
      <c r="F55" s="15">
        <f t="shared" ca="1" si="31"/>
        <v>9044</v>
      </c>
      <c r="G55" s="16">
        <f t="shared" ca="1" si="32"/>
        <v>0.35603495787733247</v>
      </c>
      <c r="H55" s="13">
        <v>28</v>
      </c>
      <c r="I55" s="13">
        <f t="shared" ca="1" si="33"/>
        <v>31</v>
      </c>
      <c r="J55" s="15">
        <f t="shared" ca="1" si="34"/>
        <v>-3</v>
      </c>
      <c r="K55" s="16">
        <f t="shared" ca="1" si="35"/>
        <v>-9.6774193548387094E-2</v>
      </c>
      <c r="L55" s="13">
        <f t="shared" si="23"/>
        <v>3444.6</v>
      </c>
      <c r="M55" s="13">
        <f t="shared" si="24"/>
        <v>0.81286651570574231</v>
      </c>
      <c r="N55" s="13">
        <v>13819</v>
      </c>
      <c r="O55" s="15">
        <f t="shared" ca="1" si="36"/>
        <v>-16</v>
      </c>
      <c r="P55" s="2"/>
      <c r="Q55" s="2"/>
      <c r="R55" s="2"/>
      <c r="S55" s="18">
        <f t="shared" ca="1" si="25"/>
        <v>5.7576483107209366</v>
      </c>
      <c r="T55" s="20">
        <f t="shared" ca="1" si="26"/>
        <v>-5.4016133528436043</v>
      </c>
      <c r="U55" s="18">
        <f t="shared" ca="1" si="27"/>
        <v>0.72222222222222221</v>
      </c>
      <c r="V55" s="20">
        <f t="shared" ca="1" si="28"/>
        <v>-0.81899641577060933</v>
      </c>
      <c r="W55" s="21">
        <f t="shared" ca="1" si="29"/>
        <v>-22</v>
      </c>
      <c r="X55" s="21">
        <f t="shared" ca="1" si="37"/>
        <v>6</v>
      </c>
      <c r="Y55" s="2"/>
      <c r="Z55" s="2"/>
    </row>
    <row r="56" spans="1:26" ht="14.25" customHeight="1" x14ac:dyDescent="0.45">
      <c r="A56" s="12" t="s">
        <v>24</v>
      </c>
      <c r="B56" s="12" t="s">
        <v>69</v>
      </c>
      <c r="C56" s="13">
        <v>8</v>
      </c>
      <c r="D56" s="13">
        <v>1684</v>
      </c>
      <c r="E56" s="13">
        <f t="shared" ca="1" si="30"/>
        <v>395</v>
      </c>
      <c r="F56" s="15">
        <f t="shared" ca="1" si="31"/>
        <v>1289</v>
      </c>
      <c r="G56" s="16">
        <f t="shared" ca="1" si="32"/>
        <v>3.2632911392405064</v>
      </c>
      <c r="H56" s="13">
        <v>10</v>
      </c>
      <c r="I56" s="13">
        <f t="shared" ca="1" si="33"/>
        <v>15</v>
      </c>
      <c r="J56" s="15">
        <f t="shared" ca="1" si="34"/>
        <v>-5</v>
      </c>
      <c r="K56" s="16">
        <f t="shared" ca="1" si="35"/>
        <v>-0.33333333333333331</v>
      </c>
      <c r="L56" s="13">
        <f t="shared" si="23"/>
        <v>210.5</v>
      </c>
      <c r="M56" s="13">
        <f t="shared" si="24"/>
        <v>5.9382422802850359</v>
      </c>
      <c r="N56" s="13">
        <v>8660</v>
      </c>
      <c r="O56" s="15">
        <f t="shared" ca="1" si="36"/>
        <v>-4</v>
      </c>
      <c r="P56" s="2"/>
      <c r="Q56" s="2"/>
      <c r="R56" s="2"/>
      <c r="S56" s="18">
        <f t="shared" ca="1" si="25"/>
        <v>-0.86313236313236308</v>
      </c>
      <c r="T56" s="20">
        <f t="shared" ca="1" si="26"/>
        <v>4.1264235023728695</v>
      </c>
      <c r="U56" s="18">
        <f t="shared" ca="1" si="27"/>
        <v>0.66666666666666663</v>
      </c>
      <c r="V56" s="20">
        <f t="shared" ca="1" si="28"/>
        <v>-1</v>
      </c>
      <c r="W56" s="21">
        <f t="shared" ca="1" si="29"/>
        <v>-14</v>
      </c>
      <c r="X56" s="21">
        <f t="shared" ca="1" si="37"/>
        <v>10</v>
      </c>
      <c r="Y56" s="2"/>
      <c r="Z56" s="2"/>
    </row>
    <row r="57" spans="1:26" ht="14.25" customHeight="1" x14ac:dyDescent="0.45">
      <c r="A57" s="12" t="s">
        <v>24</v>
      </c>
      <c r="B57" s="12" t="s">
        <v>43</v>
      </c>
      <c r="C57" s="13">
        <v>128</v>
      </c>
      <c r="D57" s="13">
        <v>80456</v>
      </c>
      <c r="E57" s="13">
        <f t="shared" ca="1" si="30"/>
        <v>116631</v>
      </c>
      <c r="F57" s="15">
        <f t="shared" ca="1" si="31"/>
        <v>-36175</v>
      </c>
      <c r="G57" s="16">
        <f t="shared" ca="1" si="32"/>
        <v>-0.31016625082525229</v>
      </c>
      <c r="H57" s="13">
        <v>347</v>
      </c>
      <c r="I57" s="13">
        <f t="shared" ca="1" si="33"/>
        <v>563</v>
      </c>
      <c r="J57" s="15">
        <f t="shared" ca="1" si="34"/>
        <v>-216</v>
      </c>
      <c r="K57" s="16">
        <f t="shared" ca="1" si="35"/>
        <v>-0.38365896980461811</v>
      </c>
      <c r="L57" s="13">
        <f t="shared" si="23"/>
        <v>628.5625</v>
      </c>
      <c r="M57" s="13">
        <f t="shared" si="24"/>
        <v>4.312916376653078</v>
      </c>
      <c r="N57" s="13">
        <v>10912</v>
      </c>
      <c r="O57" s="15">
        <f t="shared" ca="1" si="36"/>
        <v>-16</v>
      </c>
      <c r="P57" s="2"/>
      <c r="Q57" s="2"/>
      <c r="R57" s="2"/>
      <c r="S57" s="18">
        <f t="shared" ca="1" si="25"/>
        <v>0.33504653106077081</v>
      </c>
      <c r="T57" s="20">
        <f t="shared" ca="1" si="26"/>
        <v>-0.64521278188602316</v>
      </c>
      <c r="U57" s="18">
        <f t="shared" ca="1" si="27"/>
        <v>0.56824512534818938</v>
      </c>
      <c r="V57" s="20">
        <f t="shared" ca="1" si="28"/>
        <v>-0.95190409515280749</v>
      </c>
      <c r="W57" s="21">
        <f t="shared" ca="1" si="29"/>
        <v>53</v>
      </c>
      <c r="X57" s="21">
        <f t="shared" ca="1" si="37"/>
        <v>-69</v>
      </c>
      <c r="Y57" s="2"/>
      <c r="Z57" s="2"/>
    </row>
    <row r="58" spans="1:26" ht="14.25" customHeight="1" x14ac:dyDescent="0.45">
      <c r="A58" s="12" t="s">
        <v>24</v>
      </c>
      <c r="B58" s="12" t="s">
        <v>44</v>
      </c>
      <c r="C58" s="13">
        <v>124</v>
      </c>
      <c r="D58" s="13">
        <v>24487</v>
      </c>
      <c r="E58" s="13">
        <f t="shared" ca="1" si="30"/>
        <v>21703</v>
      </c>
      <c r="F58" s="15">
        <f t="shared" ca="1" si="31"/>
        <v>2784</v>
      </c>
      <c r="G58" s="16">
        <f t="shared" ca="1" si="32"/>
        <v>0.12827719670091692</v>
      </c>
      <c r="H58" s="13">
        <v>280</v>
      </c>
      <c r="I58" s="13">
        <f t="shared" ca="1" si="33"/>
        <v>293</v>
      </c>
      <c r="J58" s="15">
        <f t="shared" ca="1" si="34"/>
        <v>-13</v>
      </c>
      <c r="K58" s="16">
        <f t="shared" ca="1" si="35"/>
        <v>-4.4368600682593858E-2</v>
      </c>
      <c r="L58" s="13">
        <f t="shared" si="23"/>
        <v>197.4758064516129</v>
      </c>
      <c r="M58" s="13">
        <f t="shared" si="24"/>
        <v>11.434638787928289</v>
      </c>
      <c r="N58" s="13">
        <v>4109</v>
      </c>
      <c r="O58" s="15">
        <f t="shared" ca="1" si="36"/>
        <v>-11</v>
      </c>
      <c r="P58" s="2"/>
      <c r="Q58" s="2"/>
      <c r="R58" s="2"/>
      <c r="S58" s="18">
        <f t="shared" ca="1" si="25"/>
        <v>-0.15542670350624588</v>
      </c>
      <c r="T58" s="20">
        <f t="shared" ca="1" si="26"/>
        <v>0.2837039002071628</v>
      </c>
      <c r="U58" s="18">
        <f t="shared" ca="1" si="27"/>
        <v>6.9343065693430656E-2</v>
      </c>
      <c r="V58" s="20">
        <f t="shared" ca="1" si="28"/>
        <v>-0.11371166637602451</v>
      </c>
      <c r="W58" s="21">
        <f t="shared" ca="1" si="29"/>
        <v>-12</v>
      </c>
      <c r="X58" s="21">
        <f t="shared" ca="1" si="37"/>
        <v>1</v>
      </c>
      <c r="Y58" s="2"/>
      <c r="Z58" s="2"/>
    </row>
    <row r="59" spans="1:26" ht="14.25" customHeight="1" x14ac:dyDescent="0.45">
      <c r="A59" s="12" t="s">
        <v>24</v>
      </c>
      <c r="B59" s="12" t="s">
        <v>45</v>
      </c>
      <c r="C59" s="13">
        <v>119</v>
      </c>
      <c r="D59" s="13">
        <v>37935</v>
      </c>
      <c r="E59" s="13">
        <f t="shared" ca="1" si="30"/>
        <v>35309</v>
      </c>
      <c r="F59" s="15">
        <f t="shared" ca="1" si="31"/>
        <v>2626</v>
      </c>
      <c r="G59" s="16">
        <f t="shared" ca="1" si="32"/>
        <v>7.43719731513212E-2</v>
      </c>
      <c r="H59" s="13">
        <v>235</v>
      </c>
      <c r="I59" s="13">
        <f t="shared" ca="1" si="33"/>
        <v>269</v>
      </c>
      <c r="J59" s="15">
        <f t="shared" ca="1" si="34"/>
        <v>-34</v>
      </c>
      <c r="K59" s="16">
        <f t="shared" ca="1" si="35"/>
        <v>-0.12639405204460966</v>
      </c>
      <c r="L59" s="13">
        <f t="shared" si="23"/>
        <v>318.781512605042</v>
      </c>
      <c r="M59" s="13">
        <f t="shared" si="24"/>
        <v>6.1948069065506788</v>
      </c>
      <c r="N59" s="13">
        <v>5527</v>
      </c>
      <c r="O59" s="15">
        <f t="shared" ca="1" si="36"/>
        <v>-22</v>
      </c>
      <c r="P59" s="2"/>
      <c r="Q59" s="2"/>
      <c r="R59" s="2"/>
      <c r="S59" s="18">
        <f t="shared" ca="1" si="25"/>
        <v>-0.1126385363524415</v>
      </c>
      <c r="T59" s="20">
        <f t="shared" ca="1" si="26"/>
        <v>0.18701050950376269</v>
      </c>
      <c r="U59" s="18">
        <f t="shared" ca="1" si="27"/>
        <v>-0.36104513064133015</v>
      </c>
      <c r="V59" s="20">
        <f t="shared" ca="1" si="28"/>
        <v>0.23465107859672049</v>
      </c>
      <c r="W59" s="21">
        <f t="shared" ca="1" si="29"/>
        <v>0</v>
      </c>
      <c r="X59" s="21">
        <f t="shared" ca="1" si="37"/>
        <v>-22</v>
      </c>
      <c r="Y59" s="2"/>
      <c r="Z59" s="2"/>
    </row>
    <row r="60" spans="1:26" ht="14.25" customHeight="1" x14ac:dyDescent="0.45">
      <c r="A60" s="12" t="s">
        <v>24</v>
      </c>
      <c r="B60" s="12" t="s">
        <v>46</v>
      </c>
      <c r="C60" s="13">
        <v>155</v>
      </c>
      <c r="D60" s="13">
        <v>65888</v>
      </c>
      <c r="E60" s="13">
        <f t="shared" ca="1" si="30"/>
        <v>71836</v>
      </c>
      <c r="F60" s="15">
        <f t="shared" ca="1" si="31"/>
        <v>-5948</v>
      </c>
      <c r="G60" s="16">
        <f t="shared" ca="1" si="32"/>
        <v>-8.2799710451584158E-2</v>
      </c>
      <c r="H60" s="13">
        <v>167</v>
      </c>
      <c r="I60" s="13">
        <f t="shared" ca="1" si="33"/>
        <v>267</v>
      </c>
      <c r="J60" s="15">
        <f t="shared" ca="1" si="34"/>
        <v>-100</v>
      </c>
      <c r="K60" s="16">
        <f t="shared" ca="1" si="35"/>
        <v>-0.37453183520599254</v>
      </c>
      <c r="L60" s="13">
        <f t="shared" si="23"/>
        <v>425.08387096774192</v>
      </c>
      <c r="M60" s="13">
        <f t="shared" si="24"/>
        <v>2.5346041767848471</v>
      </c>
      <c r="N60" s="13">
        <v>10422</v>
      </c>
      <c r="O60" s="15">
        <f t="shared" ca="1" si="36"/>
        <v>-25</v>
      </c>
      <c r="P60" s="2"/>
      <c r="Q60" s="2"/>
      <c r="R60" s="2"/>
      <c r="S60" s="18">
        <f t="shared" ca="1" si="25"/>
        <v>0.39238641649868194</v>
      </c>
      <c r="T60" s="20">
        <f t="shared" ca="1" si="26"/>
        <v>-0.47518612695026607</v>
      </c>
      <c r="U60" s="18">
        <f t="shared" ca="1" si="27"/>
        <v>0.18141592920353983</v>
      </c>
      <c r="V60" s="20">
        <f t="shared" ca="1" si="28"/>
        <v>-0.55594776440953231</v>
      </c>
      <c r="W60" s="21">
        <f t="shared" ca="1" si="29"/>
        <v>-12</v>
      </c>
      <c r="X60" s="21">
        <f t="shared" ca="1" si="37"/>
        <v>-13</v>
      </c>
      <c r="Y60" s="2"/>
      <c r="Z60" s="2"/>
    </row>
    <row r="61" spans="1:26" ht="14.25" customHeight="1" x14ac:dyDescent="0.45">
      <c r="A61" s="12" t="s">
        <v>24</v>
      </c>
      <c r="B61" s="12" t="s">
        <v>47</v>
      </c>
      <c r="C61" s="13">
        <v>114</v>
      </c>
      <c r="D61" s="13">
        <v>42793</v>
      </c>
      <c r="E61" s="13">
        <f t="shared" ca="1" si="30"/>
        <v>10230</v>
      </c>
      <c r="F61" s="15">
        <f t="shared" ca="1" si="31"/>
        <v>32563</v>
      </c>
      <c r="G61" s="16">
        <f t="shared" ca="1" si="32"/>
        <v>3.183088954056696</v>
      </c>
      <c r="H61" s="13">
        <v>131</v>
      </c>
      <c r="I61" s="13">
        <f t="shared" ca="1" si="33"/>
        <v>88</v>
      </c>
      <c r="J61" s="15">
        <f t="shared" ca="1" si="34"/>
        <v>43</v>
      </c>
      <c r="K61" s="16">
        <f t="shared" ca="1" si="35"/>
        <v>0.48863636363636365</v>
      </c>
      <c r="L61" s="13">
        <f t="shared" si="23"/>
        <v>375.37719298245617</v>
      </c>
      <c r="M61" s="13">
        <f t="shared" si="24"/>
        <v>3.0612483350080621</v>
      </c>
      <c r="N61" s="13">
        <v>2317</v>
      </c>
      <c r="O61" s="15">
        <f t="shared" ca="1" si="36"/>
        <v>-2</v>
      </c>
      <c r="P61" s="2"/>
      <c r="Q61" s="2"/>
      <c r="R61" s="2"/>
      <c r="S61" s="18">
        <f t="shared" ca="1" si="25"/>
        <v>0.2587670727205611</v>
      </c>
      <c r="T61" s="20">
        <f t="shared" ca="1" si="26"/>
        <v>2.9243218813361347</v>
      </c>
      <c r="U61" s="18">
        <f t="shared" ca="1" si="27"/>
        <v>5.7692307692307692</v>
      </c>
      <c r="V61" s="20">
        <f t="shared" ca="1" si="28"/>
        <v>-5.2805944055944058</v>
      </c>
      <c r="W61" s="21">
        <f t="shared" ca="1" si="29"/>
        <v>1</v>
      </c>
      <c r="X61" s="21">
        <f t="shared" ca="1" si="37"/>
        <v>-3</v>
      </c>
      <c r="Y61" s="2"/>
      <c r="Z61" s="2"/>
    </row>
    <row r="62" spans="1:26" ht="14.25" customHeight="1" x14ac:dyDescent="0.45">
      <c r="A62" s="12" t="s">
        <v>24</v>
      </c>
      <c r="B62" s="12" t="s">
        <v>48</v>
      </c>
      <c r="C62" s="13">
        <v>77</v>
      </c>
      <c r="D62" s="13">
        <v>6106</v>
      </c>
      <c r="E62" s="13">
        <f t="shared" ca="1" si="30"/>
        <v>3879</v>
      </c>
      <c r="F62" s="15">
        <f t="shared" ca="1" si="31"/>
        <v>2227</v>
      </c>
      <c r="G62" s="16">
        <f t="shared" ca="1" si="32"/>
        <v>0.57411704047434908</v>
      </c>
      <c r="H62" s="13">
        <v>43</v>
      </c>
      <c r="I62" s="13">
        <f t="shared" ca="1" si="33"/>
        <v>75</v>
      </c>
      <c r="J62" s="15">
        <f t="shared" ca="1" si="34"/>
        <v>-32</v>
      </c>
      <c r="K62" s="16">
        <f t="shared" ca="1" si="35"/>
        <v>-0.42666666666666669</v>
      </c>
      <c r="L62" s="13">
        <f t="shared" si="23"/>
        <v>79.298701298701303</v>
      </c>
      <c r="M62" s="13">
        <f t="shared" si="24"/>
        <v>7.042253521126761</v>
      </c>
      <c r="N62" s="13">
        <v>1376</v>
      </c>
      <c r="O62" s="15">
        <f t="shared" ca="1" si="36"/>
        <v>-6</v>
      </c>
      <c r="P62" s="2"/>
      <c r="Q62" s="2"/>
      <c r="R62" s="2"/>
      <c r="S62" s="18">
        <f t="shared" ca="1" si="25"/>
        <v>4.9229104679469837E-2</v>
      </c>
      <c r="T62" s="20">
        <f t="shared" ca="1" si="26"/>
        <v>0.52488793579487925</v>
      </c>
      <c r="U62" s="18">
        <f t="shared" ca="1" si="27"/>
        <v>1.4193548387096775</v>
      </c>
      <c r="V62" s="20">
        <f t="shared" ca="1" si="28"/>
        <v>-1.8460215053763442</v>
      </c>
      <c r="W62" s="21">
        <f t="shared" ca="1" si="29"/>
        <v>4</v>
      </c>
      <c r="X62" s="21">
        <f t="shared" ca="1" si="37"/>
        <v>-10</v>
      </c>
      <c r="Y62" s="2"/>
      <c r="Z62" s="2"/>
    </row>
    <row r="63" spans="1:26" ht="14.25" customHeight="1" x14ac:dyDescent="0.45">
      <c r="A63" s="12" t="s">
        <v>24</v>
      </c>
      <c r="B63" s="12" t="s">
        <v>49</v>
      </c>
      <c r="C63" s="13">
        <v>90</v>
      </c>
      <c r="D63" s="13">
        <v>26252</v>
      </c>
      <c r="E63" s="13">
        <f t="shared" ca="1" si="30"/>
        <v>21971</v>
      </c>
      <c r="F63" s="15">
        <f t="shared" ca="1" si="31"/>
        <v>4281</v>
      </c>
      <c r="G63" s="16">
        <f t="shared" ca="1" si="32"/>
        <v>0.19484775385735742</v>
      </c>
      <c r="H63" s="13">
        <v>80</v>
      </c>
      <c r="I63" s="13">
        <f t="shared" ca="1" si="33"/>
        <v>114</v>
      </c>
      <c r="J63" s="15">
        <f t="shared" ca="1" si="34"/>
        <v>-34</v>
      </c>
      <c r="K63" s="16">
        <f t="shared" ca="1" si="35"/>
        <v>-0.2982456140350877</v>
      </c>
      <c r="L63" s="13">
        <f t="shared" si="23"/>
        <v>291.68888888888887</v>
      </c>
      <c r="M63" s="13">
        <f t="shared" si="24"/>
        <v>3.0473868657626086</v>
      </c>
      <c r="N63" s="13">
        <v>5657</v>
      </c>
      <c r="O63" s="15">
        <f t="shared" ca="1" si="36"/>
        <v>-9</v>
      </c>
      <c r="P63" s="2"/>
      <c r="Q63" s="2"/>
      <c r="R63" s="2"/>
      <c r="S63" s="18">
        <f t="shared" ca="1" si="25"/>
        <v>-0.29575613821398805</v>
      </c>
      <c r="T63" s="20">
        <f t="shared" ca="1" si="26"/>
        <v>0.49060389207134547</v>
      </c>
      <c r="U63" s="18">
        <f t="shared" ca="1" si="27"/>
        <v>-0.21917808219178081</v>
      </c>
      <c r="V63" s="20">
        <f t="shared" ca="1" si="28"/>
        <v>-7.9067531843306893E-2</v>
      </c>
      <c r="W63" s="21">
        <f t="shared" ca="1" si="29"/>
        <v>-21</v>
      </c>
      <c r="X63" s="21">
        <f t="shared" ca="1" si="37"/>
        <v>12</v>
      </c>
      <c r="Y63" s="2"/>
      <c r="Z63" s="2"/>
    </row>
    <row r="64" spans="1:26" ht="14.25" customHeight="1" x14ac:dyDescent="0.45">
      <c r="A64" s="12" t="s">
        <v>24</v>
      </c>
      <c r="B64" s="12" t="s">
        <v>50</v>
      </c>
      <c r="C64" s="13">
        <v>53</v>
      </c>
      <c r="D64" s="13">
        <v>5588</v>
      </c>
      <c r="E64" s="13">
        <f t="shared" ca="1" si="30"/>
        <v>3879</v>
      </c>
      <c r="F64" s="15">
        <f t="shared" ca="1" si="31"/>
        <v>1709</v>
      </c>
      <c r="G64" s="16">
        <f t="shared" ca="1" si="32"/>
        <v>0.44057746841969581</v>
      </c>
      <c r="H64" s="13">
        <v>3</v>
      </c>
      <c r="I64" s="13">
        <f t="shared" ca="1" si="33"/>
        <v>4</v>
      </c>
      <c r="J64" s="15">
        <f t="shared" ca="1" si="34"/>
        <v>-1</v>
      </c>
      <c r="K64" s="16">
        <f t="shared" ca="1" si="35"/>
        <v>-0.25</v>
      </c>
      <c r="L64" s="13">
        <f t="shared" si="23"/>
        <v>105.43396226415095</v>
      </c>
      <c r="M64" s="13">
        <f t="shared" si="24"/>
        <v>0.53686471009305659</v>
      </c>
      <c r="N64" s="13">
        <v>1823</v>
      </c>
      <c r="O64" s="15">
        <f t="shared" ca="1" si="36"/>
        <v>0</v>
      </c>
      <c r="P64" s="2"/>
      <c r="Q64" s="2"/>
      <c r="R64" s="2"/>
      <c r="S64" s="18">
        <f t="shared" ca="1" si="25"/>
        <v>0.22173228346456694</v>
      </c>
      <c r="T64" s="20">
        <f t="shared" ca="1" si="26"/>
        <v>0.21884518495512886</v>
      </c>
      <c r="U64" s="18">
        <f t="shared" ca="1" si="27"/>
        <v>1</v>
      </c>
      <c r="V64" s="20">
        <f t="shared" ca="1" si="28"/>
        <v>-1.25</v>
      </c>
      <c r="W64" s="21">
        <f t="shared" ca="1" si="29"/>
        <v>-2</v>
      </c>
      <c r="X64" s="21">
        <f t="shared" ca="1" si="37"/>
        <v>2</v>
      </c>
      <c r="Y64" s="2"/>
      <c r="Z64" s="2"/>
    </row>
    <row r="65" spans="1:26" ht="14.25" customHeight="1" x14ac:dyDescent="0.45">
      <c r="A65" s="12" t="s">
        <v>24</v>
      </c>
      <c r="B65" s="12" t="s">
        <v>51</v>
      </c>
      <c r="C65" s="13">
        <v>50</v>
      </c>
      <c r="D65" s="13">
        <v>3817</v>
      </c>
      <c r="E65" s="13">
        <f t="shared" ca="1" si="30"/>
        <v>2756</v>
      </c>
      <c r="F65" s="15">
        <f t="shared" ca="1" si="31"/>
        <v>1061</v>
      </c>
      <c r="G65" s="16">
        <f t="shared" ca="1" si="32"/>
        <v>0.38497822931785197</v>
      </c>
      <c r="H65" s="13">
        <v>3</v>
      </c>
      <c r="I65" s="13">
        <f t="shared" ca="1" si="33"/>
        <v>5</v>
      </c>
      <c r="J65" s="15">
        <f t="shared" ca="1" si="34"/>
        <v>-2</v>
      </c>
      <c r="K65" s="16">
        <f t="shared" ca="1" si="35"/>
        <v>-0.4</v>
      </c>
      <c r="L65" s="13">
        <f t="shared" si="23"/>
        <v>76.34</v>
      </c>
      <c r="M65" s="13">
        <f t="shared" si="24"/>
        <v>0.78595755829185221</v>
      </c>
      <c r="N65" s="13">
        <v>872</v>
      </c>
      <c r="O65" s="15">
        <f t="shared" ca="1" si="36"/>
        <v>-1</v>
      </c>
      <c r="P65" s="2"/>
      <c r="Q65" s="2"/>
      <c r="R65" s="2"/>
      <c r="S65" s="18">
        <f t="shared" ca="1" si="25"/>
        <v>-6.7027758970886933E-2</v>
      </c>
      <c r="T65" s="20">
        <f t="shared" ca="1" si="26"/>
        <v>0.45200598828873889</v>
      </c>
      <c r="U65" s="18">
        <f t="shared" ca="1" si="27"/>
        <v>1.5</v>
      </c>
      <c r="V65" s="20">
        <f t="shared" ca="1" si="28"/>
        <v>-1.9</v>
      </c>
      <c r="W65" s="21">
        <f t="shared" ca="1" si="29"/>
        <v>-2</v>
      </c>
      <c r="X65" s="21">
        <f t="shared" ca="1" si="37"/>
        <v>1</v>
      </c>
      <c r="Y65" s="2"/>
      <c r="Z65" s="2"/>
    </row>
    <row r="66" spans="1:26" ht="14.25" customHeight="1" x14ac:dyDescent="0.45">
      <c r="A66" s="12" t="s">
        <v>24</v>
      </c>
      <c r="B66" s="12" t="s">
        <v>52</v>
      </c>
      <c r="C66" s="13">
        <v>54</v>
      </c>
      <c r="D66" s="13">
        <v>4122</v>
      </c>
      <c r="E66" s="13">
        <f t="shared" ca="1" si="30"/>
        <v>3491</v>
      </c>
      <c r="F66" s="15">
        <f t="shared" ca="1" si="31"/>
        <v>631</v>
      </c>
      <c r="G66" s="16">
        <f t="shared" ca="1" si="32"/>
        <v>0.18075050128902892</v>
      </c>
      <c r="H66" s="13">
        <v>13</v>
      </c>
      <c r="I66" s="13">
        <f t="shared" ca="1" si="33"/>
        <v>8</v>
      </c>
      <c r="J66" s="15">
        <f t="shared" ca="1" si="34"/>
        <v>5</v>
      </c>
      <c r="K66" s="16">
        <f t="shared" ca="1" si="35"/>
        <v>0.625</v>
      </c>
      <c r="L66" s="13">
        <f t="shared" si="23"/>
        <v>76.333333333333329</v>
      </c>
      <c r="M66" s="13">
        <f t="shared" si="24"/>
        <v>3.1538088306647261</v>
      </c>
      <c r="N66" s="13">
        <v>854</v>
      </c>
      <c r="O66" s="15">
        <f t="shared" ca="1" si="36"/>
        <v>1</v>
      </c>
      <c r="P66" s="2"/>
      <c r="Q66" s="2"/>
      <c r="R66" s="2"/>
      <c r="S66" s="18">
        <f t="shared" ca="1" si="25"/>
        <v>0.42373572593800979</v>
      </c>
      <c r="T66" s="20">
        <f t="shared" ca="1" si="26"/>
        <v>-0.24298522464898087</v>
      </c>
      <c r="U66" s="18">
        <f t="shared" ca="1" si="27"/>
        <v>7</v>
      </c>
      <c r="V66" s="20">
        <f t="shared" ca="1" si="28"/>
        <v>-6.375</v>
      </c>
      <c r="W66" s="21">
        <f t="shared" ca="1" si="29"/>
        <v>-2</v>
      </c>
      <c r="X66" s="21">
        <f t="shared" ca="1" si="37"/>
        <v>3</v>
      </c>
      <c r="Y66" s="2"/>
      <c r="Z66" s="2"/>
    </row>
    <row r="67" spans="1:26" ht="14.25" customHeight="1" x14ac:dyDescent="0.45">
      <c r="A67" s="12" t="s">
        <v>24</v>
      </c>
      <c r="B67" s="12" t="s">
        <v>53</v>
      </c>
      <c r="C67" s="13">
        <v>17</v>
      </c>
      <c r="D67" s="13">
        <v>1940</v>
      </c>
      <c r="E67" s="13">
        <f t="shared" ca="1" si="30"/>
        <v>3794</v>
      </c>
      <c r="F67" s="15">
        <f t="shared" ca="1" si="31"/>
        <v>-1854</v>
      </c>
      <c r="G67" s="16">
        <f t="shared" ca="1" si="32"/>
        <v>-0.48866631523458093</v>
      </c>
      <c r="H67" s="13">
        <v>21</v>
      </c>
      <c r="I67" s="13">
        <f t="shared" ca="1" si="33"/>
        <v>17</v>
      </c>
      <c r="J67" s="15">
        <f t="shared" ca="1" si="34"/>
        <v>4</v>
      </c>
      <c r="K67" s="16">
        <f t="shared" ca="1" si="35"/>
        <v>0.23529411764705882</v>
      </c>
      <c r="L67" s="13">
        <f t="shared" ref="L67:L97" si="38">IFERROR(D67/C67,"")</f>
        <v>114.11764705882354</v>
      </c>
      <c r="M67" s="13">
        <f t="shared" ref="M67:M97" si="39">IFERROR(H67/D67*1000,"")</f>
        <v>10.824742268041236</v>
      </c>
      <c r="N67" s="13">
        <v>1169</v>
      </c>
      <c r="O67" s="15">
        <f t="shared" ca="1" si="36"/>
        <v>-2</v>
      </c>
      <c r="P67" s="2"/>
      <c r="Q67" s="2"/>
      <c r="R67" s="2"/>
      <c r="S67" s="18">
        <f t="shared" ref="S67:S97" ca="1" si="40">IFERROR(IF(ISBLANK(INDIRECT("'"&amp;$Q$2&amp;"'!G"&amp;ROW())),"",INDIRECT("'"&amp;$Q$2&amp;"'!G"&amp;ROW())),"")</f>
        <v>-0.87946371838861359</v>
      </c>
      <c r="T67" s="20">
        <f t="shared" ref="T67:T97" ca="1" si="41">IF(OR($G67="",$S67=""),"",$G67-$S67)</f>
        <v>0.39079740315403266</v>
      </c>
      <c r="U67" s="18">
        <f t="shared" ref="U67:U97" ca="1" si="42">IFERROR(IF(ISBLANK(INDIRECT("'"&amp;$Q$2&amp;"'!K"&amp;ROW())),"",INDIRECT("'"&amp;$Q$2&amp;"'!K"&amp;ROW())),"")</f>
        <v>-0.34615384615384615</v>
      </c>
      <c r="V67" s="20">
        <f t="shared" ref="V67:V97" ca="1" si="43">IF(OR($K67="",$U67=""),"",$K67-$U67)</f>
        <v>0.58144796380090491</v>
      </c>
      <c r="W67" s="21">
        <f t="shared" ref="W67:W97" ca="1" si="44">IFERROR(IF(ISBLANK(INDIRECT("'"&amp;$Q$2&amp;"'!O"&amp;ROW())),"",INDIRECT("'"&amp;$Q$2&amp;"'!O"&amp;ROW())),"")</f>
        <v>-6</v>
      </c>
      <c r="X67" s="21">
        <f t="shared" ca="1" si="37"/>
        <v>4</v>
      </c>
      <c r="Y67" s="2"/>
      <c r="Z67" s="2"/>
    </row>
    <row r="68" spans="1:26" ht="14.25" customHeight="1" x14ac:dyDescent="0.45">
      <c r="A68" s="12" t="s">
        <v>24</v>
      </c>
      <c r="B68" s="12" t="s">
        <v>54</v>
      </c>
      <c r="C68" s="13">
        <v>82</v>
      </c>
      <c r="D68" s="13">
        <v>21799</v>
      </c>
      <c r="E68" s="13">
        <f t="shared" ca="1" si="30"/>
        <v>17741</v>
      </c>
      <c r="F68" s="15">
        <f t="shared" ca="1" si="31"/>
        <v>4058</v>
      </c>
      <c r="G68" s="16">
        <f t="shared" ca="1" si="32"/>
        <v>0.22873569697311313</v>
      </c>
      <c r="H68" s="13">
        <v>81</v>
      </c>
      <c r="I68" s="13">
        <f t="shared" ca="1" si="33"/>
        <v>98</v>
      </c>
      <c r="J68" s="15">
        <f t="shared" ca="1" si="34"/>
        <v>-17</v>
      </c>
      <c r="K68" s="16">
        <f t="shared" ca="1" si="35"/>
        <v>-0.17346938775510204</v>
      </c>
      <c r="L68" s="13">
        <f t="shared" si="38"/>
        <v>265.84146341463412</v>
      </c>
      <c r="M68" s="13">
        <f t="shared" si="39"/>
        <v>3.7157667782925823</v>
      </c>
      <c r="N68" s="13">
        <v>4404</v>
      </c>
      <c r="O68" s="15">
        <f t="shared" ca="1" si="36"/>
        <v>-19</v>
      </c>
      <c r="P68" s="2"/>
      <c r="Q68" s="2"/>
      <c r="R68" s="2"/>
      <c r="S68" s="18">
        <f t="shared" ca="1" si="40"/>
        <v>-0.22007297665626235</v>
      </c>
      <c r="T68" s="20">
        <f t="shared" ca="1" si="41"/>
        <v>0.44880867362937549</v>
      </c>
      <c r="U68" s="18">
        <f t="shared" ca="1" si="42"/>
        <v>-0.125</v>
      </c>
      <c r="V68" s="20">
        <f t="shared" ca="1" si="43"/>
        <v>-4.8469387755102039E-2</v>
      </c>
      <c r="W68" s="21">
        <f t="shared" ca="1" si="44"/>
        <v>2</v>
      </c>
      <c r="X68" s="21">
        <f t="shared" ca="1" si="37"/>
        <v>-21</v>
      </c>
      <c r="Y68" s="2"/>
      <c r="Z68" s="2"/>
    </row>
    <row r="69" spans="1:26" ht="14.25" customHeight="1" x14ac:dyDescent="0.45">
      <c r="A69" s="12" t="s">
        <v>24</v>
      </c>
      <c r="B69" s="12" t="s">
        <v>55</v>
      </c>
      <c r="C69" s="13">
        <v>98</v>
      </c>
      <c r="D69" s="13">
        <v>39117</v>
      </c>
      <c r="E69" s="13">
        <f t="shared" ca="1" si="30"/>
        <v>27146</v>
      </c>
      <c r="F69" s="15">
        <f t="shared" ca="1" si="31"/>
        <v>11971</v>
      </c>
      <c r="G69" s="16">
        <f t="shared" ca="1" si="32"/>
        <v>0.44098578059382598</v>
      </c>
      <c r="H69" s="13">
        <v>357</v>
      </c>
      <c r="I69" s="13">
        <f t="shared" ca="1" si="33"/>
        <v>265</v>
      </c>
      <c r="J69" s="15">
        <f t="shared" ca="1" si="34"/>
        <v>92</v>
      </c>
      <c r="K69" s="16">
        <f t="shared" ca="1" si="35"/>
        <v>0.3471698113207547</v>
      </c>
      <c r="L69" s="13">
        <f t="shared" si="38"/>
        <v>399.15306122448982</v>
      </c>
      <c r="M69" s="13">
        <f t="shared" si="39"/>
        <v>9.1264667535853974</v>
      </c>
      <c r="N69" s="13">
        <v>5506</v>
      </c>
      <c r="O69" s="15">
        <f t="shared" ca="1" si="36"/>
        <v>-22</v>
      </c>
      <c r="P69" s="2"/>
      <c r="Q69" s="2"/>
      <c r="R69" s="2"/>
      <c r="S69" s="18">
        <f t="shared" ca="1" si="40"/>
        <v>-0.1099088464817365</v>
      </c>
      <c r="T69" s="20">
        <f t="shared" ca="1" si="41"/>
        <v>0.55089462707556247</v>
      </c>
      <c r="U69" s="18">
        <f t="shared" ca="1" si="42"/>
        <v>-6.0283687943262408E-2</v>
      </c>
      <c r="V69" s="20">
        <f t="shared" ca="1" si="43"/>
        <v>0.40745349926401708</v>
      </c>
      <c r="W69" s="21">
        <f t="shared" ca="1" si="44"/>
        <v>-22</v>
      </c>
      <c r="X69" s="21">
        <f t="shared" ca="1" si="37"/>
        <v>0</v>
      </c>
      <c r="Y69" s="2"/>
      <c r="Z69" s="2"/>
    </row>
    <row r="70" spans="1:26" ht="14.25" customHeight="1" x14ac:dyDescent="0.45">
      <c r="A70" s="12" t="s">
        <v>24</v>
      </c>
      <c r="B70" s="12" t="s">
        <v>62</v>
      </c>
      <c r="C70" s="13">
        <v>229</v>
      </c>
      <c r="D70" s="13">
        <v>3972</v>
      </c>
      <c r="E70" s="13">
        <f t="shared" ca="1" si="30"/>
        <v>3933</v>
      </c>
      <c r="F70" s="15">
        <f t="shared" ca="1" si="31"/>
        <v>39</v>
      </c>
      <c r="G70" s="16">
        <f t="shared" ca="1" si="32"/>
        <v>9.9160945842868033E-3</v>
      </c>
      <c r="H70" s="13">
        <v>0</v>
      </c>
      <c r="I70" s="13">
        <f t="shared" ca="1" si="33"/>
        <v>2</v>
      </c>
      <c r="J70" s="15">
        <f t="shared" ca="1" si="34"/>
        <v>-2</v>
      </c>
      <c r="K70" s="16">
        <f t="shared" ca="1" si="35"/>
        <v>-1</v>
      </c>
      <c r="L70" s="13">
        <f t="shared" si="38"/>
        <v>17.344978165938866</v>
      </c>
      <c r="M70" s="13">
        <f t="shared" si="39"/>
        <v>0</v>
      </c>
      <c r="N70" s="13">
        <v>692</v>
      </c>
      <c r="O70" s="15">
        <f t="shared" ca="1" si="36"/>
        <v>0</v>
      </c>
      <c r="P70" s="2"/>
      <c r="Q70" s="2"/>
      <c r="R70" s="2"/>
      <c r="S70" s="18">
        <f t="shared" ca="1" si="40"/>
        <v>3.174186778593914E-2</v>
      </c>
      <c r="T70" s="20">
        <f t="shared" ca="1" si="41"/>
        <v>-2.1825773201652337E-2</v>
      </c>
      <c r="U70" s="18" t="str">
        <f t="shared" ca="1" si="42"/>
        <v/>
      </c>
      <c r="V70" s="20" t="str">
        <f t="shared" ca="1" si="43"/>
        <v/>
      </c>
      <c r="W70" s="21">
        <f t="shared" ca="1" si="44"/>
        <v>-1</v>
      </c>
      <c r="X70" s="21">
        <f t="shared" ca="1" si="37"/>
        <v>1</v>
      </c>
      <c r="Y70" s="2"/>
      <c r="Z70" s="2"/>
    </row>
    <row r="71" spans="1:26" ht="14.25" customHeight="1" x14ac:dyDescent="0.45">
      <c r="A71" s="12" t="s">
        <v>24</v>
      </c>
      <c r="B71" s="12" t="s">
        <v>56</v>
      </c>
      <c r="C71" s="13">
        <v>24</v>
      </c>
      <c r="D71" s="13">
        <v>5095</v>
      </c>
      <c r="E71" s="13">
        <f t="shared" ca="1" si="30"/>
        <v>7225</v>
      </c>
      <c r="F71" s="15">
        <f t="shared" ca="1" si="31"/>
        <v>-2130</v>
      </c>
      <c r="G71" s="16">
        <f t="shared" ca="1" si="32"/>
        <v>-0.2948096885813149</v>
      </c>
      <c r="H71" s="13">
        <v>486</v>
      </c>
      <c r="I71" s="13">
        <f t="shared" ca="1" si="33"/>
        <v>595</v>
      </c>
      <c r="J71" s="15">
        <f t="shared" ca="1" si="34"/>
        <v>-109</v>
      </c>
      <c r="K71" s="16">
        <f t="shared" ca="1" si="35"/>
        <v>-0.18319327731092436</v>
      </c>
      <c r="L71" s="13">
        <f t="shared" si="38"/>
        <v>212.29166666666666</v>
      </c>
      <c r="M71" s="13">
        <f t="shared" si="39"/>
        <v>95.387634936211967</v>
      </c>
      <c r="N71" s="13">
        <v>2492</v>
      </c>
      <c r="O71" s="15">
        <f t="shared" ca="1" si="36"/>
        <v>-5</v>
      </c>
      <c r="P71" s="2"/>
      <c r="Q71" s="2"/>
      <c r="R71" s="2"/>
      <c r="S71" s="18">
        <f t="shared" ca="1" si="40"/>
        <v>-7.2052401746724892E-2</v>
      </c>
      <c r="T71" s="20">
        <f t="shared" ca="1" si="41"/>
        <v>-0.22275728683459001</v>
      </c>
      <c r="U71" s="18">
        <f t="shared" ca="1" si="42"/>
        <v>-0.15482954545454544</v>
      </c>
      <c r="V71" s="20">
        <f t="shared" ca="1" si="43"/>
        <v>-2.8363731856378915E-2</v>
      </c>
      <c r="W71" s="21">
        <f t="shared" ca="1" si="44"/>
        <v>-8</v>
      </c>
      <c r="X71" s="21">
        <f t="shared" ca="1" si="37"/>
        <v>3</v>
      </c>
      <c r="Y71" s="2"/>
      <c r="Z71" s="2"/>
    </row>
    <row r="72" spans="1:26" ht="14.25" customHeight="1" x14ac:dyDescent="0.45">
      <c r="A72" s="12" t="s">
        <v>24</v>
      </c>
      <c r="B72" s="12" t="s">
        <v>61</v>
      </c>
      <c r="C72" s="13">
        <v>7</v>
      </c>
      <c r="D72" s="13">
        <v>303</v>
      </c>
      <c r="E72" s="13">
        <f t="shared" ca="1" si="30"/>
        <v>800</v>
      </c>
      <c r="F72" s="15">
        <f t="shared" ca="1" si="31"/>
        <v>-497</v>
      </c>
      <c r="G72" s="16">
        <f t="shared" ca="1" si="32"/>
        <v>-0.62124999999999997</v>
      </c>
      <c r="H72" s="13">
        <v>20</v>
      </c>
      <c r="I72" s="13">
        <f t="shared" ca="1" si="33"/>
        <v>50</v>
      </c>
      <c r="J72" s="15">
        <f t="shared" ca="1" si="34"/>
        <v>-30</v>
      </c>
      <c r="K72" s="16">
        <f t="shared" ca="1" si="35"/>
        <v>-0.6</v>
      </c>
      <c r="L72" s="13">
        <f t="shared" si="38"/>
        <v>43.285714285714285</v>
      </c>
      <c r="M72" s="13">
        <f t="shared" si="39"/>
        <v>66.006600660065999</v>
      </c>
      <c r="N72" s="13">
        <v>175</v>
      </c>
      <c r="O72" s="15">
        <f t="shared" ca="1" si="36"/>
        <v>2</v>
      </c>
      <c r="P72" s="2"/>
      <c r="Q72" s="2"/>
      <c r="R72" s="2"/>
      <c r="S72" s="18">
        <f t="shared" ca="1" si="40"/>
        <v>3.5714285714285716</v>
      </c>
      <c r="T72" s="20">
        <f t="shared" ca="1" si="41"/>
        <v>-4.1926785714285719</v>
      </c>
      <c r="U72" s="18">
        <f t="shared" ca="1" si="42"/>
        <v>1.5</v>
      </c>
      <c r="V72" s="20">
        <f t="shared" ca="1" si="43"/>
        <v>-2.1</v>
      </c>
      <c r="W72" s="21">
        <f t="shared" ca="1" si="44"/>
        <v>0</v>
      </c>
      <c r="X72" s="21">
        <f t="shared" ca="1" si="37"/>
        <v>2</v>
      </c>
      <c r="Y72" s="2"/>
      <c r="Z72" s="2"/>
    </row>
    <row r="73" spans="1:26" ht="14.25" customHeight="1" x14ac:dyDescent="0.45">
      <c r="A73" s="12" t="s">
        <v>24</v>
      </c>
      <c r="B73" s="12" t="s">
        <v>65</v>
      </c>
      <c r="C73" s="13">
        <v>6</v>
      </c>
      <c r="D73" s="13">
        <v>826</v>
      </c>
      <c r="E73" s="13">
        <f t="shared" ca="1" si="30"/>
        <v>120</v>
      </c>
      <c r="F73" s="15">
        <f t="shared" ca="1" si="31"/>
        <v>706</v>
      </c>
      <c r="G73" s="16">
        <f t="shared" ca="1" si="32"/>
        <v>5.8833333333333337</v>
      </c>
      <c r="H73" s="13">
        <v>14</v>
      </c>
      <c r="I73" s="13">
        <f t="shared" ca="1" si="33"/>
        <v>18</v>
      </c>
      <c r="J73" s="15">
        <f t="shared" ca="1" si="34"/>
        <v>-4</v>
      </c>
      <c r="K73" s="16">
        <f t="shared" ca="1" si="35"/>
        <v>-0.22222222222222221</v>
      </c>
      <c r="L73" s="13">
        <f t="shared" si="38"/>
        <v>137.66666666666666</v>
      </c>
      <c r="M73" s="13">
        <f t="shared" si="39"/>
        <v>16.949152542372882</v>
      </c>
      <c r="N73" s="13">
        <v>54</v>
      </c>
      <c r="O73" s="15">
        <f t="shared" ca="1" si="36"/>
        <v>1</v>
      </c>
      <c r="P73" s="2"/>
      <c r="Q73" s="2"/>
      <c r="R73" s="2"/>
      <c r="S73" s="18">
        <f t="shared" ca="1" si="40"/>
        <v>-0.95776135163674758</v>
      </c>
      <c r="T73" s="20">
        <f t="shared" ca="1" si="41"/>
        <v>6.8410946849700816</v>
      </c>
      <c r="U73" s="18">
        <f t="shared" ca="1" si="42"/>
        <v>-0.59090909090909094</v>
      </c>
      <c r="V73" s="20">
        <f t="shared" ca="1" si="43"/>
        <v>0.36868686868686873</v>
      </c>
      <c r="W73" s="21">
        <f t="shared" ca="1" si="44"/>
        <v>0</v>
      </c>
      <c r="X73" s="21">
        <f t="shared" ca="1" si="37"/>
        <v>1</v>
      </c>
      <c r="Y73" s="2"/>
      <c r="Z73" s="2"/>
    </row>
    <row r="74" spans="1:26" ht="14.25" customHeight="1" x14ac:dyDescent="0.45">
      <c r="A74" s="25"/>
      <c r="B74" s="25" t="s">
        <v>70</v>
      </c>
      <c r="C74" s="26">
        <f>SUM(C52:C73)</f>
        <v>1844</v>
      </c>
      <c r="D74" s="26">
        <f>SUM(D52:D73)</f>
        <v>485768</v>
      </c>
      <c r="E74" s="26">
        <f ca="1">SUM(E52:E73)</f>
        <v>476973</v>
      </c>
      <c r="F74" s="27">
        <f ca="1">SUM(F52:F73)</f>
        <v>8795</v>
      </c>
      <c r="G74" s="28">
        <f ca="1">IF(C74=0,"",IFERROR(F74/E74,""))</f>
        <v>1.8439198864505957E-2</v>
      </c>
      <c r="H74" s="26">
        <f>SUM(H52:H73)</f>
        <v>2618</v>
      </c>
      <c r="I74" s="26">
        <f ca="1">SUM(I52:I73)</f>
        <v>3195</v>
      </c>
      <c r="J74" s="27">
        <f ca="1">SUM(J52:J73)</f>
        <v>-577</v>
      </c>
      <c r="K74" s="28">
        <f ca="1">IF(C74=0,"",IFERROR(J74/I74,""))</f>
        <v>-0.18059467918622849</v>
      </c>
      <c r="L74" s="26">
        <f t="shared" si="38"/>
        <v>263.43167028199565</v>
      </c>
      <c r="M74" s="26">
        <f t="shared" si="39"/>
        <v>5.3894039953228701</v>
      </c>
      <c r="N74" s="26">
        <f>SUM(N52:N73)</f>
        <v>98319</v>
      </c>
      <c r="O74" s="27">
        <f ca="1">SUM(O52:O73)</f>
        <v>-179</v>
      </c>
      <c r="P74" s="2"/>
      <c r="Q74" s="2"/>
      <c r="R74" s="2"/>
      <c r="S74" s="29">
        <f t="shared" ca="1" si="40"/>
        <v>0.10590894863144715</v>
      </c>
      <c r="T74" s="30">
        <f t="shared" ca="1" si="41"/>
        <v>-8.7469749766941191E-2</v>
      </c>
      <c r="U74" s="29">
        <f t="shared" ca="1" si="42"/>
        <v>7.975667455221358E-2</v>
      </c>
      <c r="V74" s="30">
        <f t="shared" ca="1" si="43"/>
        <v>-0.26035135373844209</v>
      </c>
      <c r="W74" s="31">
        <f t="shared" ca="1" si="44"/>
        <v>-81</v>
      </c>
      <c r="X74" s="31">
        <f ca="1">IF(OR(C74=0,$O74="",$W74=""),"",$O74-$W74)</f>
        <v>-98</v>
      </c>
      <c r="Y74" s="2"/>
      <c r="Z74" s="2"/>
    </row>
    <row r="75" spans="1:26" ht="14.25" customHeight="1" x14ac:dyDescent="0.45">
      <c r="A75" s="12" t="s">
        <v>25</v>
      </c>
      <c r="B75" s="12" t="s">
        <v>37</v>
      </c>
      <c r="C75" s="13">
        <v>159</v>
      </c>
      <c r="D75" s="13">
        <v>166032</v>
      </c>
      <c r="E75" s="13">
        <f t="shared" ref="E75:E95" ca="1" si="45">IF($D75="","",IFERROR(IF(ISBLANK(INDIRECT("'"&amp;$Q$2&amp;"'!D"&amp;ROW())),"",INDIRECT("'"&amp;$Q$2&amp;"'!D"&amp;ROW())),""))</f>
        <v>148551</v>
      </c>
      <c r="F75" s="15">
        <f t="shared" ref="F75:F95" ca="1" si="46">IF(OR(D75="",E75=""),"",D75-E75)</f>
        <v>17481</v>
      </c>
      <c r="G75" s="16">
        <f t="shared" ref="G75:G95" ca="1" si="47">IFERROR(F75/E75,"")</f>
        <v>0.11767675747723004</v>
      </c>
      <c r="H75" s="13">
        <v>1755</v>
      </c>
      <c r="I75" s="13">
        <f t="shared" ref="I75:I95" ca="1" si="48">IF($H75="","",IFERROR(IF(ISBLANK(INDIRECT("'"&amp;$Q$2&amp;"'!H"&amp;ROW())),"",INDIRECT("'"&amp;$Q$2&amp;"'!H"&amp;ROW())),""))</f>
        <v>1780</v>
      </c>
      <c r="J75" s="15">
        <f t="shared" ref="J75:J95" ca="1" si="49">IF(OR(H75="",I75=""),"",H75-I75)</f>
        <v>-25</v>
      </c>
      <c r="K75" s="16">
        <f t="shared" ref="K75:K95" ca="1" si="50">IFERROR(J75/I75,"")</f>
        <v>-1.4044943820224719E-2</v>
      </c>
      <c r="L75" s="13">
        <f t="shared" si="38"/>
        <v>1044.2264150943397</v>
      </c>
      <c r="M75" s="13">
        <f t="shared" si="39"/>
        <v>10.570251517779706</v>
      </c>
      <c r="N75" s="13">
        <v>4401</v>
      </c>
      <c r="O75" s="15">
        <f t="shared" ref="O75:O95" ca="1" si="51">IFERROR(IF(OR(N75="",ISBLANK(INDIRECT("'"&amp;$Q$2&amp;"'!N"&amp;ROW()))),"",N75-INDIRECT("'"&amp;$Q$2&amp;"'!N"&amp;ROW())),"")</f>
        <v>120</v>
      </c>
      <c r="P75" s="2"/>
      <c r="Q75" s="2"/>
      <c r="R75" s="2"/>
      <c r="S75" s="18">
        <f t="shared" ca="1" si="40"/>
        <v>9.4741884373042484E-2</v>
      </c>
      <c r="T75" s="20">
        <f t="shared" ca="1" si="41"/>
        <v>2.2934873104187556E-2</v>
      </c>
      <c r="U75" s="18">
        <f t="shared" ca="1" si="42"/>
        <v>0.36817832436587239</v>
      </c>
      <c r="V75" s="20">
        <f t="shared" ca="1" si="43"/>
        <v>-0.38222326818609709</v>
      </c>
      <c r="W75" s="21">
        <f t="shared" ca="1" si="44"/>
        <v>93</v>
      </c>
      <c r="X75" s="21">
        <f t="shared" ref="X75:X95" ca="1" si="52">IF(OR($O75="",$W75=""),"",$O75-$W75)</f>
        <v>27</v>
      </c>
      <c r="Y75" s="2"/>
      <c r="Z75" s="2"/>
    </row>
    <row r="76" spans="1:26" ht="14.25" customHeight="1" x14ac:dyDescent="0.45">
      <c r="A76" s="12" t="s">
        <v>25</v>
      </c>
      <c r="B76" s="12" t="s">
        <v>39</v>
      </c>
      <c r="C76" s="13">
        <v>160</v>
      </c>
      <c r="D76" s="13">
        <v>74136</v>
      </c>
      <c r="E76" s="13">
        <f t="shared" ca="1" si="45"/>
        <v>70047</v>
      </c>
      <c r="F76" s="15">
        <f t="shared" ca="1" si="46"/>
        <v>4089</v>
      </c>
      <c r="G76" s="16">
        <f t="shared" ca="1" si="47"/>
        <v>5.8375091010321643E-2</v>
      </c>
      <c r="H76" s="13">
        <v>264</v>
      </c>
      <c r="I76" s="13">
        <f t="shared" ca="1" si="48"/>
        <v>295</v>
      </c>
      <c r="J76" s="15">
        <f t="shared" ca="1" si="49"/>
        <v>-31</v>
      </c>
      <c r="K76" s="16">
        <f t="shared" ca="1" si="50"/>
        <v>-0.10508474576271186</v>
      </c>
      <c r="L76" s="13">
        <f t="shared" si="38"/>
        <v>463.35</v>
      </c>
      <c r="M76" s="13">
        <f t="shared" si="39"/>
        <v>3.5610229847847199</v>
      </c>
      <c r="N76" s="13">
        <v>2239</v>
      </c>
      <c r="O76" s="15">
        <f t="shared" ca="1" si="51"/>
        <v>18</v>
      </c>
      <c r="P76" s="2"/>
      <c r="Q76" s="2"/>
      <c r="R76" s="2"/>
      <c r="S76" s="18">
        <f t="shared" ca="1" si="40"/>
        <v>0.16071783654802146</v>
      </c>
      <c r="T76" s="20">
        <f t="shared" ca="1" si="41"/>
        <v>-0.10234274553769981</v>
      </c>
      <c r="U76" s="18">
        <f t="shared" ca="1" si="42"/>
        <v>0.25531914893617019</v>
      </c>
      <c r="V76" s="20">
        <f t="shared" ca="1" si="43"/>
        <v>-0.36040389469888207</v>
      </c>
      <c r="W76" s="21">
        <f t="shared" ca="1" si="44"/>
        <v>14</v>
      </c>
      <c r="X76" s="21">
        <f t="shared" ca="1" si="52"/>
        <v>4</v>
      </c>
      <c r="Y76" s="2"/>
      <c r="Z76" s="2"/>
    </row>
    <row r="77" spans="1:26" ht="14.25" customHeight="1" x14ac:dyDescent="0.45">
      <c r="A77" s="12" t="s">
        <v>25</v>
      </c>
      <c r="B77" s="12" t="s">
        <v>42</v>
      </c>
      <c r="C77" s="13">
        <v>102</v>
      </c>
      <c r="D77" s="13">
        <v>7964</v>
      </c>
      <c r="E77" s="13">
        <f t="shared" ca="1" si="45"/>
        <v>6026</v>
      </c>
      <c r="F77" s="15">
        <f t="shared" ca="1" si="46"/>
        <v>1938</v>
      </c>
      <c r="G77" s="16">
        <f t="shared" ca="1" si="47"/>
        <v>0.32160637238632594</v>
      </c>
      <c r="H77" s="13">
        <v>3</v>
      </c>
      <c r="I77" s="13">
        <f t="shared" ca="1" si="48"/>
        <v>13</v>
      </c>
      <c r="J77" s="15">
        <f t="shared" ca="1" si="49"/>
        <v>-10</v>
      </c>
      <c r="K77" s="16">
        <f t="shared" ca="1" si="50"/>
        <v>-0.76923076923076927</v>
      </c>
      <c r="L77" s="13">
        <f t="shared" si="38"/>
        <v>78.078431372549019</v>
      </c>
      <c r="M77" s="13">
        <f t="shared" si="39"/>
        <v>0.37669512807634353</v>
      </c>
      <c r="N77" s="13">
        <v>273</v>
      </c>
      <c r="O77" s="15">
        <f t="shared" ca="1" si="51"/>
        <v>3</v>
      </c>
      <c r="P77" s="2"/>
      <c r="Q77" s="2"/>
      <c r="R77" s="2"/>
      <c r="S77" s="18">
        <f t="shared" ca="1" si="40"/>
        <v>0.20592355413247948</v>
      </c>
      <c r="T77" s="20">
        <f t="shared" ca="1" si="41"/>
        <v>0.11568281825384646</v>
      </c>
      <c r="U77" s="18">
        <f t="shared" ca="1" si="42"/>
        <v>0.44444444444444442</v>
      </c>
      <c r="V77" s="20">
        <f t="shared" ca="1" si="43"/>
        <v>-1.2136752136752138</v>
      </c>
      <c r="W77" s="21">
        <f t="shared" ca="1" si="44"/>
        <v>3</v>
      </c>
      <c r="X77" s="21">
        <f t="shared" ca="1" si="52"/>
        <v>0</v>
      </c>
      <c r="Y77" s="2"/>
      <c r="Z77" s="2"/>
    </row>
    <row r="78" spans="1:26" ht="14.25" customHeight="1" x14ac:dyDescent="0.45">
      <c r="A78" s="12" t="s">
        <v>25</v>
      </c>
      <c r="B78" s="12" t="s">
        <v>68</v>
      </c>
      <c r="C78" s="13">
        <v>7</v>
      </c>
      <c r="D78" s="13">
        <v>1186</v>
      </c>
      <c r="E78" s="13">
        <f t="shared" ca="1" si="45"/>
        <v>6796</v>
      </c>
      <c r="F78" s="15">
        <f t="shared" ca="1" si="46"/>
        <v>-5610</v>
      </c>
      <c r="G78" s="16">
        <f t="shared" ca="1" si="47"/>
        <v>-0.8254855797527958</v>
      </c>
      <c r="H78" s="13">
        <v>26</v>
      </c>
      <c r="I78" s="13">
        <f t="shared" ca="1" si="48"/>
        <v>20</v>
      </c>
      <c r="J78" s="15">
        <f t="shared" ca="1" si="49"/>
        <v>6</v>
      </c>
      <c r="K78" s="16">
        <f t="shared" ca="1" si="50"/>
        <v>0.3</v>
      </c>
      <c r="L78" s="13">
        <f t="shared" si="38"/>
        <v>169.42857142857142</v>
      </c>
      <c r="M78" s="13">
        <f t="shared" si="39"/>
        <v>21.922428330522767</v>
      </c>
      <c r="N78" s="13">
        <v>208</v>
      </c>
      <c r="O78" s="15">
        <f t="shared" ca="1" si="51"/>
        <v>1</v>
      </c>
      <c r="P78" s="2"/>
      <c r="Q78" s="2"/>
      <c r="R78" s="2"/>
      <c r="S78" s="18">
        <f t="shared" ca="1" si="40"/>
        <v>5.9065040650406502</v>
      </c>
      <c r="T78" s="20">
        <f t="shared" ca="1" si="41"/>
        <v>-6.7319896447934457</v>
      </c>
      <c r="U78" s="18">
        <f t="shared" ca="1" si="42"/>
        <v>0.17647058823529413</v>
      </c>
      <c r="V78" s="20">
        <f t="shared" ca="1" si="43"/>
        <v>0.12352941176470586</v>
      </c>
      <c r="W78" s="21">
        <f t="shared" ca="1" si="44"/>
        <v>13</v>
      </c>
      <c r="X78" s="21">
        <f t="shared" ca="1" si="52"/>
        <v>-12</v>
      </c>
      <c r="Y78" s="2"/>
      <c r="Z78" s="2"/>
    </row>
    <row r="79" spans="1:26" ht="14.25" customHeight="1" x14ac:dyDescent="0.45">
      <c r="A79" s="12" t="s">
        <v>25</v>
      </c>
      <c r="B79" s="12" t="s">
        <v>69</v>
      </c>
      <c r="C79" s="13">
        <v>6</v>
      </c>
      <c r="D79" s="13">
        <v>170</v>
      </c>
      <c r="E79" s="13">
        <f t="shared" ca="1" si="45"/>
        <v>65</v>
      </c>
      <c r="F79" s="15">
        <f t="shared" ca="1" si="46"/>
        <v>105</v>
      </c>
      <c r="G79" s="16">
        <f t="shared" ca="1" si="47"/>
        <v>1.6153846153846154</v>
      </c>
      <c r="H79" s="13">
        <v>2</v>
      </c>
      <c r="I79" s="13">
        <f t="shared" ca="1" si="48"/>
        <v>0</v>
      </c>
      <c r="J79" s="15">
        <f t="shared" ca="1" si="49"/>
        <v>2</v>
      </c>
      <c r="K79" s="16" t="str">
        <f t="shared" ca="1" si="50"/>
        <v/>
      </c>
      <c r="L79" s="13">
        <f t="shared" si="38"/>
        <v>28.333333333333332</v>
      </c>
      <c r="M79" s="13">
        <f t="shared" si="39"/>
        <v>11.76470588235294</v>
      </c>
      <c r="N79" s="13">
        <v>36</v>
      </c>
      <c r="O79" s="15">
        <f t="shared" ca="1" si="51"/>
        <v>0</v>
      </c>
      <c r="P79" s="2"/>
      <c r="Q79" s="2"/>
      <c r="R79" s="2"/>
      <c r="S79" s="18">
        <f t="shared" ca="1" si="40"/>
        <v>-0.36274509803921567</v>
      </c>
      <c r="T79" s="20">
        <f t="shared" ca="1" si="41"/>
        <v>1.9781297134238311</v>
      </c>
      <c r="U79" s="18" t="str">
        <f t="shared" ca="1" si="42"/>
        <v/>
      </c>
      <c r="V79" s="20" t="str">
        <f t="shared" ca="1" si="43"/>
        <v/>
      </c>
      <c r="W79" s="21">
        <f t="shared" ca="1" si="44"/>
        <v>0</v>
      </c>
      <c r="X79" s="21">
        <f t="shared" ca="1" si="52"/>
        <v>0</v>
      </c>
      <c r="Y79" s="2"/>
      <c r="Z79" s="2"/>
    </row>
    <row r="80" spans="1:26" ht="14.25" customHeight="1" x14ac:dyDescent="0.45">
      <c r="A80" s="12" t="s">
        <v>25</v>
      </c>
      <c r="B80" s="12" t="s">
        <v>43</v>
      </c>
      <c r="C80" s="13">
        <v>127</v>
      </c>
      <c r="D80" s="13">
        <v>208151</v>
      </c>
      <c r="E80" s="13">
        <f t="shared" ca="1" si="45"/>
        <v>173873</v>
      </c>
      <c r="F80" s="15">
        <f t="shared" ca="1" si="46"/>
        <v>34278</v>
      </c>
      <c r="G80" s="16">
        <f t="shared" ca="1" si="47"/>
        <v>0.19714389238122076</v>
      </c>
      <c r="H80" s="13">
        <v>1845</v>
      </c>
      <c r="I80" s="13">
        <f t="shared" ca="1" si="48"/>
        <v>1956</v>
      </c>
      <c r="J80" s="15">
        <f t="shared" ca="1" si="49"/>
        <v>-111</v>
      </c>
      <c r="K80" s="16">
        <f t="shared" ca="1" si="50"/>
        <v>-5.674846625766871E-2</v>
      </c>
      <c r="L80" s="13">
        <f t="shared" si="38"/>
        <v>1638.9842519685039</v>
      </c>
      <c r="M80" s="13">
        <f t="shared" si="39"/>
        <v>8.8637575606170529</v>
      </c>
      <c r="N80" s="13">
        <v>4351</v>
      </c>
      <c r="O80" s="15">
        <f t="shared" ca="1" si="51"/>
        <v>37</v>
      </c>
      <c r="P80" s="2"/>
      <c r="Q80" s="2"/>
      <c r="R80" s="2"/>
      <c r="S80" s="18">
        <f t="shared" ca="1" si="40"/>
        <v>-0.16032993195636322</v>
      </c>
      <c r="T80" s="20">
        <f t="shared" ca="1" si="41"/>
        <v>0.35747382433758401</v>
      </c>
      <c r="U80" s="18">
        <f t="shared" ca="1" si="42"/>
        <v>-4.1646251837334641E-2</v>
      </c>
      <c r="V80" s="20">
        <f t="shared" ca="1" si="43"/>
        <v>-1.5102214420334069E-2</v>
      </c>
      <c r="W80" s="21">
        <f t="shared" ca="1" si="44"/>
        <v>225</v>
      </c>
      <c r="X80" s="21">
        <f t="shared" ca="1" si="52"/>
        <v>-188</v>
      </c>
      <c r="Y80" s="2"/>
      <c r="Z80" s="2"/>
    </row>
    <row r="81" spans="1:26" ht="14.25" customHeight="1" x14ac:dyDescent="0.45">
      <c r="A81" s="12" t="s">
        <v>25</v>
      </c>
      <c r="B81" s="12" t="s">
        <v>44</v>
      </c>
      <c r="C81" s="13">
        <v>116</v>
      </c>
      <c r="D81" s="13">
        <v>99097</v>
      </c>
      <c r="E81" s="13">
        <f t="shared" ca="1" si="45"/>
        <v>80926</v>
      </c>
      <c r="F81" s="15">
        <f t="shared" ca="1" si="46"/>
        <v>18171</v>
      </c>
      <c r="G81" s="16">
        <f t="shared" ca="1" si="47"/>
        <v>0.22453846724167759</v>
      </c>
      <c r="H81" s="13">
        <v>1986</v>
      </c>
      <c r="I81" s="13">
        <f t="shared" ca="1" si="48"/>
        <v>2027</v>
      </c>
      <c r="J81" s="15">
        <f t="shared" ca="1" si="49"/>
        <v>-41</v>
      </c>
      <c r="K81" s="16">
        <f t="shared" ca="1" si="50"/>
        <v>-2.0226936359151456E-2</v>
      </c>
      <c r="L81" s="13">
        <f t="shared" si="38"/>
        <v>854.2844827586207</v>
      </c>
      <c r="M81" s="13">
        <f t="shared" si="39"/>
        <v>20.04096995872731</v>
      </c>
      <c r="N81" s="13">
        <v>2504</v>
      </c>
      <c r="O81" s="15">
        <f t="shared" ca="1" si="51"/>
        <v>73</v>
      </c>
      <c r="P81" s="2"/>
      <c r="Q81" s="2"/>
      <c r="R81" s="2"/>
      <c r="S81" s="18">
        <f t="shared" ca="1" si="40"/>
        <v>-8.7242417748502721E-2</v>
      </c>
      <c r="T81" s="20">
        <f t="shared" ca="1" si="41"/>
        <v>0.31178088499018031</v>
      </c>
      <c r="U81" s="18">
        <f t="shared" ca="1" si="42"/>
        <v>-0.21918335901386748</v>
      </c>
      <c r="V81" s="20">
        <f t="shared" ca="1" si="43"/>
        <v>0.19895642265471603</v>
      </c>
      <c r="W81" s="21">
        <f t="shared" ca="1" si="44"/>
        <v>261</v>
      </c>
      <c r="X81" s="21">
        <f t="shared" ca="1" si="52"/>
        <v>-188</v>
      </c>
      <c r="Y81" s="2"/>
      <c r="Z81" s="2"/>
    </row>
    <row r="82" spans="1:26" ht="14.25" customHeight="1" x14ac:dyDescent="0.45">
      <c r="A82" s="12" t="s">
        <v>25</v>
      </c>
      <c r="B82" s="12" t="s">
        <v>45</v>
      </c>
      <c r="C82" s="13">
        <v>121</v>
      </c>
      <c r="D82" s="13">
        <v>193342</v>
      </c>
      <c r="E82" s="13">
        <f t="shared" ca="1" si="45"/>
        <v>165424</v>
      </c>
      <c r="F82" s="15">
        <f t="shared" ca="1" si="46"/>
        <v>27918</v>
      </c>
      <c r="G82" s="16">
        <f t="shared" ca="1" si="47"/>
        <v>0.16876632169455461</v>
      </c>
      <c r="H82" s="13">
        <v>3704</v>
      </c>
      <c r="I82" s="13">
        <f t="shared" ca="1" si="48"/>
        <v>3383</v>
      </c>
      <c r="J82" s="15">
        <f t="shared" ca="1" si="49"/>
        <v>321</v>
      </c>
      <c r="K82" s="16">
        <f t="shared" ca="1" si="50"/>
        <v>9.488619568430387E-2</v>
      </c>
      <c r="L82" s="13">
        <f t="shared" si="38"/>
        <v>1597.8677685950413</v>
      </c>
      <c r="M82" s="13">
        <f t="shared" si="39"/>
        <v>19.157761893432362</v>
      </c>
      <c r="N82" s="13">
        <v>3712</v>
      </c>
      <c r="O82" s="15">
        <f t="shared" ca="1" si="51"/>
        <v>54</v>
      </c>
      <c r="P82" s="2"/>
      <c r="Q82" s="2"/>
      <c r="R82" s="2"/>
      <c r="S82" s="18">
        <f t="shared" ca="1" si="40"/>
        <v>-0.12338175054449491</v>
      </c>
      <c r="T82" s="20">
        <f t="shared" ca="1" si="41"/>
        <v>0.29214807223904948</v>
      </c>
      <c r="U82" s="18">
        <f t="shared" ca="1" si="42"/>
        <v>-0.27090517241379308</v>
      </c>
      <c r="V82" s="20">
        <f t="shared" ca="1" si="43"/>
        <v>0.36579136809809698</v>
      </c>
      <c r="W82" s="21">
        <f t="shared" ca="1" si="44"/>
        <v>41</v>
      </c>
      <c r="X82" s="21">
        <f t="shared" ca="1" si="52"/>
        <v>13</v>
      </c>
      <c r="Y82" s="2"/>
      <c r="Z82" s="2"/>
    </row>
    <row r="83" spans="1:26" ht="14.25" customHeight="1" x14ac:dyDescent="0.45">
      <c r="A83" s="12" t="s">
        <v>25</v>
      </c>
      <c r="B83" s="12" t="s">
        <v>46</v>
      </c>
      <c r="C83" s="13">
        <v>157</v>
      </c>
      <c r="D83" s="13">
        <v>97576</v>
      </c>
      <c r="E83" s="13">
        <f t="shared" ca="1" si="45"/>
        <v>97765</v>
      </c>
      <c r="F83" s="15">
        <f t="shared" ca="1" si="46"/>
        <v>-189</v>
      </c>
      <c r="G83" s="16">
        <f t="shared" ca="1" si="47"/>
        <v>-1.9332071804838132E-3</v>
      </c>
      <c r="H83" s="13">
        <v>648</v>
      </c>
      <c r="I83" s="13">
        <f t="shared" ca="1" si="48"/>
        <v>764</v>
      </c>
      <c r="J83" s="15">
        <f t="shared" ca="1" si="49"/>
        <v>-116</v>
      </c>
      <c r="K83" s="16">
        <f t="shared" ca="1" si="50"/>
        <v>-0.15183246073298429</v>
      </c>
      <c r="L83" s="13">
        <f t="shared" si="38"/>
        <v>621.50318471337584</v>
      </c>
      <c r="M83" s="13">
        <f t="shared" si="39"/>
        <v>6.6409772894974175</v>
      </c>
      <c r="N83" s="13">
        <v>1797</v>
      </c>
      <c r="O83" s="15">
        <f t="shared" ca="1" si="51"/>
        <v>15</v>
      </c>
      <c r="P83" s="2"/>
      <c r="Q83" s="2"/>
      <c r="R83" s="2"/>
      <c r="S83" s="18">
        <f t="shared" ca="1" si="40"/>
        <v>0.53409804167712782</v>
      </c>
      <c r="T83" s="20">
        <f t="shared" ca="1" si="41"/>
        <v>-0.53603124885761166</v>
      </c>
      <c r="U83" s="18">
        <f t="shared" ca="1" si="42"/>
        <v>0.30375426621160412</v>
      </c>
      <c r="V83" s="20">
        <f t="shared" ca="1" si="43"/>
        <v>-0.4555867269445884</v>
      </c>
      <c r="W83" s="21">
        <f t="shared" ca="1" si="44"/>
        <v>186</v>
      </c>
      <c r="X83" s="21">
        <f t="shared" ca="1" si="52"/>
        <v>-171</v>
      </c>
      <c r="Y83" s="2"/>
      <c r="Z83" s="2"/>
    </row>
    <row r="84" spans="1:26" ht="14.25" customHeight="1" x14ac:dyDescent="0.45">
      <c r="A84" s="12" t="s">
        <v>25</v>
      </c>
      <c r="B84" s="12" t="s">
        <v>47</v>
      </c>
      <c r="C84" s="13">
        <v>149</v>
      </c>
      <c r="D84" s="13">
        <v>38457</v>
      </c>
      <c r="E84" s="13">
        <f t="shared" ca="1" si="45"/>
        <v>24831</v>
      </c>
      <c r="F84" s="15">
        <f t="shared" ca="1" si="46"/>
        <v>13626</v>
      </c>
      <c r="G84" s="16">
        <f t="shared" ca="1" si="47"/>
        <v>0.54874954693729616</v>
      </c>
      <c r="H84" s="13">
        <v>460</v>
      </c>
      <c r="I84" s="13">
        <f t="shared" ca="1" si="48"/>
        <v>265</v>
      </c>
      <c r="J84" s="15">
        <f t="shared" ca="1" si="49"/>
        <v>195</v>
      </c>
      <c r="K84" s="16">
        <f t="shared" ca="1" si="50"/>
        <v>0.73584905660377353</v>
      </c>
      <c r="L84" s="13">
        <f t="shared" si="38"/>
        <v>258.1006711409396</v>
      </c>
      <c r="M84" s="13">
        <f t="shared" si="39"/>
        <v>11.961411446550692</v>
      </c>
      <c r="N84" s="13">
        <v>755</v>
      </c>
      <c r="O84" s="15">
        <f t="shared" ca="1" si="51"/>
        <v>20</v>
      </c>
      <c r="P84" s="2"/>
      <c r="Q84" s="2"/>
      <c r="R84" s="2"/>
      <c r="S84" s="18">
        <f t="shared" ca="1" si="40"/>
        <v>-3.9419729206963253E-2</v>
      </c>
      <c r="T84" s="20">
        <f t="shared" ca="1" si="41"/>
        <v>0.5881692761442594</v>
      </c>
      <c r="U84" s="18">
        <f t="shared" ca="1" si="42"/>
        <v>-0.21130952380952381</v>
      </c>
      <c r="V84" s="20">
        <f t="shared" ca="1" si="43"/>
        <v>0.94715858041329737</v>
      </c>
      <c r="W84" s="21">
        <f t="shared" ca="1" si="44"/>
        <v>6</v>
      </c>
      <c r="X84" s="21">
        <f t="shared" ca="1" si="52"/>
        <v>14</v>
      </c>
      <c r="Y84" s="2"/>
      <c r="Z84" s="2"/>
    </row>
    <row r="85" spans="1:26" ht="14.25" customHeight="1" x14ac:dyDescent="0.45">
      <c r="A85" s="12" t="s">
        <v>25</v>
      </c>
      <c r="B85" s="12" t="s">
        <v>48</v>
      </c>
      <c r="C85" s="13">
        <v>98</v>
      </c>
      <c r="D85" s="13">
        <v>12861</v>
      </c>
      <c r="E85" s="13">
        <f t="shared" ca="1" si="45"/>
        <v>10703</v>
      </c>
      <c r="F85" s="15">
        <f t="shared" ca="1" si="46"/>
        <v>2158</v>
      </c>
      <c r="G85" s="16">
        <f t="shared" ca="1" si="47"/>
        <v>0.20162571241707933</v>
      </c>
      <c r="H85" s="13">
        <v>1019</v>
      </c>
      <c r="I85" s="13">
        <f t="shared" ca="1" si="48"/>
        <v>870</v>
      </c>
      <c r="J85" s="15">
        <f t="shared" ca="1" si="49"/>
        <v>149</v>
      </c>
      <c r="K85" s="16">
        <f t="shared" ca="1" si="50"/>
        <v>0.17126436781609194</v>
      </c>
      <c r="L85" s="13">
        <f t="shared" si="38"/>
        <v>131.23469387755102</v>
      </c>
      <c r="M85" s="13">
        <f t="shared" si="39"/>
        <v>79.231786019749634</v>
      </c>
      <c r="N85" s="13">
        <v>299</v>
      </c>
      <c r="O85" s="15">
        <f t="shared" ca="1" si="51"/>
        <v>17</v>
      </c>
      <c r="P85" s="2"/>
      <c r="Q85" s="2"/>
      <c r="R85" s="2"/>
      <c r="S85" s="18">
        <f t="shared" ca="1" si="40"/>
        <v>0.29922311240592375</v>
      </c>
      <c r="T85" s="20">
        <f t="shared" ca="1" si="41"/>
        <v>-9.7597399988844424E-2</v>
      </c>
      <c r="U85" s="18">
        <f t="shared" ca="1" si="42"/>
        <v>0.23404255319148937</v>
      </c>
      <c r="V85" s="20">
        <f t="shared" ca="1" si="43"/>
        <v>-6.2778185375397422E-2</v>
      </c>
      <c r="W85" s="21">
        <f t="shared" ca="1" si="44"/>
        <v>19</v>
      </c>
      <c r="X85" s="21">
        <f t="shared" ca="1" si="52"/>
        <v>-2</v>
      </c>
      <c r="Y85" s="2"/>
      <c r="Z85" s="2"/>
    </row>
    <row r="86" spans="1:26" ht="14.25" customHeight="1" x14ac:dyDescent="0.45">
      <c r="A86" s="12" t="s">
        <v>25</v>
      </c>
      <c r="B86" s="12" t="s">
        <v>49</v>
      </c>
      <c r="C86" s="13">
        <v>98</v>
      </c>
      <c r="D86" s="13">
        <v>70605</v>
      </c>
      <c r="E86" s="13">
        <f t="shared" ca="1" si="45"/>
        <v>50438</v>
      </c>
      <c r="F86" s="15">
        <f t="shared" ca="1" si="46"/>
        <v>20167</v>
      </c>
      <c r="G86" s="16">
        <f t="shared" ca="1" si="47"/>
        <v>0.39983742416432055</v>
      </c>
      <c r="H86" s="13">
        <v>523</v>
      </c>
      <c r="I86" s="13">
        <f t="shared" ca="1" si="48"/>
        <v>540</v>
      </c>
      <c r="J86" s="15">
        <f t="shared" ca="1" si="49"/>
        <v>-17</v>
      </c>
      <c r="K86" s="16">
        <f t="shared" ca="1" si="50"/>
        <v>-3.1481481481481478E-2</v>
      </c>
      <c r="L86" s="13">
        <f t="shared" si="38"/>
        <v>720.4591836734694</v>
      </c>
      <c r="M86" s="13">
        <f t="shared" si="39"/>
        <v>7.4074074074074074</v>
      </c>
      <c r="N86" s="13">
        <v>1907</v>
      </c>
      <c r="O86" s="15">
        <f t="shared" ca="1" si="51"/>
        <v>17</v>
      </c>
      <c r="P86" s="2"/>
      <c r="Q86" s="2"/>
      <c r="R86" s="2"/>
      <c r="S86" s="18">
        <f t="shared" ca="1" si="40"/>
        <v>-0.34155766167985169</v>
      </c>
      <c r="T86" s="20">
        <f t="shared" ca="1" si="41"/>
        <v>0.74139508584417224</v>
      </c>
      <c r="U86" s="18">
        <f t="shared" ca="1" si="42"/>
        <v>-0.3059125964010283</v>
      </c>
      <c r="V86" s="20">
        <f t="shared" ca="1" si="43"/>
        <v>0.2744311149195468</v>
      </c>
      <c r="W86" s="21">
        <f t="shared" ca="1" si="44"/>
        <v>4</v>
      </c>
      <c r="X86" s="21">
        <f t="shared" ca="1" si="52"/>
        <v>13</v>
      </c>
      <c r="Y86" s="2"/>
      <c r="Z86" s="2"/>
    </row>
    <row r="87" spans="1:26" ht="14.25" customHeight="1" x14ac:dyDescent="0.45">
      <c r="A87" s="12" t="s">
        <v>25</v>
      </c>
      <c r="B87" s="12" t="s">
        <v>50</v>
      </c>
      <c r="C87" s="13">
        <v>87</v>
      </c>
      <c r="D87" s="13">
        <v>20112</v>
      </c>
      <c r="E87" s="13">
        <f t="shared" ca="1" si="45"/>
        <v>13795</v>
      </c>
      <c r="F87" s="15">
        <f t="shared" ca="1" si="46"/>
        <v>6317</v>
      </c>
      <c r="G87" s="16">
        <f t="shared" ca="1" si="47"/>
        <v>0.45791953606379121</v>
      </c>
      <c r="H87" s="13">
        <v>93</v>
      </c>
      <c r="I87" s="13">
        <f t="shared" ca="1" si="48"/>
        <v>71</v>
      </c>
      <c r="J87" s="15">
        <f t="shared" ca="1" si="49"/>
        <v>22</v>
      </c>
      <c r="K87" s="16">
        <f t="shared" ca="1" si="50"/>
        <v>0.30985915492957744</v>
      </c>
      <c r="L87" s="13">
        <f t="shared" si="38"/>
        <v>231.17241379310346</v>
      </c>
      <c r="M87" s="13">
        <f t="shared" si="39"/>
        <v>4.6241050119331737</v>
      </c>
      <c r="N87" s="13">
        <v>517</v>
      </c>
      <c r="O87" s="15">
        <f t="shared" ca="1" si="51"/>
        <v>23</v>
      </c>
      <c r="P87" s="2"/>
      <c r="Q87" s="2"/>
      <c r="R87" s="2"/>
      <c r="S87" s="18">
        <f t="shared" ca="1" si="40"/>
        <v>0.39118596208148448</v>
      </c>
      <c r="T87" s="20">
        <f t="shared" ca="1" si="41"/>
        <v>6.6733573982306726E-2</v>
      </c>
      <c r="U87" s="18">
        <f t="shared" ca="1" si="42"/>
        <v>1.3666666666666667</v>
      </c>
      <c r="V87" s="20">
        <f t="shared" ca="1" si="43"/>
        <v>-1.0568075117370892</v>
      </c>
      <c r="W87" s="21">
        <f t="shared" ca="1" si="44"/>
        <v>10</v>
      </c>
      <c r="X87" s="21">
        <f t="shared" ca="1" si="52"/>
        <v>13</v>
      </c>
      <c r="Y87" s="2"/>
      <c r="Z87" s="2"/>
    </row>
    <row r="88" spans="1:26" ht="14.25" customHeight="1" x14ac:dyDescent="0.45">
      <c r="A88" s="12" t="s">
        <v>25</v>
      </c>
      <c r="B88" s="12" t="s">
        <v>51</v>
      </c>
      <c r="C88" s="13">
        <v>50</v>
      </c>
      <c r="D88" s="13">
        <v>9959</v>
      </c>
      <c r="E88" s="13">
        <f t="shared" ca="1" si="45"/>
        <v>6828</v>
      </c>
      <c r="F88" s="15">
        <f t="shared" ca="1" si="46"/>
        <v>3131</v>
      </c>
      <c r="G88" s="16">
        <f t="shared" ca="1" si="47"/>
        <v>0.45855301698886936</v>
      </c>
      <c r="H88" s="13">
        <v>73</v>
      </c>
      <c r="I88" s="13">
        <f t="shared" ca="1" si="48"/>
        <v>73</v>
      </c>
      <c r="J88" s="15">
        <f t="shared" ca="1" si="49"/>
        <v>0</v>
      </c>
      <c r="K88" s="16">
        <f t="shared" ca="1" si="50"/>
        <v>0</v>
      </c>
      <c r="L88" s="13">
        <f t="shared" si="38"/>
        <v>199.18</v>
      </c>
      <c r="M88" s="13">
        <f t="shared" si="39"/>
        <v>7.3300532181945979</v>
      </c>
      <c r="N88" s="13">
        <v>430</v>
      </c>
      <c r="O88" s="15">
        <f t="shared" ca="1" si="51"/>
        <v>8</v>
      </c>
      <c r="P88" s="2"/>
      <c r="Q88" s="2"/>
      <c r="R88" s="2"/>
      <c r="S88" s="18">
        <f t="shared" ca="1" si="40"/>
        <v>-1.8542475204829666E-2</v>
      </c>
      <c r="T88" s="20">
        <f t="shared" ca="1" si="41"/>
        <v>0.47709549219369901</v>
      </c>
      <c r="U88" s="18">
        <f t="shared" ca="1" si="42"/>
        <v>0.10606060606060606</v>
      </c>
      <c r="V88" s="20">
        <f t="shared" ca="1" si="43"/>
        <v>-0.10606060606060606</v>
      </c>
      <c r="W88" s="21">
        <f t="shared" ca="1" si="44"/>
        <v>6</v>
      </c>
      <c r="X88" s="21">
        <f t="shared" ca="1" si="52"/>
        <v>2</v>
      </c>
      <c r="Y88" s="2"/>
      <c r="Z88" s="2"/>
    </row>
    <row r="89" spans="1:26" ht="14.25" customHeight="1" x14ac:dyDescent="0.45">
      <c r="A89" s="12" t="s">
        <v>25</v>
      </c>
      <c r="B89" s="12" t="s">
        <v>52</v>
      </c>
      <c r="C89" s="13">
        <v>72</v>
      </c>
      <c r="D89" s="13">
        <v>13123</v>
      </c>
      <c r="E89" s="13">
        <f t="shared" ca="1" si="45"/>
        <v>10073</v>
      </c>
      <c r="F89" s="15">
        <f t="shared" ca="1" si="46"/>
        <v>3050</v>
      </c>
      <c r="G89" s="16">
        <f t="shared" ca="1" si="47"/>
        <v>0.30278963565968431</v>
      </c>
      <c r="H89" s="13">
        <v>212</v>
      </c>
      <c r="I89" s="13">
        <f t="shared" ca="1" si="48"/>
        <v>219</v>
      </c>
      <c r="J89" s="15">
        <f t="shared" ca="1" si="49"/>
        <v>-7</v>
      </c>
      <c r="K89" s="16">
        <f t="shared" ca="1" si="50"/>
        <v>-3.1963470319634701E-2</v>
      </c>
      <c r="L89" s="13">
        <f t="shared" si="38"/>
        <v>182.26388888888889</v>
      </c>
      <c r="M89" s="13">
        <f t="shared" si="39"/>
        <v>16.154842642688408</v>
      </c>
      <c r="N89" s="13">
        <v>449</v>
      </c>
      <c r="O89" s="15">
        <f t="shared" ca="1" si="51"/>
        <v>7</v>
      </c>
      <c r="P89" s="2"/>
      <c r="Q89" s="2"/>
      <c r="R89" s="2"/>
      <c r="S89" s="18">
        <f t="shared" ca="1" si="40"/>
        <v>0.25520249221183799</v>
      </c>
      <c r="T89" s="20">
        <f t="shared" ca="1" si="41"/>
        <v>4.7587143447846314E-2</v>
      </c>
      <c r="U89" s="18">
        <f t="shared" ca="1" si="42"/>
        <v>0.46979865771812079</v>
      </c>
      <c r="V89" s="20">
        <f t="shared" ca="1" si="43"/>
        <v>-0.50176212803775555</v>
      </c>
      <c r="W89" s="21">
        <f t="shared" ca="1" si="44"/>
        <v>0</v>
      </c>
      <c r="X89" s="21">
        <f t="shared" ca="1" si="52"/>
        <v>7</v>
      </c>
      <c r="Y89" s="2"/>
      <c r="Z89" s="2"/>
    </row>
    <row r="90" spans="1:26" ht="14.25" customHeight="1" x14ac:dyDescent="0.45">
      <c r="A90" s="12" t="s">
        <v>25</v>
      </c>
      <c r="B90" s="12" t="s">
        <v>53</v>
      </c>
      <c r="C90" s="13">
        <v>72</v>
      </c>
      <c r="D90" s="13">
        <v>40691</v>
      </c>
      <c r="E90" s="13">
        <f t="shared" ca="1" si="45"/>
        <v>40361</v>
      </c>
      <c r="F90" s="15">
        <f t="shared" ca="1" si="46"/>
        <v>330</v>
      </c>
      <c r="G90" s="16">
        <f t="shared" ca="1" si="47"/>
        <v>8.1762097073907972E-3</v>
      </c>
      <c r="H90" s="13">
        <v>950</v>
      </c>
      <c r="I90" s="13">
        <f t="shared" ca="1" si="48"/>
        <v>1021</v>
      </c>
      <c r="J90" s="15">
        <f t="shared" ca="1" si="49"/>
        <v>-71</v>
      </c>
      <c r="K90" s="16">
        <f t="shared" ca="1" si="50"/>
        <v>-6.953966699314397E-2</v>
      </c>
      <c r="L90" s="13">
        <f t="shared" si="38"/>
        <v>565.15277777777783</v>
      </c>
      <c r="M90" s="13">
        <f t="shared" si="39"/>
        <v>23.346685999361036</v>
      </c>
      <c r="N90" s="13">
        <v>1485</v>
      </c>
      <c r="O90" s="15">
        <f t="shared" ca="1" si="51"/>
        <v>14</v>
      </c>
      <c r="P90" s="2"/>
      <c r="Q90" s="2"/>
      <c r="R90" s="2"/>
      <c r="S90" s="18">
        <f t="shared" ca="1" si="40"/>
        <v>0.50409927703659541</v>
      </c>
      <c r="T90" s="20">
        <f t="shared" ca="1" si="41"/>
        <v>-0.4959230673292046</v>
      </c>
      <c r="U90" s="18">
        <f t="shared" ca="1" si="42"/>
        <v>0.76643598615916952</v>
      </c>
      <c r="V90" s="20">
        <f t="shared" ca="1" si="43"/>
        <v>-0.83597565315231348</v>
      </c>
      <c r="W90" s="21">
        <f t="shared" ca="1" si="44"/>
        <v>25</v>
      </c>
      <c r="X90" s="21">
        <f t="shared" ca="1" si="52"/>
        <v>-11</v>
      </c>
      <c r="Y90" s="2"/>
      <c r="Z90" s="2"/>
    </row>
    <row r="91" spans="1:26" ht="14.25" customHeight="1" x14ac:dyDescent="0.45">
      <c r="A91" s="12" t="s">
        <v>25</v>
      </c>
      <c r="B91" s="12" t="s">
        <v>54</v>
      </c>
      <c r="C91" s="13">
        <v>103</v>
      </c>
      <c r="D91" s="13">
        <v>111978</v>
      </c>
      <c r="E91" s="13">
        <f t="shared" ca="1" si="45"/>
        <v>78063</v>
      </c>
      <c r="F91" s="15">
        <f t="shared" ca="1" si="46"/>
        <v>33915</v>
      </c>
      <c r="G91" s="16">
        <f t="shared" ca="1" si="47"/>
        <v>0.43445678490450024</v>
      </c>
      <c r="H91" s="13">
        <v>1157</v>
      </c>
      <c r="I91" s="13">
        <f t="shared" ca="1" si="48"/>
        <v>946</v>
      </c>
      <c r="J91" s="15">
        <f t="shared" ca="1" si="49"/>
        <v>211</v>
      </c>
      <c r="K91" s="16">
        <f t="shared" ca="1" si="50"/>
        <v>0.22304439746300211</v>
      </c>
      <c r="L91" s="13">
        <f t="shared" si="38"/>
        <v>1087.1650485436894</v>
      </c>
      <c r="M91" s="13">
        <f t="shared" si="39"/>
        <v>10.332386718819768</v>
      </c>
      <c r="N91" s="13">
        <v>2583</v>
      </c>
      <c r="O91" s="15">
        <f t="shared" ca="1" si="51"/>
        <v>101</v>
      </c>
      <c r="P91" s="2"/>
      <c r="Q91" s="2"/>
      <c r="R91" s="2"/>
      <c r="S91" s="18">
        <f t="shared" ca="1" si="40"/>
        <v>-0.17349045516628023</v>
      </c>
      <c r="T91" s="20">
        <f t="shared" ca="1" si="41"/>
        <v>0.60794724007078049</v>
      </c>
      <c r="U91" s="18">
        <f t="shared" ca="1" si="42"/>
        <v>-0.30184501845018452</v>
      </c>
      <c r="V91" s="20">
        <f t="shared" ca="1" si="43"/>
        <v>0.52488941591318661</v>
      </c>
      <c r="W91" s="21">
        <f t="shared" ca="1" si="44"/>
        <v>72</v>
      </c>
      <c r="X91" s="21">
        <f t="shared" ca="1" si="52"/>
        <v>29</v>
      </c>
      <c r="Y91" s="2"/>
      <c r="Z91" s="2"/>
    </row>
    <row r="92" spans="1:26" ht="14.25" customHeight="1" x14ac:dyDescent="0.45">
      <c r="A92" s="12" t="s">
        <v>25</v>
      </c>
      <c r="B92" s="12" t="s">
        <v>55</v>
      </c>
      <c r="C92" s="13">
        <v>112</v>
      </c>
      <c r="D92" s="13">
        <v>58955</v>
      </c>
      <c r="E92" s="13">
        <f t="shared" ca="1" si="45"/>
        <v>38832</v>
      </c>
      <c r="F92" s="15">
        <f t="shared" ca="1" si="46"/>
        <v>20123</v>
      </c>
      <c r="G92" s="16">
        <f t="shared" ca="1" si="47"/>
        <v>0.51820663370416153</v>
      </c>
      <c r="H92" s="13">
        <v>642</v>
      </c>
      <c r="I92" s="13">
        <f t="shared" ca="1" si="48"/>
        <v>521</v>
      </c>
      <c r="J92" s="15">
        <f t="shared" ca="1" si="49"/>
        <v>121</v>
      </c>
      <c r="K92" s="16">
        <f t="shared" ca="1" si="50"/>
        <v>0.23224568138195778</v>
      </c>
      <c r="L92" s="13">
        <f t="shared" si="38"/>
        <v>526.38392857142856</v>
      </c>
      <c r="M92" s="13">
        <f t="shared" si="39"/>
        <v>10.889661606309897</v>
      </c>
      <c r="N92" s="13">
        <v>1211</v>
      </c>
      <c r="O92" s="15">
        <f t="shared" ca="1" si="51"/>
        <v>17</v>
      </c>
      <c r="P92" s="2"/>
      <c r="Q92" s="2"/>
      <c r="R92" s="2"/>
      <c r="S92" s="18">
        <f t="shared" ca="1" si="40"/>
        <v>7.0695930296680268E-2</v>
      </c>
      <c r="T92" s="20">
        <f t="shared" ca="1" si="41"/>
        <v>0.44751070340748128</v>
      </c>
      <c r="U92" s="18">
        <f t="shared" ca="1" si="42"/>
        <v>-6.126126126126126E-2</v>
      </c>
      <c r="V92" s="20">
        <f t="shared" ca="1" si="43"/>
        <v>0.29350694264321903</v>
      </c>
      <c r="W92" s="21">
        <f t="shared" ca="1" si="44"/>
        <v>48</v>
      </c>
      <c r="X92" s="21">
        <f t="shared" ca="1" si="52"/>
        <v>-31</v>
      </c>
      <c r="Y92" s="2"/>
      <c r="Z92" s="2"/>
    </row>
    <row r="93" spans="1:26" ht="14.25" customHeight="1" x14ac:dyDescent="0.45">
      <c r="A93" s="12" t="s">
        <v>25</v>
      </c>
      <c r="B93" s="12" t="s">
        <v>56</v>
      </c>
      <c r="C93" s="13">
        <v>25</v>
      </c>
      <c r="D93" s="13">
        <v>11036</v>
      </c>
      <c r="E93" s="13">
        <f t="shared" ca="1" si="45"/>
        <v>14087</v>
      </c>
      <c r="F93" s="15">
        <f t="shared" ca="1" si="46"/>
        <v>-3051</v>
      </c>
      <c r="G93" s="16">
        <f t="shared" ca="1" si="47"/>
        <v>-0.21658266486831831</v>
      </c>
      <c r="H93" s="13">
        <v>771</v>
      </c>
      <c r="I93" s="13">
        <f t="shared" ca="1" si="48"/>
        <v>924</v>
      </c>
      <c r="J93" s="15">
        <f t="shared" ca="1" si="49"/>
        <v>-153</v>
      </c>
      <c r="K93" s="16">
        <f t="shared" ca="1" si="50"/>
        <v>-0.16558441558441558</v>
      </c>
      <c r="L93" s="13">
        <f t="shared" si="38"/>
        <v>441.44</v>
      </c>
      <c r="M93" s="13">
        <f t="shared" si="39"/>
        <v>69.862268938021032</v>
      </c>
      <c r="N93" s="13">
        <v>1357</v>
      </c>
      <c r="O93" s="15">
        <f t="shared" ca="1" si="51"/>
        <v>2</v>
      </c>
      <c r="P93" s="2"/>
      <c r="Q93" s="2"/>
      <c r="R93" s="2"/>
      <c r="S93" s="18">
        <f t="shared" ca="1" si="40"/>
        <v>-0.17295837491927435</v>
      </c>
      <c r="T93" s="20">
        <f t="shared" ca="1" si="41"/>
        <v>-4.3624289949043965E-2</v>
      </c>
      <c r="U93" s="18">
        <f t="shared" ca="1" si="42"/>
        <v>-0.15539305301645337</v>
      </c>
      <c r="V93" s="20">
        <f t="shared" ca="1" si="43"/>
        <v>-1.0191362567962214E-2</v>
      </c>
      <c r="W93" s="21">
        <f t="shared" ca="1" si="44"/>
        <v>6</v>
      </c>
      <c r="X93" s="21">
        <f t="shared" ca="1" si="52"/>
        <v>-4</v>
      </c>
      <c r="Y93" s="2"/>
      <c r="Z93" s="2"/>
    </row>
    <row r="94" spans="1:26" ht="14.25" customHeight="1" x14ac:dyDescent="0.45">
      <c r="A94" s="12" t="s">
        <v>25</v>
      </c>
      <c r="B94" s="12" t="s">
        <v>61</v>
      </c>
      <c r="C94" s="13">
        <v>7</v>
      </c>
      <c r="D94" s="13">
        <v>895</v>
      </c>
      <c r="E94" s="13">
        <f t="shared" ca="1" si="45"/>
        <v>1841</v>
      </c>
      <c r="F94" s="15">
        <f t="shared" ca="1" si="46"/>
        <v>-946</v>
      </c>
      <c r="G94" s="16">
        <f t="shared" ca="1" si="47"/>
        <v>-0.51385116784356333</v>
      </c>
      <c r="H94" s="13">
        <v>41</v>
      </c>
      <c r="I94" s="13">
        <f t="shared" ca="1" si="48"/>
        <v>58</v>
      </c>
      <c r="J94" s="15">
        <f t="shared" ca="1" si="49"/>
        <v>-17</v>
      </c>
      <c r="K94" s="16">
        <f t="shared" ca="1" si="50"/>
        <v>-0.29310344827586204</v>
      </c>
      <c r="L94" s="13">
        <f t="shared" si="38"/>
        <v>127.85714285714286</v>
      </c>
      <c r="M94" s="13">
        <f t="shared" si="39"/>
        <v>45.81005586592179</v>
      </c>
      <c r="N94" s="13">
        <v>234</v>
      </c>
      <c r="O94" s="15">
        <f t="shared" ca="1" si="51"/>
        <v>0</v>
      </c>
      <c r="P94" s="2"/>
      <c r="Q94" s="2"/>
      <c r="R94" s="2"/>
      <c r="S94" s="18">
        <f t="shared" ca="1" si="40"/>
        <v>1.1507009345794392</v>
      </c>
      <c r="T94" s="20">
        <f t="shared" ca="1" si="41"/>
        <v>-1.6645521024230026</v>
      </c>
      <c r="U94" s="18">
        <f t="shared" ca="1" si="42"/>
        <v>0.2608695652173913</v>
      </c>
      <c r="V94" s="20">
        <f t="shared" ca="1" si="43"/>
        <v>-0.55397301349325334</v>
      </c>
      <c r="W94" s="21">
        <f t="shared" ca="1" si="44"/>
        <v>10</v>
      </c>
      <c r="X94" s="21">
        <f t="shared" ca="1" si="52"/>
        <v>-10</v>
      </c>
      <c r="Y94" s="2"/>
      <c r="Z94" s="2"/>
    </row>
    <row r="95" spans="1:26" ht="14.25" customHeight="1" x14ac:dyDescent="0.45">
      <c r="A95" s="12" t="s">
        <v>25</v>
      </c>
      <c r="B95" s="12" t="s">
        <v>65</v>
      </c>
      <c r="C95" s="13">
        <v>6</v>
      </c>
      <c r="D95" s="13">
        <v>2103</v>
      </c>
      <c r="E95" s="13">
        <f t="shared" ca="1" si="45"/>
        <v>978</v>
      </c>
      <c r="F95" s="15">
        <f t="shared" ca="1" si="46"/>
        <v>1125</v>
      </c>
      <c r="G95" s="16">
        <f t="shared" ca="1" si="47"/>
        <v>1.1503067484662577</v>
      </c>
      <c r="H95" s="13">
        <v>57</v>
      </c>
      <c r="I95" s="13">
        <f t="shared" ca="1" si="48"/>
        <v>54</v>
      </c>
      <c r="J95" s="15">
        <f t="shared" ca="1" si="49"/>
        <v>3</v>
      </c>
      <c r="K95" s="16">
        <f t="shared" ca="1" si="50"/>
        <v>5.5555555555555552E-2</v>
      </c>
      <c r="L95" s="13">
        <f t="shared" si="38"/>
        <v>350.5</v>
      </c>
      <c r="M95" s="13">
        <f t="shared" si="39"/>
        <v>27.104136947218258</v>
      </c>
      <c r="N95" s="13">
        <v>308</v>
      </c>
      <c r="O95" s="15">
        <f t="shared" ca="1" si="51"/>
        <v>13</v>
      </c>
      <c r="P95" s="2"/>
      <c r="Q95" s="2"/>
      <c r="R95" s="2"/>
      <c r="S95" s="18">
        <f t="shared" ca="1" si="40"/>
        <v>-0.85039008719596143</v>
      </c>
      <c r="T95" s="20">
        <f t="shared" ca="1" si="41"/>
        <v>2.000696835662219</v>
      </c>
      <c r="U95" s="18">
        <f t="shared" ca="1" si="42"/>
        <v>-0.6</v>
      </c>
      <c r="V95" s="20">
        <f t="shared" ca="1" si="43"/>
        <v>0.65555555555555556</v>
      </c>
      <c r="W95" s="21">
        <f t="shared" ca="1" si="44"/>
        <v>17</v>
      </c>
      <c r="X95" s="21">
        <f t="shared" ca="1" si="52"/>
        <v>-4</v>
      </c>
      <c r="Y95" s="2"/>
      <c r="Z95" s="2"/>
    </row>
    <row r="96" spans="1:26" ht="14.25" customHeight="1" x14ac:dyDescent="0.45">
      <c r="A96" s="25"/>
      <c r="B96" s="25" t="s">
        <v>71</v>
      </c>
      <c r="C96" s="26">
        <f>SUM(C75:C95)</f>
        <v>1834</v>
      </c>
      <c r="D96" s="26">
        <f>SUM(D75:D95)</f>
        <v>1238429</v>
      </c>
      <c r="E96" s="26">
        <f ca="1">SUM(E75:E95)</f>
        <v>1040303</v>
      </c>
      <c r="F96" s="27">
        <f ca="1">SUM(F75:F95)</f>
        <v>198126</v>
      </c>
      <c r="G96" s="28">
        <f ca="1">IF(C96=0,"",IFERROR(F96/E96,""))</f>
        <v>0.19045028227352992</v>
      </c>
      <c r="H96" s="26">
        <f>SUM(H75:H95)</f>
        <v>16231</v>
      </c>
      <c r="I96" s="26">
        <f ca="1">SUM(I75:I95)</f>
        <v>15800</v>
      </c>
      <c r="J96" s="27">
        <f ca="1">SUM(J75:J95)</f>
        <v>431</v>
      </c>
      <c r="K96" s="28">
        <f ca="1">IF(C96=0,"",IFERROR(J96/I96,""))</f>
        <v>2.7278481012658229E-2</v>
      </c>
      <c r="L96" s="26">
        <f t="shared" si="38"/>
        <v>675.26117775354419</v>
      </c>
      <c r="M96" s="26">
        <f t="shared" si="39"/>
        <v>13.1061207384517</v>
      </c>
      <c r="N96" s="26">
        <f>SUM(N75:N95)</f>
        <v>31056</v>
      </c>
      <c r="O96" s="27">
        <f ca="1">SUM(O75:O95)</f>
        <v>560</v>
      </c>
      <c r="P96" s="2"/>
      <c r="Q96" s="2"/>
      <c r="R96" s="2"/>
      <c r="S96" s="29">
        <f t="shared" ca="1" si="40"/>
        <v>-2.5805817241960557E-2</v>
      </c>
      <c r="T96" s="30">
        <f t="shared" ca="1" si="41"/>
        <v>0.21625609951549046</v>
      </c>
      <c r="U96" s="29">
        <f t="shared" ca="1" si="42"/>
        <v>-8.4164154880593547E-2</v>
      </c>
      <c r="V96" s="30">
        <f t="shared" ca="1" si="43"/>
        <v>0.11144263589325178</v>
      </c>
      <c r="W96" s="31">
        <f t="shared" ca="1" si="44"/>
        <v>1059</v>
      </c>
      <c r="X96" s="31">
        <f ca="1">IF(OR(C96=0,$O96="",$W96=""),"",$O96-$W96)</f>
        <v>-499</v>
      </c>
      <c r="Y96" s="2"/>
      <c r="Z96" s="2"/>
    </row>
    <row r="97" spans="1:26" ht="14.25" customHeight="1" x14ac:dyDescent="0.45">
      <c r="A97" s="39"/>
      <c r="B97" s="39" t="s">
        <v>72</v>
      </c>
      <c r="C97" s="40">
        <f>C30+C51+C74+C96</f>
        <v>7952</v>
      </c>
      <c r="D97" s="40">
        <f>D30+D51+D74+D96</f>
        <v>5688809</v>
      </c>
      <c r="E97" s="40">
        <f ca="1">E30+E51+E74+E96</f>
        <v>5055583</v>
      </c>
      <c r="F97" s="41">
        <f ca="1">F30+F51+F74+F96</f>
        <v>633226</v>
      </c>
      <c r="G97" s="42">
        <f ca="1">IF(OR(C30=0,C51=0,C74=0,C96=0),"",IFERROR(F97/E97,""))</f>
        <v>0.12525281456164403</v>
      </c>
      <c r="H97" s="40">
        <f>H30+H51+H74+H96</f>
        <v>54990</v>
      </c>
      <c r="I97" s="40">
        <f ca="1">I30+I51+I74+I96</f>
        <v>55027</v>
      </c>
      <c r="J97" s="41">
        <f ca="1">J30+J51+J74+J96</f>
        <v>-37</v>
      </c>
      <c r="K97" s="42">
        <f ca="1">IF(OR(C30=0,C51=0,C74=0,C96=0),"",IFERROR(J97/I97,""))</f>
        <v>-6.7239718683555346E-4</v>
      </c>
      <c r="L97" s="40">
        <f t="shared" si="38"/>
        <v>715.39348591549299</v>
      </c>
      <c r="M97" s="40">
        <f t="shared" si="39"/>
        <v>9.6663466817043773</v>
      </c>
      <c r="N97" s="40">
        <f>N30+N51+N74+N96</f>
        <v>700932</v>
      </c>
      <c r="O97" s="41">
        <f ca="1">O30+O51+O74+O96</f>
        <v>3507</v>
      </c>
      <c r="P97" s="2"/>
      <c r="Q97" s="2"/>
      <c r="R97" s="2"/>
      <c r="S97" s="29">
        <f t="shared" ca="1" si="40"/>
        <v>1.7764372100285775E-3</v>
      </c>
      <c r="T97" s="30">
        <f t="shared" ca="1" si="41"/>
        <v>0.12347637735161544</v>
      </c>
      <c r="U97" s="29">
        <f t="shared" ca="1" si="42"/>
        <v>-8.299031779625711E-2</v>
      </c>
      <c r="V97" s="30">
        <f t="shared" ca="1" si="43"/>
        <v>8.2317920609421558E-2</v>
      </c>
      <c r="W97" s="31">
        <f t="shared" ca="1" si="44"/>
        <v>2041</v>
      </c>
      <c r="X97" s="31">
        <f ca="1">IF(OR(C30=0,C51=0,C74=0,C96=0),"",$O97-$W97)</f>
        <v>1466</v>
      </c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3:G97">
    <cfRule type="expression" dxfId="103" priority="1" stopIfTrue="1">
      <formula>AND(ISNUMBER(G3),G3&gt;=0.2)</formula>
    </cfRule>
    <cfRule type="expression" dxfId="102" priority="2" stopIfTrue="1">
      <formula>AND(ISNUMBER(G3),G3&lt;=-0.2)</formula>
    </cfRule>
    <cfRule type="expression" dxfId="101" priority="3" stopIfTrue="1">
      <formula>AND(ISNUMBER(G3),G3&gt;0)</formula>
    </cfRule>
    <cfRule type="expression" dxfId="100" priority="4" stopIfTrue="1">
      <formula>AND(ISNUMBER(G3),G3&lt;0)</formula>
    </cfRule>
  </conditionalFormatting>
  <conditionalFormatting sqref="K3:K97">
    <cfRule type="expression" dxfId="99" priority="5" stopIfTrue="1">
      <formula>AND(ISNUMBER(K3),K3&gt;=0.2)</formula>
    </cfRule>
    <cfRule type="expression" dxfId="98" priority="6" stopIfTrue="1">
      <formula>AND(ISNUMBER(K3),K3&lt;=-0.2)</formula>
    </cfRule>
    <cfRule type="expression" dxfId="97" priority="7" stopIfTrue="1">
      <formula>AND(ISNUMBER(K3),K3&gt;0)</formula>
    </cfRule>
    <cfRule type="expression" dxfId="96" priority="8" stopIfTrue="1">
      <formula>AND(ISNUMBER(K3),K3&lt;0)</formula>
    </cfRule>
  </conditionalFormatting>
  <conditionalFormatting sqref="T3:T97">
    <cfRule type="expression" dxfId="95" priority="9" stopIfTrue="1">
      <formula>AND(ISNUMBER(T3),T3&gt;=0.2)</formula>
    </cfRule>
    <cfRule type="expression" dxfId="94" priority="10" stopIfTrue="1">
      <formula>AND(ISNUMBER(T3),T3&lt;=-0.2)</formula>
    </cfRule>
    <cfRule type="expression" dxfId="93" priority="11" stopIfTrue="1">
      <formula>AND(ISNUMBER(T3),T3&gt;0)</formula>
    </cfRule>
    <cfRule type="expression" dxfId="92" priority="12" stopIfTrue="1">
      <formula>AND(ISNUMBER(T3),T3&lt;0)</formula>
    </cfRule>
  </conditionalFormatting>
  <conditionalFormatting sqref="V3:V97">
    <cfRule type="expression" dxfId="91" priority="13" stopIfTrue="1">
      <formula>AND(ISNUMBER(V3),V3&gt;=0.2)</formula>
    </cfRule>
    <cfRule type="expression" dxfId="90" priority="14" stopIfTrue="1">
      <formula>AND(ISNUMBER(V3),V3&lt;=-0.2)</formula>
    </cfRule>
    <cfRule type="expression" dxfId="89" priority="15" stopIfTrue="1">
      <formula>AND(ISNUMBER(V3),V3&gt;0)</formula>
    </cfRule>
    <cfRule type="expression" dxfId="88" priority="16" stopIfTrue="1">
      <formula>AND(ISNUMBER(V3),V3&lt;0)</formula>
    </cfRule>
  </conditionalFormatting>
  <conditionalFormatting sqref="F3:F97">
    <cfRule type="expression" dxfId="87" priority="17" stopIfTrue="1">
      <formula>AND(ISNUMBER(F3),F3&gt;0)</formula>
    </cfRule>
    <cfRule type="expression" dxfId="86" priority="18" stopIfTrue="1">
      <formula>AND(ISNUMBER(F3),F3&lt;0)</formula>
    </cfRule>
  </conditionalFormatting>
  <conditionalFormatting sqref="J3:J97">
    <cfRule type="expression" dxfId="85" priority="19" stopIfTrue="1">
      <formula>AND(ISNUMBER(J3),J3&gt;0)</formula>
    </cfRule>
    <cfRule type="expression" dxfId="84" priority="20" stopIfTrue="1">
      <formula>AND(ISNUMBER(J3),J3&lt;0)</formula>
    </cfRule>
  </conditionalFormatting>
  <conditionalFormatting sqref="O3:O97">
    <cfRule type="expression" dxfId="83" priority="21" stopIfTrue="1">
      <formula>AND(ISNUMBER(O3),O3&gt;0)</formula>
    </cfRule>
    <cfRule type="expression" dxfId="82" priority="22" stopIfTrue="1">
      <formula>AND(ISNUMBER(O3),O3&lt;0)</formula>
    </cfRule>
  </conditionalFormatting>
  <conditionalFormatting sqref="X3:X97">
    <cfRule type="expression" dxfId="81" priority="23" stopIfTrue="1">
      <formula>AND(ISNUMBER(X3),X3&gt;0)</formula>
    </cfRule>
    <cfRule type="expression" dxfId="80" priority="24" stopIfTrue="1">
      <formula>AND(ISNUMBER(X3),X3&lt;0)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3984375" defaultRowHeight="15" customHeight="1" x14ac:dyDescent="0.45"/>
  <cols>
    <col min="1" max="1" width="15" style="56" customWidth="1"/>
    <col min="2" max="2" width="22" style="56" customWidth="1"/>
    <col min="3" max="3" width="11" style="56" customWidth="1"/>
    <col min="4" max="4" width="12" style="56" customWidth="1"/>
    <col min="5" max="6" width="13" style="56" customWidth="1"/>
    <col min="7" max="7" width="9" style="56" customWidth="1"/>
    <col min="8" max="8" width="10" style="56" customWidth="1"/>
    <col min="9" max="9" width="12" style="56" customWidth="1"/>
    <col min="10" max="10" width="11" style="56" customWidth="1"/>
    <col min="11" max="11" width="9" style="56" customWidth="1"/>
    <col min="12" max="13" width="14" style="56" customWidth="1"/>
    <col min="14" max="15" width="12" style="56" customWidth="1"/>
    <col min="16" max="16" width="8.73046875" style="56" customWidth="1"/>
    <col min="17" max="17" width="46" style="56" customWidth="1"/>
    <col min="18" max="18" width="8.73046875" style="56" customWidth="1"/>
    <col min="19" max="24" width="15" style="56" customWidth="1"/>
  </cols>
  <sheetData>
    <row r="1" spans="1:26" ht="17.25" customHeight="1" x14ac:dyDescent="0.5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30</v>
      </c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45">
      <c r="A2" s="5" t="s">
        <v>6</v>
      </c>
      <c r="B2" s="5" t="s">
        <v>31</v>
      </c>
      <c r="C2" s="5" t="s">
        <v>7</v>
      </c>
      <c r="D2" s="5" t="s">
        <v>8</v>
      </c>
      <c r="E2" s="5" t="s">
        <v>32</v>
      </c>
      <c r="F2" s="5" t="s">
        <v>33</v>
      </c>
      <c r="G2" s="5" t="s">
        <v>10</v>
      </c>
      <c r="H2" s="5" t="s">
        <v>11</v>
      </c>
      <c r="I2" s="5" t="s">
        <v>34</v>
      </c>
      <c r="J2" s="5" t="s">
        <v>35</v>
      </c>
      <c r="K2" s="5" t="s">
        <v>10</v>
      </c>
      <c r="L2" s="5" t="s">
        <v>36</v>
      </c>
      <c r="M2" s="5" t="s">
        <v>13</v>
      </c>
      <c r="N2" s="5" t="s">
        <v>14</v>
      </c>
      <c r="O2" s="5" t="s">
        <v>15</v>
      </c>
      <c r="P2" s="2"/>
      <c r="Q2" s="9" t="s">
        <v>76</v>
      </c>
      <c r="R2" s="2"/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2"/>
      <c r="Z2" s="2"/>
    </row>
    <row r="3" spans="1:26" ht="14.25" customHeight="1" x14ac:dyDescent="0.45">
      <c r="A3" s="12" t="s">
        <v>22</v>
      </c>
      <c r="B3" s="12" t="s">
        <v>37</v>
      </c>
      <c r="C3" s="13">
        <v>115</v>
      </c>
      <c r="D3" s="13">
        <v>367169</v>
      </c>
      <c r="E3" s="13">
        <f t="shared" ref="E3:E29" ca="1" si="0">IF($D3="","",IFERROR(IF(ISBLANK(INDIRECT("'"&amp;$Q$2&amp;"'!D"&amp;ROW())),"",INDIRECT("'"&amp;$Q$2&amp;"'!D"&amp;ROW())),""))</f>
        <v>400662</v>
      </c>
      <c r="F3" s="15">
        <f t="shared" ref="F3:F29" ca="1" si="1">IF(OR(D3="",E3=""),"",D3-E3)</f>
        <v>-33493</v>
      </c>
      <c r="G3" s="16">
        <f t="shared" ref="G3:G29" ca="1" si="2">IFERROR(F3/E3,"")</f>
        <v>-8.3594151678971301E-2</v>
      </c>
      <c r="H3" s="13">
        <v>1463</v>
      </c>
      <c r="I3" s="13">
        <f t="shared" ref="I3:I29" ca="1" si="3">IF($H3="","",IFERROR(IF(ISBLANK(INDIRECT("'"&amp;$Q$2&amp;"'!H"&amp;ROW())),"",INDIRECT("'"&amp;$Q$2&amp;"'!H"&amp;ROW())),""))</f>
        <v>1937</v>
      </c>
      <c r="J3" s="15">
        <f t="shared" ref="J3:J29" ca="1" si="4">IF(OR(H3="",I3=""),"",H3-I3)</f>
        <v>-474</v>
      </c>
      <c r="K3" s="16">
        <f t="shared" ref="K3:K29" ca="1" si="5">IFERROR(J3/I3,"")</f>
        <v>-0.24470831182240579</v>
      </c>
      <c r="L3" s="13">
        <f t="shared" ref="L3:L34" si="6">IFERROR(D3/C3,"")</f>
        <v>3192.7739130434784</v>
      </c>
      <c r="M3" s="13">
        <f t="shared" ref="M3:M34" si="7">IFERROR(H3/D3*1000,"")</f>
        <v>3.9845411785853377</v>
      </c>
      <c r="N3" s="13">
        <v>87991</v>
      </c>
      <c r="O3" s="15">
        <f t="shared" ref="O3:O29" ca="1" si="8">IFERROR(IF(OR(N3="",ISBLANK(INDIRECT("'"&amp;$Q$2&amp;"'!N"&amp;ROW()))),"",N3-INDIRECT("'"&amp;$Q$2&amp;"'!N"&amp;ROW())),"")</f>
        <v>193</v>
      </c>
      <c r="P3" s="2"/>
      <c r="Q3" s="8" t="s">
        <v>38</v>
      </c>
      <c r="R3" s="2"/>
      <c r="S3" s="18">
        <f t="shared" ref="S3:S34" ca="1" si="9">IFERROR(IF(ISBLANK(INDIRECT("'"&amp;$Q$2&amp;"'!G"&amp;ROW())),"",INDIRECT("'"&amp;$Q$2&amp;"'!G"&amp;ROW())),"")</f>
        <v>-4.6914249828728022E-2</v>
      </c>
      <c r="T3" s="20">
        <f t="shared" ref="T3:T34" ca="1" si="10">IF(OR($G3="",$S3=""),"",$G3-$S3)</f>
        <v>-3.6679901850243279E-2</v>
      </c>
      <c r="U3" s="18">
        <f t="shared" ref="U3:U34" ca="1" si="11">IFERROR(IF(ISBLANK(INDIRECT("'"&amp;$Q$2&amp;"'!K"&amp;ROW())),"",INDIRECT("'"&amp;$Q$2&amp;"'!K"&amp;ROW())),"")</f>
        <v>0.10056818181818182</v>
      </c>
      <c r="V3" s="20">
        <f t="shared" ref="V3:V34" ca="1" si="12">IF(OR($K3="",$U3=""),"",$K3-$U3)</f>
        <v>-0.3452764936405876</v>
      </c>
      <c r="W3" s="21">
        <f t="shared" ref="W3:W34" ca="1" si="13">IFERROR(IF(ISBLANK(INDIRECT("'"&amp;$Q$2&amp;"'!O"&amp;ROW())),"",INDIRECT("'"&amp;$Q$2&amp;"'!O"&amp;ROW())),"")</f>
        <v>141</v>
      </c>
      <c r="X3" s="21">
        <f t="shared" ref="X3:X29" ca="1" si="14">IF(OR($O3="",$W3=""),"",$O3-$W3)</f>
        <v>52</v>
      </c>
      <c r="Y3" s="2"/>
      <c r="Z3" s="2"/>
    </row>
    <row r="4" spans="1:26" ht="14.25" customHeight="1" x14ac:dyDescent="0.45">
      <c r="A4" s="12" t="s">
        <v>22</v>
      </c>
      <c r="B4" s="12" t="s">
        <v>39</v>
      </c>
      <c r="C4" s="13">
        <v>129</v>
      </c>
      <c r="D4" s="13">
        <v>131208</v>
      </c>
      <c r="E4" s="13">
        <f t="shared" ca="1" si="0"/>
        <v>99188</v>
      </c>
      <c r="F4" s="15">
        <f t="shared" ca="1" si="1"/>
        <v>32020</v>
      </c>
      <c r="G4" s="16">
        <f t="shared" ca="1" si="2"/>
        <v>0.32282130902931805</v>
      </c>
      <c r="H4" s="13">
        <v>570</v>
      </c>
      <c r="I4" s="13">
        <f t="shared" ca="1" si="3"/>
        <v>469</v>
      </c>
      <c r="J4" s="15">
        <f t="shared" ca="1" si="4"/>
        <v>101</v>
      </c>
      <c r="K4" s="16">
        <f t="shared" ca="1" si="5"/>
        <v>0.21535181236673773</v>
      </c>
      <c r="L4" s="13">
        <f t="shared" si="6"/>
        <v>1017.1162790697674</v>
      </c>
      <c r="M4" s="13">
        <f t="shared" si="7"/>
        <v>4.3442473019937804</v>
      </c>
      <c r="N4" s="13">
        <v>26224</v>
      </c>
      <c r="O4" s="15">
        <f t="shared" ca="1" si="8"/>
        <v>21</v>
      </c>
      <c r="P4" s="2"/>
      <c r="Q4" s="22" t="s">
        <v>40</v>
      </c>
      <c r="R4" s="2"/>
      <c r="S4" s="18">
        <f t="shared" ca="1" si="9"/>
        <v>-0.11679800543163706</v>
      </c>
      <c r="T4" s="20">
        <f t="shared" ca="1" si="10"/>
        <v>0.43961931446095509</v>
      </c>
      <c r="U4" s="18">
        <f t="shared" ca="1" si="11"/>
        <v>8.0645161290322578E-2</v>
      </c>
      <c r="V4" s="20">
        <f t="shared" ca="1" si="12"/>
        <v>0.13470665107641516</v>
      </c>
      <c r="W4" s="21">
        <f t="shared" ca="1" si="13"/>
        <v>22</v>
      </c>
      <c r="X4" s="21">
        <f t="shared" ca="1" si="14"/>
        <v>-1</v>
      </c>
      <c r="Y4" s="2"/>
      <c r="Z4" s="2"/>
    </row>
    <row r="5" spans="1:26" ht="14.25" customHeight="1" x14ac:dyDescent="0.45">
      <c r="A5" s="12" t="s">
        <v>22</v>
      </c>
      <c r="B5" s="12" t="s">
        <v>41</v>
      </c>
      <c r="C5" s="13">
        <v>295</v>
      </c>
      <c r="D5" s="13">
        <v>6090</v>
      </c>
      <c r="E5" s="13">
        <f t="shared" ca="1" si="0"/>
        <v>5221</v>
      </c>
      <c r="F5" s="15">
        <f t="shared" ca="1" si="1"/>
        <v>869</v>
      </c>
      <c r="G5" s="16">
        <f t="shared" ca="1" si="2"/>
        <v>0.16644321011300517</v>
      </c>
      <c r="H5" s="13">
        <v>14</v>
      </c>
      <c r="I5" s="13">
        <f t="shared" ca="1" si="3"/>
        <v>13</v>
      </c>
      <c r="J5" s="15">
        <f t="shared" ca="1" si="4"/>
        <v>1</v>
      </c>
      <c r="K5" s="16">
        <f t="shared" ca="1" si="5"/>
        <v>7.6923076923076927E-2</v>
      </c>
      <c r="L5" s="13">
        <f t="shared" si="6"/>
        <v>20.64406779661017</v>
      </c>
      <c r="M5" s="13">
        <f t="shared" si="7"/>
        <v>2.2988505747126435</v>
      </c>
      <c r="N5" s="13">
        <v>3503</v>
      </c>
      <c r="O5" s="15">
        <f t="shared" ca="1" si="8"/>
        <v>2</v>
      </c>
      <c r="P5" s="2"/>
      <c r="Q5" s="2"/>
      <c r="R5" s="2"/>
      <c r="S5" s="18">
        <f t="shared" ca="1" si="9"/>
        <v>0.28627740822862774</v>
      </c>
      <c r="T5" s="20">
        <f t="shared" ca="1" si="10"/>
        <v>-0.11983419811562257</v>
      </c>
      <c r="U5" s="18">
        <f t="shared" ca="1" si="11"/>
        <v>1.1666666666666667</v>
      </c>
      <c r="V5" s="20">
        <f t="shared" ca="1" si="12"/>
        <v>-1.0897435897435899</v>
      </c>
      <c r="W5" s="21">
        <f t="shared" ca="1" si="13"/>
        <v>-1</v>
      </c>
      <c r="X5" s="21">
        <f t="shared" ca="1" si="14"/>
        <v>3</v>
      </c>
      <c r="Y5" s="2"/>
      <c r="Z5" s="2"/>
    </row>
    <row r="6" spans="1:26" ht="14.25" customHeight="1" x14ac:dyDescent="0.45">
      <c r="A6" s="12" t="s">
        <v>22</v>
      </c>
      <c r="B6" s="12" t="s">
        <v>42</v>
      </c>
      <c r="C6" s="13">
        <v>87</v>
      </c>
      <c r="D6" s="13">
        <v>56436</v>
      </c>
      <c r="E6" s="13">
        <f t="shared" ca="1" si="0"/>
        <v>66380</v>
      </c>
      <c r="F6" s="15">
        <f t="shared" ca="1" si="1"/>
        <v>-9944</v>
      </c>
      <c r="G6" s="16">
        <f t="shared" ca="1" si="2"/>
        <v>-0.14980415787887918</v>
      </c>
      <c r="H6" s="13">
        <v>269</v>
      </c>
      <c r="I6" s="13">
        <f t="shared" ca="1" si="3"/>
        <v>294</v>
      </c>
      <c r="J6" s="15">
        <f t="shared" ca="1" si="4"/>
        <v>-25</v>
      </c>
      <c r="K6" s="16">
        <f t="shared" ca="1" si="5"/>
        <v>-8.5034013605442174E-2</v>
      </c>
      <c r="L6" s="13">
        <f t="shared" si="6"/>
        <v>648.68965517241384</v>
      </c>
      <c r="M6" s="13">
        <f t="shared" si="7"/>
        <v>4.7664611241051817</v>
      </c>
      <c r="N6" s="13">
        <v>22935</v>
      </c>
      <c r="O6" s="15">
        <f t="shared" ca="1" si="8"/>
        <v>11</v>
      </c>
      <c r="P6" s="2"/>
      <c r="Q6" s="2"/>
      <c r="R6" s="2"/>
      <c r="S6" s="18">
        <f t="shared" ca="1" si="9"/>
        <v>-0.16572405298745696</v>
      </c>
      <c r="T6" s="20">
        <f t="shared" ca="1" si="10"/>
        <v>1.5919895108577775E-2</v>
      </c>
      <c r="U6" s="18">
        <f t="shared" ca="1" si="11"/>
        <v>1.3793103448275862E-2</v>
      </c>
      <c r="V6" s="20">
        <f t="shared" ca="1" si="12"/>
        <v>-9.8827117053718036E-2</v>
      </c>
      <c r="W6" s="21">
        <f t="shared" ca="1" si="13"/>
        <v>-1</v>
      </c>
      <c r="X6" s="21">
        <f t="shared" ca="1" si="14"/>
        <v>12</v>
      </c>
      <c r="Y6" s="2"/>
      <c r="Z6" s="2"/>
    </row>
    <row r="7" spans="1:26" ht="14.25" customHeight="1" x14ac:dyDescent="0.45">
      <c r="A7" s="12" t="s">
        <v>22</v>
      </c>
      <c r="B7" s="12" t="s">
        <v>43</v>
      </c>
      <c r="C7" s="13">
        <v>97</v>
      </c>
      <c r="D7" s="13">
        <v>105221</v>
      </c>
      <c r="E7" s="13">
        <f t="shared" ca="1" si="0"/>
        <v>200470</v>
      </c>
      <c r="F7" s="15">
        <f t="shared" ca="1" si="1"/>
        <v>-95249</v>
      </c>
      <c r="G7" s="16">
        <f t="shared" ca="1" si="2"/>
        <v>-0.4751284481468549</v>
      </c>
      <c r="H7" s="13">
        <v>1220</v>
      </c>
      <c r="I7" s="13">
        <f t="shared" ca="1" si="3"/>
        <v>2217</v>
      </c>
      <c r="J7" s="15">
        <f t="shared" ca="1" si="4"/>
        <v>-997</v>
      </c>
      <c r="K7" s="16">
        <f t="shared" ca="1" si="5"/>
        <v>-0.44970681100586379</v>
      </c>
      <c r="L7" s="13">
        <f t="shared" si="6"/>
        <v>1084.7525773195875</v>
      </c>
      <c r="M7" s="13">
        <f t="shared" si="7"/>
        <v>11.594643654783741</v>
      </c>
      <c r="N7" s="13">
        <v>24515</v>
      </c>
      <c r="O7" s="15">
        <f t="shared" ca="1" si="8"/>
        <v>73</v>
      </c>
      <c r="P7" s="2"/>
      <c r="Q7" s="2"/>
      <c r="R7" s="2"/>
      <c r="S7" s="18">
        <f t="shared" ca="1" si="9"/>
        <v>0.7918945975901891</v>
      </c>
      <c r="T7" s="20">
        <f t="shared" ca="1" si="10"/>
        <v>-1.2670230457370439</v>
      </c>
      <c r="U7" s="18">
        <f t="shared" ca="1" si="11"/>
        <v>0.96542553191489366</v>
      </c>
      <c r="V7" s="20">
        <f t="shared" ca="1" si="12"/>
        <v>-1.4151323429207574</v>
      </c>
      <c r="W7" s="21">
        <f t="shared" ca="1" si="13"/>
        <v>116</v>
      </c>
      <c r="X7" s="21">
        <f t="shared" ca="1" si="14"/>
        <v>-43</v>
      </c>
      <c r="Y7" s="2"/>
      <c r="Z7" s="2"/>
    </row>
    <row r="8" spans="1:26" ht="14.25" customHeight="1" x14ac:dyDescent="0.45">
      <c r="A8" s="12" t="s">
        <v>22</v>
      </c>
      <c r="B8" s="12" t="s">
        <v>44</v>
      </c>
      <c r="C8" s="13">
        <v>99</v>
      </c>
      <c r="D8" s="13">
        <v>272210</v>
      </c>
      <c r="E8" s="13">
        <f t="shared" ca="1" si="0"/>
        <v>371998</v>
      </c>
      <c r="F8" s="15">
        <f t="shared" ca="1" si="1"/>
        <v>-99788</v>
      </c>
      <c r="G8" s="16">
        <f t="shared" ca="1" si="2"/>
        <v>-0.26824875402555926</v>
      </c>
      <c r="H8" s="13">
        <v>4342</v>
      </c>
      <c r="I8" s="13">
        <f t="shared" ca="1" si="3"/>
        <v>6123</v>
      </c>
      <c r="J8" s="15">
        <f t="shared" ca="1" si="4"/>
        <v>-1781</v>
      </c>
      <c r="K8" s="16">
        <f t="shared" ca="1" si="5"/>
        <v>-0.29087048832271761</v>
      </c>
      <c r="L8" s="13">
        <f t="shared" si="6"/>
        <v>2749.5959595959598</v>
      </c>
      <c r="M8" s="13">
        <f t="shared" si="7"/>
        <v>15.950920245398775</v>
      </c>
      <c r="N8" s="13">
        <v>21497</v>
      </c>
      <c r="O8" s="15">
        <f t="shared" ca="1" si="8"/>
        <v>60</v>
      </c>
      <c r="P8" s="2"/>
      <c r="Q8" s="2"/>
      <c r="R8" s="2"/>
      <c r="S8" s="18">
        <f t="shared" ca="1" si="9"/>
        <v>0.12997861534349103</v>
      </c>
      <c r="T8" s="20">
        <f t="shared" ca="1" si="10"/>
        <v>-0.39822736936905029</v>
      </c>
      <c r="U8" s="18">
        <f t="shared" ca="1" si="11"/>
        <v>0.27270837663687381</v>
      </c>
      <c r="V8" s="20">
        <f t="shared" ca="1" si="12"/>
        <v>-0.56357886495959142</v>
      </c>
      <c r="W8" s="21">
        <f t="shared" ca="1" si="13"/>
        <v>84</v>
      </c>
      <c r="X8" s="21">
        <f t="shared" ca="1" si="14"/>
        <v>-24</v>
      </c>
      <c r="Y8" s="2"/>
      <c r="Z8" s="2"/>
    </row>
    <row r="9" spans="1:26" ht="14.25" customHeight="1" x14ac:dyDescent="0.45">
      <c r="A9" s="12" t="s">
        <v>22</v>
      </c>
      <c r="B9" s="12" t="s">
        <v>45</v>
      </c>
      <c r="C9" s="13">
        <v>93</v>
      </c>
      <c r="D9" s="13">
        <v>319358</v>
      </c>
      <c r="E9" s="13">
        <f t="shared" ca="1" si="0"/>
        <v>471044</v>
      </c>
      <c r="F9" s="15">
        <f t="shared" ca="1" si="1"/>
        <v>-151686</v>
      </c>
      <c r="G9" s="16">
        <f t="shared" ca="1" si="2"/>
        <v>-0.32202087278470803</v>
      </c>
      <c r="H9" s="13">
        <v>4035</v>
      </c>
      <c r="I9" s="13">
        <f t="shared" ca="1" si="3"/>
        <v>6733</v>
      </c>
      <c r="J9" s="15">
        <f t="shared" ca="1" si="4"/>
        <v>-2698</v>
      </c>
      <c r="K9" s="16">
        <f t="shared" ca="1" si="5"/>
        <v>-0.40071290657953362</v>
      </c>
      <c r="L9" s="13">
        <f t="shared" si="6"/>
        <v>3433.9569892473119</v>
      </c>
      <c r="M9" s="13">
        <f t="shared" si="7"/>
        <v>12.634723413849036</v>
      </c>
      <c r="N9" s="13">
        <v>31030</v>
      </c>
      <c r="O9" s="15">
        <f t="shared" ca="1" si="8"/>
        <v>47</v>
      </c>
      <c r="P9" s="2"/>
      <c r="Q9" s="2"/>
      <c r="R9" s="2"/>
      <c r="S9" s="18">
        <f t="shared" ca="1" si="9"/>
        <v>0.36080103538329983</v>
      </c>
      <c r="T9" s="20">
        <f t="shared" ca="1" si="10"/>
        <v>-0.68282190816800781</v>
      </c>
      <c r="U9" s="18">
        <f t="shared" ca="1" si="11"/>
        <v>0.7388946280991735</v>
      </c>
      <c r="V9" s="20">
        <f t="shared" ca="1" si="12"/>
        <v>-1.1396075346787071</v>
      </c>
      <c r="W9" s="21">
        <f t="shared" ca="1" si="13"/>
        <v>70</v>
      </c>
      <c r="X9" s="21">
        <f t="shared" ca="1" si="14"/>
        <v>-23</v>
      </c>
      <c r="Y9" s="2"/>
      <c r="Z9" s="2"/>
    </row>
    <row r="10" spans="1:26" ht="14.25" customHeight="1" x14ac:dyDescent="0.45">
      <c r="A10" s="12" t="s">
        <v>22</v>
      </c>
      <c r="B10" s="12" t="s">
        <v>46</v>
      </c>
      <c r="C10" s="13">
        <v>148</v>
      </c>
      <c r="D10" s="13">
        <v>197749</v>
      </c>
      <c r="E10" s="13">
        <f t="shared" ca="1" si="0"/>
        <v>156425</v>
      </c>
      <c r="F10" s="15">
        <f t="shared" ca="1" si="1"/>
        <v>41324</v>
      </c>
      <c r="G10" s="16">
        <f t="shared" ca="1" si="2"/>
        <v>0.26417772095253317</v>
      </c>
      <c r="H10" s="13">
        <v>1527</v>
      </c>
      <c r="I10" s="13">
        <f t="shared" ca="1" si="3"/>
        <v>1004</v>
      </c>
      <c r="J10" s="15">
        <f t="shared" ca="1" si="4"/>
        <v>523</v>
      </c>
      <c r="K10" s="16">
        <f t="shared" ca="1" si="5"/>
        <v>0.52091633466135456</v>
      </c>
      <c r="L10" s="13">
        <f t="shared" si="6"/>
        <v>1336.1418918918919</v>
      </c>
      <c r="M10" s="13">
        <f t="shared" si="7"/>
        <v>7.7219100981547308</v>
      </c>
      <c r="N10" s="13">
        <v>21375</v>
      </c>
      <c r="O10" s="15">
        <f t="shared" ca="1" si="8"/>
        <v>96</v>
      </c>
      <c r="P10" s="2"/>
      <c r="Q10" s="2"/>
      <c r="R10" s="2"/>
      <c r="S10" s="18">
        <f t="shared" ca="1" si="9"/>
        <v>0.1903403037774328</v>
      </c>
      <c r="T10" s="20">
        <f t="shared" ca="1" si="10"/>
        <v>7.3837417175100367E-2</v>
      </c>
      <c r="U10" s="18">
        <f t="shared" ca="1" si="11"/>
        <v>0.34584450402144773</v>
      </c>
      <c r="V10" s="20">
        <f t="shared" ca="1" si="12"/>
        <v>0.17507183063990683</v>
      </c>
      <c r="W10" s="21">
        <f t="shared" ca="1" si="13"/>
        <v>42</v>
      </c>
      <c r="X10" s="21">
        <f t="shared" ca="1" si="14"/>
        <v>54</v>
      </c>
      <c r="Y10" s="2"/>
      <c r="Z10" s="2"/>
    </row>
    <row r="11" spans="1:26" ht="14.25" customHeight="1" x14ac:dyDescent="0.45">
      <c r="A11" s="12" t="s">
        <v>22</v>
      </c>
      <c r="B11" s="12" t="s">
        <v>47</v>
      </c>
      <c r="C11" s="13">
        <v>100</v>
      </c>
      <c r="D11" s="13">
        <v>383862</v>
      </c>
      <c r="E11" s="13">
        <f t="shared" ca="1" si="0"/>
        <v>448825</v>
      </c>
      <c r="F11" s="15">
        <f t="shared" ca="1" si="1"/>
        <v>-64963</v>
      </c>
      <c r="G11" s="16">
        <f t="shared" ca="1" si="2"/>
        <v>-0.14474015484877178</v>
      </c>
      <c r="H11" s="13">
        <v>3494</v>
      </c>
      <c r="I11" s="13">
        <f t="shared" ca="1" si="3"/>
        <v>4345</v>
      </c>
      <c r="J11" s="15">
        <f t="shared" ca="1" si="4"/>
        <v>-851</v>
      </c>
      <c r="K11" s="16">
        <f t="shared" ca="1" si="5"/>
        <v>-0.19585730724971231</v>
      </c>
      <c r="L11" s="13">
        <f t="shared" si="6"/>
        <v>3838.62</v>
      </c>
      <c r="M11" s="13">
        <f t="shared" si="7"/>
        <v>9.1022294470408642</v>
      </c>
      <c r="N11" s="13">
        <v>20636</v>
      </c>
      <c r="O11" s="15">
        <f t="shared" ca="1" si="8"/>
        <v>46</v>
      </c>
      <c r="P11" s="2"/>
      <c r="Q11" s="2"/>
      <c r="R11" s="2"/>
      <c r="S11" s="18">
        <f t="shared" ca="1" si="9"/>
        <v>0.35030852590504441</v>
      </c>
      <c r="T11" s="20">
        <f t="shared" ca="1" si="10"/>
        <v>-0.49504868075381619</v>
      </c>
      <c r="U11" s="18">
        <f t="shared" ca="1" si="11"/>
        <v>0.62308554351886436</v>
      </c>
      <c r="V11" s="20">
        <f t="shared" ca="1" si="12"/>
        <v>-0.81894285076857665</v>
      </c>
      <c r="W11" s="21">
        <f t="shared" ca="1" si="13"/>
        <v>54</v>
      </c>
      <c r="X11" s="21">
        <f t="shared" ca="1" si="14"/>
        <v>-8</v>
      </c>
      <c r="Y11" s="2"/>
      <c r="Z11" s="2"/>
    </row>
    <row r="12" spans="1:26" ht="14.25" customHeight="1" x14ac:dyDescent="0.45">
      <c r="A12" s="12" t="s">
        <v>22</v>
      </c>
      <c r="B12" s="12" t="s">
        <v>48</v>
      </c>
      <c r="C12" s="13">
        <v>75</v>
      </c>
      <c r="D12" s="13">
        <v>150944</v>
      </c>
      <c r="E12" s="13">
        <f t="shared" ca="1" si="0"/>
        <v>91251</v>
      </c>
      <c r="F12" s="15">
        <f t="shared" ca="1" si="1"/>
        <v>59693</v>
      </c>
      <c r="G12" s="16">
        <f t="shared" ca="1" si="2"/>
        <v>0.65416269410746186</v>
      </c>
      <c r="H12" s="13">
        <v>2726</v>
      </c>
      <c r="I12" s="13">
        <f t="shared" ca="1" si="3"/>
        <v>1648</v>
      </c>
      <c r="J12" s="15">
        <f t="shared" ca="1" si="4"/>
        <v>1078</v>
      </c>
      <c r="K12" s="16">
        <f t="shared" ca="1" si="5"/>
        <v>0.654126213592233</v>
      </c>
      <c r="L12" s="13">
        <f t="shared" si="6"/>
        <v>2012.5866666666666</v>
      </c>
      <c r="M12" s="13">
        <f t="shared" si="7"/>
        <v>18.059677761288956</v>
      </c>
      <c r="N12" s="13">
        <v>15378</v>
      </c>
      <c r="O12" s="15">
        <f t="shared" ca="1" si="8"/>
        <v>59</v>
      </c>
      <c r="P12" s="2"/>
      <c r="Q12" s="2"/>
      <c r="R12" s="2"/>
      <c r="S12" s="18">
        <f t="shared" ca="1" si="9"/>
        <v>3.2648303646198765E-2</v>
      </c>
      <c r="T12" s="20">
        <f t="shared" ca="1" si="10"/>
        <v>0.62151439046126311</v>
      </c>
      <c r="U12" s="18">
        <f t="shared" ca="1" si="11"/>
        <v>-0.74149019607843136</v>
      </c>
      <c r="V12" s="20">
        <f t="shared" ca="1" si="12"/>
        <v>1.3956164096706645</v>
      </c>
      <c r="W12" s="21">
        <f t="shared" ca="1" si="13"/>
        <v>101</v>
      </c>
      <c r="X12" s="21">
        <f t="shared" ca="1" si="14"/>
        <v>-42</v>
      </c>
      <c r="Y12" s="2"/>
      <c r="Z12" s="2"/>
    </row>
    <row r="13" spans="1:26" ht="14.25" customHeight="1" x14ac:dyDescent="0.45">
      <c r="A13" s="12" t="s">
        <v>22</v>
      </c>
      <c r="B13" s="12" t="s">
        <v>49</v>
      </c>
      <c r="C13" s="13">
        <v>52</v>
      </c>
      <c r="D13" s="13">
        <v>29162</v>
      </c>
      <c r="E13" s="13">
        <f t="shared" ca="1" si="0"/>
        <v>65931</v>
      </c>
      <c r="F13" s="15">
        <f t="shared" ca="1" si="1"/>
        <v>-36769</v>
      </c>
      <c r="G13" s="16">
        <f t="shared" ca="1" si="2"/>
        <v>-0.55768909920977994</v>
      </c>
      <c r="H13" s="13">
        <v>487</v>
      </c>
      <c r="I13" s="13">
        <f t="shared" ca="1" si="3"/>
        <v>1056</v>
      </c>
      <c r="J13" s="15">
        <f t="shared" ca="1" si="4"/>
        <v>-569</v>
      </c>
      <c r="K13" s="16">
        <f t="shared" ca="1" si="5"/>
        <v>-0.53882575757575757</v>
      </c>
      <c r="L13" s="13">
        <f t="shared" si="6"/>
        <v>560.80769230769226</v>
      </c>
      <c r="M13" s="13">
        <f t="shared" si="7"/>
        <v>16.699814827515258</v>
      </c>
      <c r="N13" s="13">
        <v>16346</v>
      </c>
      <c r="O13" s="15">
        <f t="shared" ca="1" si="8"/>
        <v>4</v>
      </c>
      <c r="P13" s="2"/>
      <c r="Q13" s="2"/>
      <c r="R13" s="2"/>
      <c r="S13" s="18">
        <f t="shared" ca="1" si="9"/>
        <v>1.0303954175905394</v>
      </c>
      <c r="T13" s="20">
        <f t="shared" ca="1" si="10"/>
        <v>-1.5880845168003193</v>
      </c>
      <c r="U13" s="18">
        <f t="shared" ca="1" si="11"/>
        <v>1.1162324649298596</v>
      </c>
      <c r="V13" s="20">
        <f t="shared" ca="1" si="12"/>
        <v>-1.6550582225056172</v>
      </c>
      <c r="W13" s="21">
        <f t="shared" ca="1" si="13"/>
        <v>51</v>
      </c>
      <c r="X13" s="21">
        <f t="shared" ca="1" si="14"/>
        <v>-47</v>
      </c>
      <c r="Y13" s="2"/>
      <c r="Z13" s="2"/>
    </row>
    <row r="14" spans="1:26" ht="14.25" customHeight="1" x14ac:dyDescent="0.45">
      <c r="A14" s="12" t="s">
        <v>22</v>
      </c>
      <c r="B14" s="12" t="s">
        <v>50</v>
      </c>
      <c r="C14" s="13">
        <v>61</v>
      </c>
      <c r="D14" s="13">
        <v>52435</v>
      </c>
      <c r="E14" s="13">
        <f t="shared" ca="1" si="0"/>
        <v>37833</v>
      </c>
      <c r="F14" s="15">
        <f t="shared" ca="1" si="1"/>
        <v>14602</v>
      </c>
      <c r="G14" s="16">
        <f t="shared" ca="1" si="2"/>
        <v>0.38595934765945072</v>
      </c>
      <c r="H14" s="13">
        <v>477</v>
      </c>
      <c r="I14" s="13">
        <f t="shared" ca="1" si="3"/>
        <v>415</v>
      </c>
      <c r="J14" s="15">
        <f t="shared" ca="1" si="4"/>
        <v>62</v>
      </c>
      <c r="K14" s="16">
        <f t="shared" ca="1" si="5"/>
        <v>0.14939759036144579</v>
      </c>
      <c r="L14" s="13">
        <f t="shared" si="6"/>
        <v>859.59016393442619</v>
      </c>
      <c r="M14" s="13">
        <f t="shared" si="7"/>
        <v>9.0969772098788972</v>
      </c>
      <c r="N14" s="13">
        <v>6328</v>
      </c>
      <c r="O14" s="15">
        <f t="shared" ca="1" si="8"/>
        <v>29</v>
      </c>
      <c r="P14" s="2"/>
      <c r="Q14" s="2"/>
      <c r="R14" s="2"/>
      <c r="S14" s="18">
        <f t="shared" ca="1" si="9"/>
        <v>-4.1741597223981158E-2</v>
      </c>
      <c r="T14" s="20">
        <f t="shared" ca="1" si="10"/>
        <v>0.42770094488343191</v>
      </c>
      <c r="U14" s="18">
        <f t="shared" ca="1" si="11"/>
        <v>0.18233618233618235</v>
      </c>
      <c r="V14" s="20">
        <f t="shared" ca="1" si="12"/>
        <v>-3.2938591974736559E-2</v>
      </c>
      <c r="W14" s="21">
        <f t="shared" ca="1" si="13"/>
        <v>26</v>
      </c>
      <c r="X14" s="21">
        <f t="shared" ca="1" si="14"/>
        <v>3</v>
      </c>
      <c r="Y14" s="2"/>
      <c r="Z14" s="2"/>
    </row>
    <row r="15" spans="1:26" ht="14.25" customHeight="1" x14ac:dyDescent="0.45">
      <c r="A15" s="12" t="s">
        <v>22</v>
      </c>
      <c r="B15" s="12" t="s">
        <v>51</v>
      </c>
      <c r="C15" s="13">
        <v>31</v>
      </c>
      <c r="D15" s="13">
        <v>31393</v>
      </c>
      <c r="E15" s="13">
        <f t="shared" ca="1" si="0"/>
        <v>39455</v>
      </c>
      <c r="F15" s="15">
        <f t="shared" ca="1" si="1"/>
        <v>-8062</v>
      </c>
      <c r="G15" s="16">
        <f t="shared" ca="1" si="2"/>
        <v>-0.20433405145102015</v>
      </c>
      <c r="H15" s="13">
        <v>543</v>
      </c>
      <c r="I15" s="13">
        <f t="shared" ca="1" si="3"/>
        <v>488</v>
      </c>
      <c r="J15" s="15">
        <f t="shared" ca="1" si="4"/>
        <v>55</v>
      </c>
      <c r="K15" s="16">
        <f t="shared" ca="1" si="5"/>
        <v>0.11270491803278689</v>
      </c>
      <c r="L15" s="13">
        <f t="shared" si="6"/>
        <v>1012.6774193548387</v>
      </c>
      <c r="M15" s="13">
        <f t="shared" si="7"/>
        <v>17.296849616156468</v>
      </c>
      <c r="N15" s="13">
        <v>3655</v>
      </c>
      <c r="O15" s="15">
        <f t="shared" ca="1" si="8"/>
        <v>7</v>
      </c>
      <c r="P15" s="2"/>
      <c r="Q15" s="2"/>
      <c r="R15" s="2"/>
      <c r="S15" s="18">
        <f t="shared" ca="1" si="9"/>
        <v>0.19986011008727914</v>
      </c>
      <c r="T15" s="20">
        <f t="shared" ca="1" si="10"/>
        <v>-0.40419416153829929</v>
      </c>
      <c r="U15" s="18">
        <f t="shared" ca="1" si="11"/>
        <v>-2.7888446215139442E-2</v>
      </c>
      <c r="V15" s="20">
        <f t="shared" ca="1" si="12"/>
        <v>0.14059336424792632</v>
      </c>
      <c r="W15" s="21">
        <f t="shared" ca="1" si="13"/>
        <v>6</v>
      </c>
      <c r="X15" s="21">
        <f t="shared" ca="1" si="14"/>
        <v>1</v>
      </c>
      <c r="Y15" s="2"/>
      <c r="Z15" s="2"/>
    </row>
    <row r="16" spans="1:26" ht="14.25" customHeight="1" x14ac:dyDescent="0.45">
      <c r="A16" s="12" t="s">
        <v>22</v>
      </c>
      <c r="B16" s="12" t="s">
        <v>52</v>
      </c>
      <c r="C16" s="13">
        <v>62</v>
      </c>
      <c r="D16" s="13">
        <v>136318</v>
      </c>
      <c r="E16" s="13">
        <f t="shared" ca="1" si="0"/>
        <v>100934</v>
      </c>
      <c r="F16" s="15">
        <f t="shared" ca="1" si="1"/>
        <v>35384</v>
      </c>
      <c r="G16" s="16">
        <f t="shared" ca="1" si="2"/>
        <v>0.35056571621059307</v>
      </c>
      <c r="H16" s="13">
        <v>1960</v>
      </c>
      <c r="I16" s="13">
        <f t="shared" ca="1" si="3"/>
        <v>955</v>
      </c>
      <c r="J16" s="15">
        <f t="shared" ca="1" si="4"/>
        <v>1005</v>
      </c>
      <c r="K16" s="16">
        <f t="shared" ca="1" si="5"/>
        <v>1.0523560209424083</v>
      </c>
      <c r="L16" s="13">
        <f t="shared" si="6"/>
        <v>2198.6774193548385</v>
      </c>
      <c r="M16" s="13">
        <f t="shared" si="7"/>
        <v>14.378145219266715</v>
      </c>
      <c r="N16" s="13">
        <v>12465</v>
      </c>
      <c r="O16" s="15">
        <f t="shared" ca="1" si="8"/>
        <v>180</v>
      </c>
      <c r="P16" s="2"/>
      <c r="Q16" s="2"/>
      <c r="R16" s="2"/>
      <c r="S16" s="18">
        <f t="shared" ca="1" si="9"/>
        <v>-0.16916491747952422</v>
      </c>
      <c r="T16" s="20">
        <f t="shared" ca="1" si="10"/>
        <v>0.51973063369011729</v>
      </c>
      <c r="U16" s="18">
        <f t="shared" ca="1" si="11"/>
        <v>-0.10328638497652583</v>
      </c>
      <c r="V16" s="20">
        <f t="shared" ca="1" si="12"/>
        <v>1.1556424059189341</v>
      </c>
      <c r="W16" s="21">
        <f t="shared" ca="1" si="13"/>
        <v>68</v>
      </c>
      <c r="X16" s="21">
        <f t="shared" ca="1" si="14"/>
        <v>112</v>
      </c>
      <c r="Y16" s="2"/>
      <c r="Z16" s="2"/>
    </row>
    <row r="17" spans="1:26" ht="14.25" customHeight="1" x14ac:dyDescent="0.45">
      <c r="A17" s="12" t="s">
        <v>22</v>
      </c>
      <c r="B17" s="12" t="s">
        <v>53</v>
      </c>
      <c r="C17" s="13">
        <v>67</v>
      </c>
      <c r="D17" s="13">
        <v>243443</v>
      </c>
      <c r="E17" s="13">
        <f t="shared" ca="1" si="0"/>
        <v>125560</v>
      </c>
      <c r="F17" s="15">
        <f t="shared" ca="1" si="1"/>
        <v>117883</v>
      </c>
      <c r="G17" s="16">
        <f t="shared" ca="1" si="2"/>
        <v>0.93885791653392803</v>
      </c>
      <c r="H17" s="13">
        <v>3376</v>
      </c>
      <c r="I17" s="13">
        <f t="shared" ca="1" si="3"/>
        <v>1636</v>
      </c>
      <c r="J17" s="15">
        <f t="shared" ca="1" si="4"/>
        <v>1740</v>
      </c>
      <c r="K17" s="16">
        <f t="shared" ca="1" si="5"/>
        <v>1.0635696821515892</v>
      </c>
      <c r="L17" s="13">
        <f t="shared" si="6"/>
        <v>3633.4776119402986</v>
      </c>
      <c r="M17" s="13">
        <f t="shared" si="7"/>
        <v>13.867722629116466</v>
      </c>
      <c r="N17" s="13">
        <v>7779</v>
      </c>
      <c r="O17" s="15">
        <f t="shared" ca="1" si="8"/>
        <v>17</v>
      </c>
      <c r="P17" s="2"/>
      <c r="Q17" s="2"/>
      <c r="R17" s="2"/>
      <c r="S17" s="18">
        <f t="shared" ca="1" si="9"/>
        <v>6.3995661311097546E-2</v>
      </c>
      <c r="T17" s="20">
        <f t="shared" ca="1" si="10"/>
        <v>0.87486225522283045</v>
      </c>
      <c r="U17" s="18">
        <f t="shared" ca="1" si="11"/>
        <v>0.49406392694063928</v>
      </c>
      <c r="V17" s="20">
        <f t="shared" ca="1" si="12"/>
        <v>0.56950575521094993</v>
      </c>
      <c r="W17" s="21">
        <f t="shared" ca="1" si="13"/>
        <v>10</v>
      </c>
      <c r="X17" s="21">
        <f t="shared" ca="1" si="14"/>
        <v>7</v>
      </c>
      <c r="Y17" s="2"/>
      <c r="Z17" s="2"/>
    </row>
    <row r="18" spans="1:26" ht="14.25" customHeight="1" x14ac:dyDescent="0.45">
      <c r="A18" s="12" t="s">
        <v>22</v>
      </c>
      <c r="B18" s="12" t="s">
        <v>54</v>
      </c>
      <c r="C18" s="13">
        <v>65</v>
      </c>
      <c r="D18" s="13">
        <v>131060</v>
      </c>
      <c r="E18" s="13">
        <f t="shared" ca="1" si="0"/>
        <v>249272</v>
      </c>
      <c r="F18" s="15">
        <f t="shared" ca="1" si="1"/>
        <v>-118212</v>
      </c>
      <c r="G18" s="16">
        <f t="shared" ca="1" si="2"/>
        <v>-0.47422895471613336</v>
      </c>
      <c r="H18" s="13">
        <v>1519</v>
      </c>
      <c r="I18" s="13">
        <f t="shared" ca="1" si="3"/>
        <v>2460</v>
      </c>
      <c r="J18" s="15">
        <f t="shared" ca="1" si="4"/>
        <v>-941</v>
      </c>
      <c r="K18" s="16">
        <f t="shared" ca="1" si="5"/>
        <v>-0.38252032520325202</v>
      </c>
      <c r="L18" s="13">
        <f t="shared" si="6"/>
        <v>2016.3076923076924</v>
      </c>
      <c r="M18" s="13">
        <f t="shared" si="7"/>
        <v>11.590111399359072</v>
      </c>
      <c r="N18" s="13">
        <v>18165</v>
      </c>
      <c r="O18" s="15">
        <f t="shared" ca="1" si="8"/>
        <v>14</v>
      </c>
      <c r="P18" s="2"/>
      <c r="Q18" s="2"/>
      <c r="R18" s="2"/>
      <c r="S18" s="18">
        <f t="shared" ca="1" si="9"/>
        <v>0.34295904403762645</v>
      </c>
      <c r="T18" s="20">
        <f t="shared" ca="1" si="10"/>
        <v>-0.8171879987537598</v>
      </c>
      <c r="U18" s="18">
        <f t="shared" ca="1" si="11"/>
        <v>0.78002894356005792</v>
      </c>
      <c r="V18" s="20">
        <f t="shared" ca="1" si="12"/>
        <v>-1.1625492687633099</v>
      </c>
      <c r="W18" s="21">
        <f t="shared" ca="1" si="13"/>
        <v>29</v>
      </c>
      <c r="X18" s="21">
        <f t="shared" ca="1" si="14"/>
        <v>-15</v>
      </c>
      <c r="Y18" s="2"/>
      <c r="Z18" s="2"/>
    </row>
    <row r="19" spans="1:26" ht="14.25" customHeight="1" x14ac:dyDescent="0.45">
      <c r="A19" s="12" t="s">
        <v>22</v>
      </c>
      <c r="B19" s="12" t="s">
        <v>55</v>
      </c>
      <c r="C19" s="13">
        <v>66</v>
      </c>
      <c r="D19" s="13">
        <v>95175</v>
      </c>
      <c r="E19" s="13">
        <f t="shared" ca="1" si="0"/>
        <v>137530</v>
      </c>
      <c r="F19" s="15">
        <f t="shared" ca="1" si="1"/>
        <v>-42355</v>
      </c>
      <c r="G19" s="16">
        <f t="shared" ca="1" si="2"/>
        <v>-0.30796917036282995</v>
      </c>
      <c r="H19" s="13">
        <v>856</v>
      </c>
      <c r="I19" s="13">
        <f t="shared" ca="1" si="3"/>
        <v>1450</v>
      </c>
      <c r="J19" s="15">
        <f t="shared" ca="1" si="4"/>
        <v>-594</v>
      </c>
      <c r="K19" s="16">
        <f t="shared" ca="1" si="5"/>
        <v>-0.40965517241379312</v>
      </c>
      <c r="L19" s="13">
        <f t="shared" si="6"/>
        <v>1442.0454545454545</v>
      </c>
      <c r="M19" s="13">
        <f t="shared" si="7"/>
        <v>8.9939584975045967</v>
      </c>
      <c r="N19" s="13">
        <v>18956</v>
      </c>
      <c r="O19" s="15">
        <f t="shared" ca="1" si="8"/>
        <v>26</v>
      </c>
      <c r="P19" s="2"/>
      <c r="Q19" s="2"/>
      <c r="R19" s="2"/>
      <c r="S19" s="18">
        <f t="shared" ca="1" si="9"/>
        <v>-0.56753612250994445</v>
      </c>
      <c r="T19" s="20">
        <f t="shared" ca="1" si="10"/>
        <v>0.2595669521471145</v>
      </c>
      <c r="U19" s="18">
        <f t="shared" ca="1" si="11"/>
        <v>-0.60587116064147861</v>
      </c>
      <c r="V19" s="20">
        <f t="shared" ca="1" si="12"/>
        <v>0.19621598822768549</v>
      </c>
      <c r="W19" s="21">
        <f t="shared" ca="1" si="13"/>
        <v>21</v>
      </c>
      <c r="X19" s="21">
        <f t="shared" ca="1" si="14"/>
        <v>5</v>
      </c>
      <c r="Y19" s="2"/>
      <c r="Z19" s="2"/>
    </row>
    <row r="20" spans="1:26" ht="14.25" customHeight="1" x14ac:dyDescent="0.45">
      <c r="A20" s="12" t="s">
        <v>22</v>
      </c>
      <c r="B20" s="12" t="s">
        <v>56</v>
      </c>
      <c r="C20" s="13">
        <v>23</v>
      </c>
      <c r="D20" s="13">
        <v>72937</v>
      </c>
      <c r="E20" s="13">
        <f t="shared" ca="1" si="0"/>
        <v>94264</v>
      </c>
      <c r="F20" s="15">
        <f t="shared" ca="1" si="1"/>
        <v>-21327</v>
      </c>
      <c r="G20" s="16">
        <f t="shared" ca="1" si="2"/>
        <v>-0.22624756004413138</v>
      </c>
      <c r="H20" s="13">
        <v>1638</v>
      </c>
      <c r="I20" s="13">
        <f t="shared" ca="1" si="3"/>
        <v>1404</v>
      </c>
      <c r="J20" s="15">
        <f t="shared" ca="1" si="4"/>
        <v>234</v>
      </c>
      <c r="K20" s="16">
        <f t="shared" ca="1" si="5"/>
        <v>0.16666666666666666</v>
      </c>
      <c r="L20" s="13">
        <f t="shared" si="6"/>
        <v>3171.1739130434785</v>
      </c>
      <c r="M20" s="13">
        <f t="shared" si="7"/>
        <v>22.457737499485859</v>
      </c>
      <c r="N20" s="13">
        <v>14506</v>
      </c>
      <c r="O20" s="15">
        <f t="shared" ca="1" si="8"/>
        <v>49</v>
      </c>
      <c r="P20" s="2"/>
      <c r="Q20" s="2"/>
      <c r="R20" s="2"/>
      <c r="S20" s="18">
        <f t="shared" ca="1" si="9"/>
        <v>-0.52429639124532568</v>
      </c>
      <c r="T20" s="20">
        <f t="shared" ca="1" si="10"/>
        <v>0.2980488312011943</v>
      </c>
      <c r="U20" s="18">
        <f t="shared" ca="1" si="11"/>
        <v>-0.25674960296453148</v>
      </c>
      <c r="V20" s="20">
        <f t="shared" ca="1" si="12"/>
        <v>0.42341626963119816</v>
      </c>
      <c r="W20" s="21">
        <f t="shared" ca="1" si="13"/>
        <v>89</v>
      </c>
      <c r="X20" s="21">
        <f t="shared" ca="1" si="14"/>
        <v>-40</v>
      </c>
      <c r="Y20" s="2"/>
      <c r="Z20" s="2"/>
    </row>
    <row r="21" spans="1:26" ht="14.25" customHeight="1" x14ac:dyDescent="0.45">
      <c r="A21" s="12" t="s">
        <v>22</v>
      </c>
      <c r="B21" s="12" t="s">
        <v>57</v>
      </c>
      <c r="C21" s="13">
        <v>6</v>
      </c>
      <c r="D21" s="13">
        <v>5597</v>
      </c>
      <c r="E21" s="13">
        <f t="shared" ca="1" si="0"/>
        <v>1574</v>
      </c>
      <c r="F21" s="15">
        <f t="shared" ca="1" si="1"/>
        <v>4023</v>
      </c>
      <c r="G21" s="16">
        <f t="shared" ca="1" si="2"/>
        <v>2.5559085133418042</v>
      </c>
      <c r="H21" s="13">
        <v>173</v>
      </c>
      <c r="I21" s="13">
        <f t="shared" ca="1" si="3"/>
        <v>31</v>
      </c>
      <c r="J21" s="15">
        <f t="shared" ca="1" si="4"/>
        <v>142</v>
      </c>
      <c r="K21" s="16">
        <f t="shared" ca="1" si="5"/>
        <v>4.580645161290323</v>
      </c>
      <c r="L21" s="13">
        <f t="shared" si="6"/>
        <v>932.83333333333337</v>
      </c>
      <c r="M21" s="13">
        <f t="shared" si="7"/>
        <v>30.909415758442023</v>
      </c>
      <c r="N21" s="13">
        <v>10602</v>
      </c>
      <c r="O21" s="15">
        <f t="shared" ca="1" si="8"/>
        <v>2</v>
      </c>
      <c r="P21" s="2"/>
      <c r="Q21" s="2"/>
      <c r="R21" s="2"/>
      <c r="S21" s="18">
        <f t="shared" ca="1" si="9"/>
        <v>-0.36378334680679064</v>
      </c>
      <c r="T21" s="20">
        <f t="shared" ca="1" si="10"/>
        <v>2.9196918601485948</v>
      </c>
      <c r="U21" s="18">
        <f t="shared" ca="1" si="11"/>
        <v>-0.52307692307692311</v>
      </c>
      <c r="V21" s="20">
        <f t="shared" ca="1" si="12"/>
        <v>5.1037220843672459</v>
      </c>
      <c r="W21" s="21">
        <f t="shared" ca="1" si="13"/>
        <v>2</v>
      </c>
      <c r="X21" s="21">
        <f t="shared" ca="1" si="14"/>
        <v>0</v>
      </c>
      <c r="Y21" s="2"/>
      <c r="Z21" s="2"/>
    </row>
    <row r="22" spans="1:26" ht="14.25" customHeight="1" x14ac:dyDescent="0.45">
      <c r="A22" s="12" t="s">
        <v>22</v>
      </c>
      <c r="B22" s="12" t="s">
        <v>58</v>
      </c>
      <c r="C22" s="13">
        <v>26</v>
      </c>
      <c r="D22" s="13">
        <v>6203</v>
      </c>
      <c r="E22" s="13">
        <f t="shared" ca="1" si="0"/>
        <v>11462</v>
      </c>
      <c r="F22" s="15">
        <f t="shared" ca="1" si="1"/>
        <v>-5259</v>
      </c>
      <c r="G22" s="16">
        <f t="shared" ca="1" si="2"/>
        <v>-0.4588204501832141</v>
      </c>
      <c r="H22" s="13">
        <v>198</v>
      </c>
      <c r="I22" s="13">
        <f t="shared" ca="1" si="3"/>
        <v>206</v>
      </c>
      <c r="J22" s="15">
        <f t="shared" ca="1" si="4"/>
        <v>-8</v>
      </c>
      <c r="K22" s="16">
        <f t="shared" ca="1" si="5"/>
        <v>-3.8834951456310676E-2</v>
      </c>
      <c r="L22" s="13">
        <f t="shared" si="6"/>
        <v>238.57692307692307</v>
      </c>
      <c r="M22" s="13">
        <f t="shared" si="7"/>
        <v>31.920038690955991</v>
      </c>
      <c r="N22" s="13">
        <v>7381</v>
      </c>
      <c r="O22" s="15">
        <f t="shared" ca="1" si="8"/>
        <v>-4</v>
      </c>
      <c r="P22" s="2"/>
      <c r="Q22" s="2"/>
      <c r="R22" s="2"/>
      <c r="S22" s="18">
        <f t="shared" ca="1" si="9"/>
        <v>9.7021475256769367</v>
      </c>
      <c r="T22" s="20">
        <f t="shared" ca="1" si="10"/>
        <v>-10.160967975860151</v>
      </c>
      <c r="U22" s="18">
        <f t="shared" ca="1" si="11"/>
        <v>4.2820512820512819</v>
      </c>
      <c r="V22" s="20">
        <f t="shared" ca="1" si="12"/>
        <v>-4.3208862335075926</v>
      </c>
      <c r="W22" s="21">
        <f t="shared" ca="1" si="13"/>
        <v>-3</v>
      </c>
      <c r="X22" s="21">
        <f t="shared" ca="1" si="14"/>
        <v>-1</v>
      </c>
      <c r="Y22" s="2"/>
      <c r="Z22" s="2"/>
    </row>
    <row r="23" spans="1:26" ht="14.25" customHeight="1" x14ac:dyDescent="0.45">
      <c r="A23" s="12" t="s">
        <v>22</v>
      </c>
      <c r="B23" s="12" t="s">
        <v>59</v>
      </c>
      <c r="C23" s="13">
        <v>9</v>
      </c>
      <c r="D23" s="13">
        <v>13590</v>
      </c>
      <c r="E23" s="13">
        <f t="shared" ca="1" si="0"/>
        <v>2570</v>
      </c>
      <c r="F23" s="15">
        <f t="shared" ca="1" si="1"/>
        <v>11020</v>
      </c>
      <c r="G23" s="16">
        <f t="shared" ca="1" si="2"/>
        <v>4.2879377431906613</v>
      </c>
      <c r="H23" s="13">
        <v>332</v>
      </c>
      <c r="I23" s="13">
        <f t="shared" ca="1" si="3"/>
        <v>168</v>
      </c>
      <c r="J23" s="15">
        <f t="shared" ca="1" si="4"/>
        <v>164</v>
      </c>
      <c r="K23" s="16">
        <f t="shared" ca="1" si="5"/>
        <v>0.97619047619047616</v>
      </c>
      <c r="L23" s="13">
        <f t="shared" si="6"/>
        <v>1510</v>
      </c>
      <c r="M23" s="13">
        <f t="shared" si="7"/>
        <v>24.429727740986021</v>
      </c>
      <c r="N23" s="13">
        <v>5614</v>
      </c>
      <c r="O23" s="15">
        <f t="shared" ca="1" si="8"/>
        <v>14</v>
      </c>
      <c r="P23" s="2"/>
      <c r="Q23" s="2"/>
      <c r="R23" s="2"/>
      <c r="S23" s="18">
        <f t="shared" ca="1" si="9"/>
        <v>-0.64610300192784353</v>
      </c>
      <c r="T23" s="20">
        <f t="shared" ca="1" si="10"/>
        <v>4.9340407451185051</v>
      </c>
      <c r="U23" s="18">
        <f t="shared" ca="1" si="11"/>
        <v>-0.04</v>
      </c>
      <c r="V23" s="20">
        <f t="shared" ca="1" si="12"/>
        <v>1.0161904761904761</v>
      </c>
      <c r="W23" s="21">
        <f t="shared" ca="1" si="13"/>
        <v>1</v>
      </c>
      <c r="X23" s="21">
        <f t="shared" ca="1" si="14"/>
        <v>13</v>
      </c>
      <c r="Y23" s="2"/>
      <c r="Z23" s="2"/>
    </row>
    <row r="24" spans="1:26" ht="14.25" customHeight="1" x14ac:dyDescent="0.45">
      <c r="A24" s="12" t="s">
        <v>22</v>
      </c>
      <c r="B24" s="12" t="s">
        <v>60</v>
      </c>
      <c r="C24" s="13">
        <v>7</v>
      </c>
      <c r="D24" s="13">
        <v>14743</v>
      </c>
      <c r="E24" s="13">
        <f t="shared" ca="1" si="0"/>
        <v>9898</v>
      </c>
      <c r="F24" s="15">
        <f t="shared" ca="1" si="1"/>
        <v>4845</v>
      </c>
      <c r="G24" s="16">
        <f t="shared" ca="1" si="2"/>
        <v>0.48949282683370376</v>
      </c>
      <c r="H24" s="13">
        <v>351</v>
      </c>
      <c r="I24" s="13">
        <f t="shared" ca="1" si="3"/>
        <v>256</v>
      </c>
      <c r="J24" s="15">
        <f t="shared" ca="1" si="4"/>
        <v>95</v>
      </c>
      <c r="K24" s="16">
        <f t="shared" ca="1" si="5"/>
        <v>0.37109375</v>
      </c>
      <c r="L24" s="13">
        <f t="shared" si="6"/>
        <v>2106.1428571428573</v>
      </c>
      <c r="M24" s="13">
        <f t="shared" si="7"/>
        <v>23.807908838092654</v>
      </c>
      <c r="N24" s="13">
        <v>2318</v>
      </c>
      <c r="O24" s="15">
        <f t="shared" ca="1" si="8"/>
        <v>3</v>
      </c>
      <c r="P24" s="2"/>
      <c r="Q24" s="2"/>
      <c r="R24" s="2"/>
      <c r="S24" s="18">
        <f t="shared" ca="1" si="9"/>
        <v>0.32503346720214188</v>
      </c>
      <c r="T24" s="20">
        <f t="shared" ca="1" si="10"/>
        <v>0.16445935963156189</v>
      </c>
      <c r="U24" s="18">
        <f t="shared" ca="1" si="11"/>
        <v>0.30612244897959184</v>
      </c>
      <c r="V24" s="20">
        <f t="shared" ca="1" si="12"/>
        <v>6.4971301020408156E-2</v>
      </c>
      <c r="W24" s="21">
        <f t="shared" ca="1" si="13"/>
        <v>2</v>
      </c>
      <c r="X24" s="21">
        <f t="shared" ca="1" si="14"/>
        <v>1</v>
      </c>
      <c r="Y24" s="2"/>
      <c r="Z24" s="2"/>
    </row>
    <row r="25" spans="1:26" ht="14.25" customHeight="1" x14ac:dyDescent="0.45">
      <c r="A25" s="12" t="s">
        <v>22</v>
      </c>
      <c r="B25" s="12" t="s">
        <v>61</v>
      </c>
      <c r="C25" s="13">
        <v>8</v>
      </c>
      <c r="D25" s="13">
        <v>113039</v>
      </c>
      <c r="E25" s="13">
        <f t="shared" ca="1" si="0"/>
        <v>16793</v>
      </c>
      <c r="F25" s="15">
        <f t="shared" ca="1" si="1"/>
        <v>96246</v>
      </c>
      <c r="G25" s="16">
        <f t="shared" ca="1" si="2"/>
        <v>5.7313166200202463</v>
      </c>
      <c r="H25" s="13">
        <v>670</v>
      </c>
      <c r="I25" s="13">
        <f t="shared" ca="1" si="3"/>
        <v>176</v>
      </c>
      <c r="J25" s="15">
        <f t="shared" ca="1" si="4"/>
        <v>494</v>
      </c>
      <c r="K25" s="16">
        <f t="shared" ca="1" si="5"/>
        <v>2.8068181818181817</v>
      </c>
      <c r="L25" s="13">
        <f t="shared" si="6"/>
        <v>14129.875</v>
      </c>
      <c r="M25" s="13">
        <f t="shared" si="7"/>
        <v>5.9271578835623107</v>
      </c>
      <c r="N25" s="13">
        <v>6169</v>
      </c>
      <c r="O25" s="15">
        <f t="shared" ca="1" si="8"/>
        <v>15</v>
      </c>
      <c r="P25" s="2"/>
      <c r="Q25" s="2"/>
      <c r="R25" s="2"/>
      <c r="S25" s="18">
        <f t="shared" ca="1" si="9"/>
        <v>-0.601390965843006</v>
      </c>
      <c r="T25" s="20">
        <f t="shared" ca="1" si="10"/>
        <v>6.3327075858632522</v>
      </c>
      <c r="U25" s="18">
        <f t="shared" ca="1" si="11"/>
        <v>-0.16587677725118483</v>
      </c>
      <c r="V25" s="20">
        <f t="shared" ca="1" si="12"/>
        <v>2.9726949590693663</v>
      </c>
      <c r="W25" s="21">
        <f t="shared" ca="1" si="13"/>
        <v>17</v>
      </c>
      <c r="X25" s="21">
        <f t="shared" ca="1" si="14"/>
        <v>-2</v>
      </c>
      <c r="Y25" s="2"/>
      <c r="Z25" s="2"/>
    </row>
    <row r="26" spans="1:26" ht="14.25" customHeight="1" x14ac:dyDescent="0.45">
      <c r="A26" s="12" t="s">
        <v>22</v>
      </c>
      <c r="B26" s="12" t="s">
        <v>62</v>
      </c>
      <c r="C26" s="13">
        <v>234</v>
      </c>
      <c r="D26" s="13">
        <v>40025</v>
      </c>
      <c r="E26" s="13">
        <f t="shared" ca="1" si="0"/>
        <v>50551</v>
      </c>
      <c r="F26" s="15">
        <f t="shared" ca="1" si="1"/>
        <v>-10526</v>
      </c>
      <c r="G26" s="16">
        <f t="shared" ca="1" si="2"/>
        <v>-0.20822535657059207</v>
      </c>
      <c r="H26" s="13">
        <v>130</v>
      </c>
      <c r="I26" s="13">
        <f t="shared" ca="1" si="3"/>
        <v>129</v>
      </c>
      <c r="J26" s="15">
        <f t="shared" ca="1" si="4"/>
        <v>1</v>
      </c>
      <c r="K26" s="16">
        <f t="shared" ca="1" si="5"/>
        <v>7.7519379844961239E-3</v>
      </c>
      <c r="L26" s="13">
        <f t="shared" si="6"/>
        <v>171.04700854700855</v>
      </c>
      <c r="M26" s="13">
        <f t="shared" si="7"/>
        <v>3.2479700187382883</v>
      </c>
      <c r="N26" s="13">
        <v>7898</v>
      </c>
      <c r="O26" s="15">
        <f t="shared" ca="1" si="8"/>
        <v>9</v>
      </c>
      <c r="P26" s="2"/>
      <c r="Q26" s="2"/>
      <c r="R26" s="2"/>
      <c r="S26" s="18">
        <f t="shared" ca="1" si="9"/>
        <v>0.67492793479341306</v>
      </c>
      <c r="T26" s="20">
        <f t="shared" ca="1" si="10"/>
        <v>-0.88315329136400511</v>
      </c>
      <c r="U26" s="18">
        <f t="shared" ca="1" si="11"/>
        <v>0.16216216216216217</v>
      </c>
      <c r="V26" s="20">
        <f t="shared" ca="1" si="12"/>
        <v>-0.15441022417766603</v>
      </c>
      <c r="W26" s="21">
        <f t="shared" ca="1" si="13"/>
        <v>8</v>
      </c>
      <c r="X26" s="21">
        <f t="shared" ca="1" si="14"/>
        <v>1</v>
      </c>
      <c r="Y26" s="2"/>
      <c r="Z26" s="2"/>
    </row>
    <row r="27" spans="1:26" ht="14.25" customHeight="1" x14ac:dyDescent="0.45">
      <c r="A27" s="12" t="s">
        <v>22</v>
      </c>
      <c r="B27" s="12" t="s">
        <v>63</v>
      </c>
      <c r="C27" s="13">
        <v>10</v>
      </c>
      <c r="D27" s="13">
        <v>1912</v>
      </c>
      <c r="E27" s="13">
        <f t="shared" ca="1" si="0"/>
        <v>2091</v>
      </c>
      <c r="F27" s="15">
        <f t="shared" ca="1" si="1"/>
        <v>-179</v>
      </c>
      <c r="G27" s="16">
        <f t="shared" ca="1" si="2"/>
        <v>-8.5604973696795789E-2</v>
      </c>
      <c r="H27" s="13">
        <v>37</v>
      </c>
      <c r="I27" s="13">
        <f t="shared" ca="1" si="3"/>
        <v>41</v>
      </c>
      <c r="J27" s="15">
        <f t="shared" ca="1" si="4"/>
        <v>-4</v>
      </c>
      <c r="K27" s="16">
        <f t="shared" ca="1" si="5"/>
        <v>-9.7560975609756101E-2</v>
      </c>
      <c r="L27" s="13">
        <f t="shared" si="6"/>
        <v>191.2</v>
      </c>
      <c r="M27" s="13">
        <f t="shared" si="7"/>
        <v>19.351464435146443</v>
      </c>
      <c r="N27" s="13">
        <v>16721</v>
      </c>
      <c r="O27" s="15">
        <f t="shared" ca="1" si="8"/>
        <v>-1</v>
      </c>
      <c r="P27" s="2"/>
      <c r="Q27" s="2"/>
      <c r="R27" s="2"/>
      <c r="S27" s="18">
        <f t="shared" ca="1" si="9"/>
        <v>0.36845549738219896</v>
      </c>
      <c r="T27" s="20">
        <f t="shared" ca="1" si="10"/>
        <v>-0.45406047107899472</v>
      </c>
      <c r="U27" s="18">
        <f t="shared" ca="1" si="11"/>
        <v>0.20588235294117646</v>
      </c>
      <c r="V27" s="20">
        <f t="shared" ca="1" si="12"/>
        <v>-0.30344332855093259</v>
      </c>
      <c r="W27" s="21">
        <f t="shared" ca="1" si="13"/>
        <v>-3</v>
      </c>
      <c r="X27" s="21">
        <f t="shared" ca="1" si="14"/>
        <v>2</v>
      </c>
      <c r="Y27" s="2"/>
      <c r="Z27" s="2"/>
    </row>
    <row r="28" spans="1:26" ht="14.25" customHeight="1" x14ac:dyDescent="0.45">
      <c r="A28" s="12" t="s">
        <v>22</v>
      </c>
      <c r="B28" s="12" t="s">
        <v>64</v>
      </c>
      <c r="C28" s="13">
        <v>20</v>
      </c>
      <c r="D28" s="13">
        <v>4983</v>
      </c>
      <c r="E28" s="13">
        <f t="shared" ca="1" si="0"/>
        <v>7279</v>
      </c>
      <c r="F28" s="15">
        <f t="shared" ca="1" si="1"/>
        <v>-2296</v>
      </c>
      <c r="G28" s="16">
        <f t="shared" ca="1" si="2"/>
        <v>-0.31542794339881852</v>
      </c>
      <c r="H28" s="13">
        <v>31</v>
      </c>
      <c r="I28" s="13">
        <f t="shared" ca="1" si="3"/>
        <v>35</v>
      </c>
      <c r="J28" s="15">
        <f t="shared" ca="1" si="4"/>
        <v>-4</v>
      </c>
      <c r="K28" s="16">
        <f t="shared" ca="1" si="5"/>
        <v>-0.11428571428571428</v>
      </c>
      <c r="L28" s="13">
        <f t="shared" si="6"/>
        <v>249.15</v>
      </c>
      <c r="M28" s="13">
        <f t="shared" si="7"/>
        <v>6.2211519165161553</v>
      </c>
      <c r="N28" s="13">
        <v>21916</v>
      </c>
      <c r="O28" s="15">
        <f t="shared" ca="1" si="8"/>
        <v>8</v>
      </c>
      <c r="P28" s="2"/>
      <c r="Q28" s="2"/>
      <c r="R28" s="2"/>
      <c r="S28" s="18">
        <f t="shared" ca="1" si="9"/>
        <v>-0.32589368401555846</v>
      </c>
      <c r="T28" s="20">
        <f t="shared" ca="1" si="10"/>
        <v>1.0465740616739938E-2</v>
      </c>
      <c r="U28" s="18">
        <f t="shared" ca="1" si="11"/>
        <v>0.12903225806451613</v>
      </c>
      <c r="V28" s="20">
        <f t="shared" ca="1" si="12"/>
        <v>-0.24331797235023039</v>
      </c>
      <c r="W28" s="21">
        <f t="shared" ca="1" si="13"/>
        <v>3</v>
      </c>
      <c r="X28" s="21">
        <f t="shared" ca="1" si="14"/>
        <v>5</v>
      </c>
      <c r="Y28" s="2"/>
      <c r="Z28" s="2"/>
    </row>
    <row r="29" spans="1:26" ht="14.25" customHeight="1" x14ac:dyDescent="0.45">
      <c r="A29" s="12" t="s">
        <v>22</v>
      </c>
      <c r="B29" s="12" t="s">
        <v>65</v>
      </c>
      <c r="C29" s="13">
        <v>6</v>
      </c>
      <c r="D29" s="13">
        <v>37678</v>
      </c>
      <c r="E29" s="13">
        <f t="shared" ca="1" si="0"/>
        <v>14353</v>
      </c>
      <c r="F29" s="15">
        <f t="shared" ca="1" si="1"/>
        <v>23325</v>
      </c>
      <c r="G29" s="16">
        <f t="shared" ca="1" si="2"/>
        <v>1.6250957987877099</v>
      </c>
      <c r="H29" s="13">
        <v>52</v>
      </c>
      <c r="I29" s="13">
        <f t="shared" ca="1" si="3"/>
        <v>353</v>
      </c>
      <c r="J29" s="15">
        <f t="shared" ca="1" si="4"/>
        <v>-301</v>
      </c>
      <c r="K29" s="16">
        <f t="shared" ca="1" si="5"/>
        <v>-0.85269121813031157</v>
      </c>
      <c r="L29" s="13">
        <f t="shared" si="6"/>
        <v>6279.666666666667</v>
      </c>
      <c r="M29" s="13">
        <f t="shared" si="7"/>
        <v>1.380115717394766</v>
      </c>
      <c r="N29" s="13">
        <v>9572</v>
      </c>
      <c r="O29" s="15">
        <f t="shared" ca="1" si="8"/>
        <v>34</v>
      </c>
      <c r="P29" s="2"/>
      <c r="Q29" s="2"/>
      <c r="R29" s="2"/>
      <c r="S29" s="18">
        <f t="shared" ca="1" si="9"/>
        <v>0.30779043280182233</v>
      </c>
      <c r="T29" s="20">
        <f t="shared" ca="1" si="10"/>
        <v>1.3173053659858875</v>
      </c>
      <c r="U29" s="18">
        <f t="shared" ca="1" si="11"/>
        <v>0.45267489711934156</v>
      </c>
      <c r="V29" s="20">
        <f t="shared" ca="1" si="12"/>
        <v>-1.3053661152496532</v>
      </c>
      <c r="W29" s="21">
        <f t="shared" ca="1" si="13"/>
        <v>87</v>
      </c>
      <c r="X29" s="21">
        <f t="shared" ca="1" si="14"/>
        <v>-53</v>
      </c>
      <c r="Y29" s="2"/>
      <c r="Z29" s="2"/>
    </row>
    <row r="30" spans="1:26" ht="14.25" customHeight="1" x14ac:dyDescent="0.45">
      <c r="A30" s="25"/>
      <c r="B30" s="25" t="s">
        <v>66</v>
      </c>
      <c r="C30" s="26">
        <f>SUM(C3:C29)</f>
        <v>1991</v>
      </c>
      <c r="D30" s="26">
        <f>SUM(D3:D29)</f>
        <v>3019940</v>
      </c>
      <c r="E30" s="26">
        <f ca="1">SUM(E3:E29)</f>
        <v>3278814</v>
      </c>
      <c r="F30" s="27">
        <f ca="1">SUM(F3:F29)</f>
        <v>-258874</v>
      </c>
      <c r="G30" s="28">
        <f ca="1">IF(C30=0,"",IFERROR(F30/E30,""))</f>
        <v>-7.8953548447700903E-2</v>
      </c>
      <c r="H30" s="26">
        <f>SUM(H3:H29)</f>
        <v>32490</v>
      </c>
      <c r="I30" s="26">
        <f ca="1">SUM(I3:I29)</f>
        <v>36042</v>
      </c>
      <c r="J30" s="27">
        <f ca="1">SUM(J3:J29)</f>
        <v>-3552</v>
      </c>
      <c r="K30" s="28">
        <f ca="1">IF(C30=0,"",IFERROR(J30/I30,""))</f>
        <v>-9.8551689695355424E-2</v>
      </c>
      <c r="L30" s="26">
        <f t="shared" si="6"/>
        <v>1516.7955801104972</v>
      </c>
      <c r="M30" s="26">
        <f t="shared" si="7"/>
        <v>10.758491890567361</v>
      </c>
      <c r="N30" s="26">
        <f>SUM(N3:N29)</f>
        <v>461475</v>
      </c>
      <c r="O30" s="27">
        <f ca="1">SUM(O3:O29)</f>
        <v>1014</v>
      </c>
      <c r="P30" s="2"/>
      <c r="Q30" s="2"/>
      <c r="R30" s="2"/>
      <c r="S30" s="29">
        <f t="shared" ca="1" si="9"/>
        <v>5.2346200779403017E-2</v>
      </c>
      <c r="T30" s="30">
        <f t="shared" ca="1" si="10"/>
        <v>-0.13129974922710391</v>
      </c>
      <c r="U30" s="29">
        <f t="shared" ca="1" si="11"/>
        <v>7.0575654963464629E-2</v>
      </c>
      <c r="V30" s="30">
        <f t="shared" ca="1" si="12"/>
        <v>-0.16912734465882007</v>
      </c>
      <c r="W30" s="31">
        <f t="shared" ca="1" si="13"/>
        <v>1042</v>
      </c>
      <c r="X30" s="31">
        <f ca="1">IF(OR(C30=0,$O30="",$W30=""),"",$O30-$W30)</f>
        <v>-28</v>
      </c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3">
        <v>138</v>
      </c>
      <c r="D31" s="13">
        <v>291577</v>
      </c>
      <c r="E31" s="13">
        <f t="shared" ref="E31:E50" ca="1" si="15">IF($D31="","",IFERROR(IF(ISBLANK(INDIRECT("'"&amp;$Q$2&amp;"'!D"&amp;ROW())),"",INDIRECT("'"&amp;$Q$2&amp;"'!D"&amp;ROW())),""))</f>
        <v>24426</v>
      </c>
      <c r="F31" s="15">
        <f t="shared" ref="F31:F50" ca="1" si="16">IF(OR(D31="",E31=""),"",D31-E31)</f>
        <v>267151</v>
      </c>
      <c r="G31" s="16">
        <f t="shared" ref="G31:G50" ca="1" si="17">IFERROR(F31/E31,"")</f>
        <v>10.937157127650863</v>
      </c>
      <c r="H31" s="13">
        <v>127</v>
      </c>
      <c r="I31" s="13">
        <f t="shared" ref="I31:I50" ca="1" si="18">IF($H31="","",IFERROR(IF(ISBLANK(INDIRECT("'"&amp;$Q$2&amp;"'!H"&amp;ROW())),"",INDIRECT("'"&amp;$Q$2&amp;"'!H"&amp;ROW())),""))</f>
        <v>79</v>
      </c>
      <c r="J31" s="15">
        <f t="shared" ref="J31:J50" ca="1" si="19">IF(OR(H31="",I31=""),"",H31-I31)</f>
        <v>48</v>
      </c>
      <c r="K31" s="16">
        <f t="shared" ref="K31:K50" ca="1" si="20">IFERROR(J31/I31,"")</f>
        <v>0.60759493670886078</v>
      </c>
      <c r="L31" s="13">
        <f t="shared" si="6"/>
        <v>2112.876811594203</v>
      </c>
      <c r="M31" s="13">
        <f t="shared" si="7"/>
        <v>0.43556247577826784</v>
      </c>
      <c r="N31" s="13">
        <v>32473</v>
      </c>
      <c r="O31" s="15">
        <f t="shared" ref="O31:O50" ca="1" si="21">IFERROR(IF(OR(N31="",ISBLANK(INDIRECT("'"&amp;$Q$2&amp;"'!N"&amp;ROW()))),"",N31-INDIRECT("'"&amp;$Q$2&amp;"'!N"&amp;ROW())),"")</f>
        <v>10</v>
      </c>
      <c r="P31" s="2"/>
      <c r="Q31" s="2"/>
      <c r="R31" s="2"/>
      <c r="S31" s="18">
        <f t="shared" ca="1" si="9"/>
        <v>-0.12161967779056386</v>
      </c>
      <c r="T31" s="20">
        <f t="shared" ca="1" si="10"/>
        <v>11.058776805441427</v>
      </c>
      <c r="U31" s="18">
        <f t="shared" ca="1" si="11"/>
        <v>0.29508196721311475</v>
      </c>
      <c r="V31" s="20">
        <f t="shared" ca="1" si="12"/>
        <v>0.31251296949574603</v>
      </c>
      <c r="W31" s="21">
        <f t="shared" ca="1" si="13"/>
        <v>3</v>
      </c>
      <c r="X31" s="21">
        <f t="shared" ref="X31:X50" ca="1" si="22">IF(OR($O31="",$W31=""),"",$O31-$W31)</f>
        <v>7</v>
      </c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3">
        <v>125</v>
      </c>
      <c r="D32" s="13">
        <v>40747</v>
      </c>
      <c r="E32" s="13">
        <f t="shared" ca="1" si="15"/>
        <v>35622</v>
      </c>
      <c r="F32" s="15">
        <f t="shared" ca="1" si="16"/>
        <v>5125</v>
      </c>
      <c r="G32" s="16">
        <f t="shared" ca="1" si="17"/>
        <v>0.14387176463982931</v>
      </c>
      <c r="H32" s="13">
        <v>68</v>
      </c>
      <c r="I32" s="13">
        <f t="shared" ca="1" si="18"/>
        <v>41</v>
      </c>
      <c r="J32" s="15">
        <f t="shared" ca="1" si="19"/>
        <v>27</v>
      </c>
      <c r="K32" s="16">
        <f t="shared" ca="1" si="20"/>
        <v>0.65853658536585369</v>
      </c>
      <c r="L32" s="13">
        <f t="shared" si="6"/>
        <v>325.976</v>
      </c>
      <c r="M32" s="13">
        <f t="shared" si="7"/>
        <v>1.6688345154244484</v>
      </c>
      <c r="N32" s="13">
        <v>21735</v>
      </c>
      <c r="O32" s="15">
        <f t="shared" ca="1" si="21"/>
        <v>3</v>
      </c>
      <c r="P32" s="2"/>
      <c r="Q32" s="2"/>
      <c r="R32" s="2"/>
      <c r="S32" s="18">
        <f t="shared" ca="1" si="9"/>
        <v>2.9864985978201163E-2</v>
      </c>
      <c r="T32" s="20">
        <f t="shared" ca="1" si="10"/>
        <v>0.11400677866162814</v>
      </c>
      <c r="U32" s="18">
        <f t="shared" ca="1" si="11"/>
        <v>-8.8888888888888892E-2</v>
      </c>
      <c r="V32" s="20">
        <f t="shared" ca="1" si="12"/>
        <v>0.74742547425474259</v>
      </c>
      <c r="W32" s="21">
        <f t="shared" ca="1" si="13"/>
        <v>0</v>
      </c>
      <c r="X32" s="21">
        <f t="shared" ca="1" si="22"/>
        <v>3</v>
      </c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3">
        <v>87</v>
      </c>
      <c r="D33" s="13">
        <v>18335</v>
      </c>
      <c r="E33" s="13">
        <f t="shared" ca="1" si="15"/>
        <v>25717</v>
      </c>
      <c r="F33" s="15">
        <f t="shared" ca="1" si="16"/>
        <v>-7382</v>
      </c>
      <c r="G33" s="16">
        <f t="shared" ca="1" si="17"/>
        <v>-0.28704747832173272</v>
      </c>
      <c r="H33" s="13">
        <v>4</v>
      </c>
      <c r="I33" s="13">
        <f t="shared" ca="1" si="18"/>
        <v>6</v>
      </c>
      <c r="J33" s="15">
        <f t="shared" ca="1" si="19"/>
        <v>-2</v>
      </c>
      <c r="K33" s="16">
        <f t="shared" ca="1" si="20"/>
        <v>-0.33333333333333331</v>
      </c>
      <c r="L33" s="13">
        <f t="shared" si="6"/>
        <v>210.7471264367816</v>
      </c>
      <c r="M33" s="13">
        <f t="shared" si="7"/>
        <v>0.21816198527406599</v>
      </c>
      <c r="N33" s="13">
        <v>8961</v>
      </c>
      <c r="O33" s="15">
        <f t="shared" ca="1" si="21"/>
        <v>-1</v>
      </c>
      <c r="P33" s="2"/>
      <c r="Q33" s="2"/>
      <c r="R33" s="2"/>
      <c r="S33" s="18">
        <f t="shared" ca="1" si="9"/>
        <v>0.16061918945753226</v>
      </c>
      <c r="T33" s="20">
        <f t="shared" ca="1" si="10"/>
        <v>-0.447666667779265</v>
      </c>
      <c r="U33" s="18">
        <f t="shared" ca="1" si="11"/>
        <v>0.2</v>
      </c>
      <c r="V33" s="20">
        <f t="shared" ca="1" si="12"/>
        <v>-0.53333333333333333</v>
      </c>
      <c r="W33" s="21">
        <f t="shared" ca="1" si="13"/>
        <v>-1</v>
      </c>
      <c r="X33" s="21">
        <f t="shared" ca="1" si="22"/>
        <v>0</v>
      </c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3">
        <v>91</v>
      </c>
      <c r="D34" s="13">
        <v>905</v>
      </c>
      <c r="E34" s="13">
        <f t="shared" ca="1" si="15"/>
        <v>1655</v>
      </c>
      <c r="F34" s="15">
        <f t="shared" ca="1" si="16"/>
        <v>-750</v>
      </c>
      <c r="G34" s="16">
        <f t="shared" ca="1" si="17"/>
        <v>-0.45317220543806647</v>
      </c>
      <c r="H34" s="13">
        <v>0</v>
      </c>
      <c r="I34" s="13">
        <f t="shared" ca="1" si="18"/>
        <v>0</v>
      </c>
      <c r="J34" s="15">
        <f t="shared" ca="1" si="19"/>
        <v>0</v>
      </c>
      <c r="K34" s="16" t="str">
        <f t="shared" ca="1" si="20"/>
        <v/>
      </c>
      <c r="L34" s="13">
        <f t="shared" si="6"/>
        <v>9.9450549450549453</v>
      </c>
      <c r="M34" s="13">
        <f t="shared" si="7"/>
        <v>0</v>
      </c>
      <c r="N34" s="13">
        <v>6</v>
      </c>
      <c r="O34" s="15">
        <f t="shared" ca="1" si="21"/>
        <v>0</v>
      </c>
      <c r="P34" s="2"/>
      <c r="Q34" s="2"/>
      <c r="R34" s="2"/>
      <c r="S34" s="18">
        <f t="shared" ca="1" si="9"/>
        <v>0.52113970588235292</v>
      </c>
      <c r="T34" s="20">
        <f t="shared" ca="1" si="10"/>
        <v>-0.97431191132041939</v>
      </c>
      <c r="U34" s="18" t="str">
        <f t="shared" ca="1" si="11"/>
        <v/>
      </c>
      <c r="V34" s="20" t="str">
        <f t="shared" ca="1" si="12"/>
        <v/>
      </c>
      <c r="W34" s="21">
        <f t="shared" ca="1" si="13"/>
        <v>1</v>
      </c>
      <c r="X34" s="21">
        <f t="shared" ca="1" si="22"/>
        <v>-1</v>
      </c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3">
        <v>96</v>
      </c>
      <c r="D35" s="13">
        <v>10237</v>
      </c>
      <c r="E35" s="13">
        <f t="shared" ca="1" si="15"/>
        <v>10205</v>
      </c>
      <c r="F35" s="15">
        <f t="shared" ca="1" si="16"/>
        <v>32</v>
      </c>
      <c r="G35" s="16">
        <f t="shared" ca="1" si="17"/>
        <v>3.1357177853993143E-3</v>
      </c>
      <c r="H35" s="13">
        <v>126</v>
      </c>
      <c r="I35" s="13">
        <f t="shared" ca="1" si="18"/>
        <v>158</v>
      </c>
      <c r="J35" s="15">
        <f t="shared" ca="1" si="19"/>
        <v>-32</v>
      </c>
      <c r="K35" s="16">
        <f t="shared" ca="1" si="20"/>
        <v>-0.20253164556962025</v>
      </c>
      <c r="L35" s="13">
        <f t="shared" ref="L35:L66" si="23">IFERROR(D35/C35,"")</f>
        <v>106.63541666666667</v>
      </c>
      <c r="M35" s="13">
        <f t="shared" ref="M35:M66" si="24">IFERROR(H35/D35*1000,"")</f>
        <v>12.308293445345315</v>
      </c>
      <c r="N35" s="13">
        <v>1937</v>
      </c>
      <c r="O35" s="15">
        <f t="shared" ca="1" si="21"/>
        <v>1</v>
      </c>
      <c r="P35" s="2"/>
      <c r="Q35" s="2"/>
      <c r="R35" s="2"/>
      <c r="S35" s="18">
        <f t="shared" ref="S35:S66" ca="1" si="25">IFERROR(IF(ISBLANK(INDIRECT("'"&amp;$Q$2&amp;"'!G"&amp;ROW())),"",INDIRECT("'"&amp;$Q$2&amp;"'!G"&amp;ROW())),"")</f>
        <v>-0.20073621553884713</v>
      </c>
      <c r="T35" s="20">
        <f t="shared" ref="T35:T66" ca="1" si="26">IF(OR($G35="",$S35=""),"",$G35-$S35)</f>
        <v>0.20387193332424644</v>
      </c>
      <c r="U35" s="18">
        <f t="shared" ref="U35:U66" ca="1" si="27">IFERROR(IF(ISBLANK(INDIRECT("'"&amp;$Q$2&amp;"'!K"&amp;ROW())),"",INDIRECT("'"&amp;$Q$2&amp;"'!K"&amp;ROW())),"")</f>
        <v>8.2191780821917804E-2</v>
      </c>
      <c r="V35" s="20">
        <f t="shared" ref="V35:V66" ca="1" si="28">IF(OR($K35="",$U35=""),"",$K35-$U35)</f>
        <v>-0.28472342639153803</v>
      </c>
      <c r="W35" s="21">
        <f t="shared" ref="W35:W66" ca="1" si="29">IFERROR(IF(ISBLANK(INDIRECT("'"&amp;$Q$2&amp;"'!O"&amp;ROW())),"",INDIRECT("'"&amp;$Q$2&amp;"'!O"&amp;ROW())),"")</f>
        <v>2</v>
      </c>
      <c r="X35" s="21">
        <f t="shared" ca="1" si="22"/>
        <v>-1</v>
      </c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3">
        <v>90</v>
      </c>
      <c r="D36" s="13">
        <v>40666</v>
      </c>
      <c r="E36" s="13">
        <f t="shared" ca="1" si="15"/>
        <v>43443</v>
      </c>
      <c r="F36" s="15">
        <f t="shared" ca="1" si="16"/>
        <v>-2777</v>
      </c>
      <c r="G36" s="16">
        <f t="shared" ca="1" si="17"/>
        <v>-6.392284142439518E-2</v>
      </c>
      <c r="H36" s="13">
        <v>944</v>
      </c>
      <c r="I36" s="13">
        <f t="shared" ca="1" si="18"/>
        <v>922</v>
      </c>
      <c r="J36" s="15">
        <f t="shared" ca="1" si="19"/>
        <v>22</v>
      </c>
      <c r="K36" s="16">
        <f t="shared" ca="1" si="20"/>
        <v>2.3861171366594359E-2</v>
      </c>
      <c r="L36" s="13">
        <f t="shared" si="23"/>
        <v>451.84444444444443</v>
      </c>
      <c r="M36" s="13">
        <f t="shared" si="24"/>
        <v>23.21349530320169</v>
      </c>
      <c r="N36" s="13">
        <v>5881</v>
      </c>
      <c r="O36" s="15">
        <f t="shared" ca="1" si="21"/>
        <v>2</v>
      </c>
      <c r="P36" s="2"/>
      <c r="Q36" s="2"/>
      <c r="R36" s="2"/>
      <c r="S36" s="18">
        <f t="shared" ca="1" si="25"/>
        <v>0.16151542698251431</v>
      </c>
      <c r="T36" s="20">
        <f t="shared" ca="1" si="26"/>
        <v>-0.2254382684069095</v>
      </c>
      <c r="U36" s="18">
        <f t="shared" ca="1" si="27"/>
        <v>0.51644736842105265</v>
      </c>
      <c r="V36" s="20">
        <f t="shared" ca="1" si="28"/>
        <v>-0.49258619705445827</v>
      </c>
      <c r="W36" s="21">
        <f t="shared" ca="1" si="29"/>
        <v>4</v>
      </c>
      <c r="X36" s="21">
        <f t="shared" ca="1" si="22"/>
        <v>-2</v>
      </c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3">
        <v>146</v>
      </c>
      <c r="D37" s="13">
        <v>7612</v>
      </c>
      <c r="E37" s="13">
        <f t="shared" ca="1" si="15"/>
        <v>5494</v>
      </c>
      <c r="F37" s="15">
        <f t="shared" ca="1" si="16"/>
        <v>2118</v>
      </c>
      <c r="G37" s="16">
        <f t="shared" ca="1" si="17"/>
        <v>0.38551146705496908</v>
      </c>
      <c r="H37" s="13">
        <v>59</v>
      </c>
      <c r="I37" s="13">
        <f t="shared" ca="1" si="18"/>
        <v>23</v>
      </c>
      <c r="J37" s="15">
        <f t="shared" ca="1" si="19"/>
        <v>36</v>
      </c>
      <c r="K37" s="16">
        <f t="shared" ca="1" si="20"/>
        <v>1.5652173913043479</v>
      </c>
      <c r="L37" s="13">
        <f t="shared" si="23"/>
        <v>52.136986301369866</v>
      </c>
      <c r="M37" s="13">
        <f t="shared" si="24"/>
        <v>7.750919600630584</v>
      </c>
      <c r="N37" s="13">
        <v>3236</v>
      </c>
      <c r="O37" s="15">
        <f t="shared" ca="1" si="21"/>
        <v>2</v>
      </c>
      <c r="P37" s="2"/>
      <c r="Q37" s="2"/>
      <c r="R37" s="2"/>
      <c r="S37" s="18">
        <f t="shared" ca="1" si="25"/>
        <v>-0.16996525154857228</v>
      </c>
      <c r="T37" s="20">
        <f t="shared" ca="1" si="26"/>
        <v>0.55547671860354142</v>
      </c>
      <c r="U37" s="18">
        <f t="shared" ca="1" si="27"/>
        <v>-0.25806451612903225</v>
      </c>
      <c r="V37" s="20">
        <f t="shared" ca="1" si="28"/>
        <v>1.8232819074333801</v>
      </c>
      <c r="W37" s="21">
        <f t="shared" ca="1" si="29"/>
        <v>1</v>
      </c>
      <c r="X37" s="21">
        <f t="shared" ca="1" si="22"/>
        <v>1</v>
      </c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3">
        <v>114</v>
      </c>
      <c r="D38" s="13">
        <v>8056</v>
      </c>
      <c r="E38" s="13">
        <f t="shared" ca="1" si="15"/>
        <v>7276</v>
      </c>
      <c r="F38" s="15">
        <f t="shared" ca="1" si="16"/>
        <v>780</v>
      </c>
      <c r="G38" s="16">
        <f t="shared" ca="1" si="17"/>
        <v>0.10720175920835624</v>
      </c>
      <c r="H38" s="13">
        <v>172</v>
      </c>
      <c r="I38" s="13">
        <f t="shared" ca="1" si="18"/>
        <v>85</v>
      </c>
      <c r="J38" s="15">
        <f t="shared" ca="1" si="19"/>
        <v>87</v>
      </c>
      <c r="K38" s="16">
        <f t="shared" ca="1" si="20"/>
        <v>1.0235294117647058</v>
      </c>
      <c r="L38" s="13">
        <f t="shared" si="23"/>
        <v>70.666666666666671</v>
      </c>
      <c r="M38" s="13">
        <f t="shared" si="24"/>
        <v>21.350546176762663</v>
      </c>
      <c r="N38" s="13">
        <v>1705</v>
      </c>
      <c r="O38" s="15">
        <f t="shared" ca="1" si="21"/>
        <v>10</v>
      </c>
      <c r="P38" s="2"/>
      <c r="Q38" s="2"/>
      <c r="R38" s="2"/>
      <c r="S38" s="18">
        <f t="shared" ca="1" si="25"/>
        <v>0.34840622683469236</v>
      </c>
      <c r="T38" s="20">
        <f t="shared" ca="1" si="26"/>
        <v>-0.24120446762633613</v>
      </c>
      <c r="U38" s="18">
        <f t="shared" ca="1" si="27"/>
        <v>3.7222222222222223</v>
      </c>
      <c r="V38" s="20">
        <f t="shared" ca="1" si="28"/>
        <v>-2.6986928104575165</v>
      </c>
      <c r="W38" s="21">
        <f t="shared" ca="1" si="29"/>
        <v>2</v>
      </c>
      <c r="X38" s="21">
        <f t="shared" ca="1" si="22"/>
        <v>8</v>
      </c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3">
        <v>74</v>
      </c>
      <c r="D39" s="13">
        <v>1941</v>
      </c>
      <c r="E39" s="13">
        <f t="shared" ca="1" si="15"/>
        <v>3006</v>
      </c>
      <c r="F39" s="15">
        <f t="shared" ca="1" si="16"/>
        <v>-1065</v>
      </c>
      <c r="G39" s="16">
        <f t="shared" ca="1" si="17"/>
        <v>-0.35429141716566864</v>
      </c>
      <c r="H39" s="13">
        <v>10</v>
      </c>
      <c r="I39" s="13">
        <f t="shared" ca="1" si="18"/>
        <v>46</v>
      </c>
      <c r="J39" s="15">
        <f t="shared" ca="1" si="19"/>
        <v>-36</v>
      </c>
      <c r="K39" s="16">
        <f t="shared" ca="1" si="20"/>
        <v>-0.78260869565217395</v>
      </c>
      <c r="L39" s="13">
        <f t="shared" si="23"/>
        <v>26.22972972972973</v>
      </c>
      <c r="M39" s="13">
        <f t="shared" si="24"/>
        <v>5.1519835136527563</v>
      </c>
      <c r="N39" s="13">
        <v>224</v>
      </c>
      <c r="O39" s="15">
        <f t="shared" ca="1" si="21"/>
        <v>0</v>
      </c>
      <c r="P39" s="2"/>
      <c r="Q39" s="2"/>
      <c r="R39" s="2"/>
      <c r="S39" s="18">
        <f t="shared" ca="1" si="25"/>
        <v>7.8579117330462869E-2</v>
      </c>
      <c r="T39" s="20">
        <f t="shared" ca="1" si="26"/>
        <v>-0.4328705344961315</v>
      </c>
      <c r="U39" s="18">
        <f t="shared" ca="1" si="27"/>
        <v>14.333333333333334</v>
      </c>
      <c r="V39" s="20">
        <f t="shared" ca="1" si="28"/>
        <v>-15.115942028985508</v>
      </c>
      <c r="W39" s="21">
        <f t="shared" ca="1" si="29"/>
        <v>0</v>
      </c>
      <c r="X39" s="21">
        <f t="shared" ca="1" si="22"/>
        <v>0</v>
      </c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3">
        <v>50</v>
      </c>
      <c r="D40" s="13">
        <v>6191</v>
      </c>
      <c r="E40" s="13">
        <f t="shared" ca="1" si="15"/>
        <v>8243</v>
      </c>
      <c r="F40" s="15">
        <f t="shared" ca="1" si="16"/>
        <v>-2052</v>
      </c>
      <c r="G40" s="16">
        <f t="shared" ca="1" si="17"/>
        <v>-0.24893849326701445</v>
      </c>
      <c r="H40" s="13">
        <v>94</v>
      </c>
      <c r="I40" s="13">
        <f t="shared" ca="1" si="18"/>
        <v>132</v>
      </c>
      <c r="J40" s="15">
        <f t="shared" ca="1" si="19"/>
        <v>-38</v>
      </c>
      <c r="K40" s="16">
        <f t="shared" ca="1" si="20"/>
        <v>-0.2878787878787879</v>
      </c>
      <c r="L40" s="13">
        <f t="shared" si="23"/>
        <v>123.82</v>
      </c>
      <c r="M40" s="13">
        <f t="shared" si="24"/>
        <v>15.183330641253432</v>
      </c>
      <c r="N40" s="13">
        <v>4957</v>
      </c>
      <c r="O40" s="15">
        <f t="shared" ca="1" si="21"/>
        <v>4</v>
      </c>
      <c r="P40" s="2"/>
      <c r="Q40" s="2"/>
      <c r="R40" s="2"/>
      <c r="S40" s="18">
        <f t="shared" ca="1" si="25"/>
        <v>0.93634014564247126</v>
      </c>
      <c r="T40" s="20">
        <f t="shared" ca="1" si="26"/>
        <v>-1.1852786389094856</v>
      </c>
      <c r="U40" s="18">
        <f t="shared" ca="1" si="27"/>
        <v>7.8</v>
      </c>
      <c r="V40" s="20">
        <f t="shared" ca="1" si="28"/>
        <v>-8.0878787878787879</v>
      </c>
      <c r="W40" s="21">
        <f t="shared" ca="1" si="29"/>
        <v>4</v>
      </c>
      <c r="X40" s="21">
        <f t="shared" ca="1" si="22"/>
        <v>0</v>
      </c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3">
        <v>58</v>
      </c>
      <c r="D41" s="13">
        <v>8540</v>
      </c>
      <c r="E41" s="13">
        <f t="shared" ca="1" si="15"/>
        <v>7631</v>
      </c>
      <c r="F41" s="15">
        <f t="shared" ca="1" si="16"/>
        <v>909</v>
      </c>
      <c r="G41" s="16">
        <f t="shared" ca="1" si="17"/>
        <v>0.11911938147031843</v>
      </c>
      <c r="H41" s="13">
        <v>111</v>
      </c>
      <c r="I41" s="13">
        <f t="shared" ca="1" si="18"/>
        <v>69</v>
      </c>
      <c r="J41" s="15">
        <f t="shared" ca="1" si="19"/>
        <v>42</v>
      </c>
      <c r="K41" s="16">
        <f t="shared" ca="1" si="20"/>
        <v>0.60869565217391308</v>
      </c>
      <c r="L41" s="13">
        <f t="shared" si="23"/>
        <v>147.24137931034483</v>
      </c>
      <c r="M41" s="13">
        <f t="shared" si="24"/>
        <v>12.997658079625293</v>
      </c>
      <c r="N41" s="13">
        <v>3530</v>
      </c>
      <c r="O41" s="15">
        <f t="shared" ca="1" si="21"/>
        <v>0</v>
      </c>
      <c r="P41" s="2"/>
      <c r="Q41" s="2"/>
      <c r="R41" s="2"/>
      <c r="S41" s="18">
        <f t="shared" ca="1" si="25"/>
        <v>6.996634885025238E-2</v>
      </c>
      <c r="T41" s="20">
        <f t="shared" ca="1" si="26"/>
        <v>4.9153032620066053E-2</v>
      </c>
      <c r="U41" s="18">
        <f t="shared" ca="1" si="27"/>
        <v>0.21052631578947367</v>
      </c>
      <c r="V41" s="20">
        <f t="shared" ca="1" si="28"/>
        <v>0.39816933638443941</v>
      </c>
      <c r="W41" s="21">
        <f t="shared" ca="1" si="29"/>
        <v>0</v>
      </c>
      <c r="X41" s="21">
        <f t="shared" ca="1" si="22"/>
        <v>0</v>
      </c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3">
        <v>31</v>
      </c>
      <c r="D42" s="13">
        <v>6081</v>
      </c>
      <c r="E42" s="13">
        <f t="shared" ca="1" si="15"/>
        <v>8146</v>
      </c>
      <c r="F42" s="15">
        <f t="shared" ca="1" si="16"/>
        <v>-2065</v>
      </c>
      <c r="G42" s="16">
        <f t="shared" ca="1" si="17"/>
        <v>-0.25349864964399704</v>
      </c>
      <c r="H42" s="13">
        <v>248</v>
      </c>
      <c r="I42" s="13">
        <f t="shared" ca="1" si="18"/>
        <v>293</v>
      </c>
      <c r="J42" s="15">
        <f t="shared" ca="1" si="19"/>
        <v>-45</v>
      </c>
      <c r="K42" s="16">
        <f t="shared" ca="1" si="20"/>
        <v>-0.15358361774744028</v>
      </c>
      <c r="L42" s="13">
        <f t="shared" si="23"/>
        <v>196.16129032258064</v>
      </c>
      <c r="M42" s="13">
        <f t="shared" si="24"/>
        <v>40.782765992435451</v>
      </c>
      <c r="N42" s="13">
        <v>650</v>
      </c>
      <c r="O42" s="15">
        <f t="shared" ca="1" si="21"/>
        <v>2</v>
      </c>
      <c r="P42" s="2"/>
      <c r="Q42" s="2"/>
      <c r="R42" s="2"/>
      <c r="S42" s="18">
        <f t="shared" ca="1" si="25"/>
        <v>-0.13137129451908722</v>
      </c>
      <c r="T42" s="20">
        <f t="shared" ca="1" si="26"/>
        <v>-0.12212735512490983</v>
      </c>
      <c r="U42" s="18">
        <f t="shared" ca="1" si="27"/>
        <v>0.57526881720430112</v>
      </c>
      <c r="V42" s="20">
        <f t="shared" ca="1" si="28"/>
        <v>-0.72885243495174135</v>
      </c>
      <c r="W42" s="21">
        <f t="shared" ca="1" si="29"/>
        <v>5</v>
      </c>
      <c r="X42" s="21">
        <f t="shared" ca="1" si="22"/>
        <v>-3</v>
      </c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3">
        <v>62</v>
      </c>
      <c r="D43" s="13">
        <v>5062</v>
      </c>
      <c r="E43" s="13">
        <f t="shared" ca="1" si="15"/>
        <v>4493</v>
      </c>
      <c r="F43" s="15">
        <f t="shared" ca="1" si="16"/>
        <v>569</v>
      </c>
      <c r="G43" s="16">
        <f t="shared" ca="1" si="17"/>
        <v>0.12664144224348986</v>
      </c>
      <c r="H43" s="13">
        <v>57</v>
      </c>
      <c r="I43" s="13">
        <f t="shared" ca="1" si="18"/>
        <v>53</v>
      </c>
      <c r="J43" s="15">
        <f t="shared" ca="1" si="19"/>
        <v>4</v>
      </c>
      <c r="K43" s="16">
        <f t="shared" ca="1" si="20"/>
        <v>7.5471698113207544E-2</v>
      </c>
      <c r="L43" s="13">
        <f t="shared" si="23"/>
        <v>81.645161290322577</v>
      </c>
      <c r="M43" s="13">
        <f t="shared" si="24"/>
        <v>11.260371394705651</v>
      </c>
      <c r="N43" s="13">
        <v>1952</v>
      </c>
      <c r="O43" s="15">
        <f t="shared" ca="1" si="21"/>
        <v>1</v>
      </c>
      <c r="P43" s="2"/>
      <c r="Q43" s="2"/>
      <c r="R43" s="2"/>
      <c r="S43" s="18">
        <f t="shared" ca="1" si="25"/>
        <v>0.21695557963163598</v>
      </c>
      <c r="T43" s="20">
        <f t="shared" ca="1" si="26"/>
        <v>-9.0314137388146115E-2</v>
      </c>
      <c r="U43" s="18">
        <f t="shared" ca="1" si="27"/>
        <v>1.1200000000000001</v>
      </c>
      <c r="V43" s="20">
        <f t="shared" ca="1" si="28"/>
        <v>-1.0445283018867926</v>
      </c>
      <c r="W43" s="21">
        <f t="shared" ca="1" si="29"/>
        <v>3</v>
      </c>
      <c r="X43" s="21">
        <f t="shared" ca="1" si="22"/>
        <v>-2</v>
      </c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3">
        <v>63</v>
      </c>
      <c r="D44" s="13">
        <v>22611</v>
      </c>
      <c r="E44" s="13">
        <f t="shared" ca="1" si="15"/>
        <v>13849</v>
      </c>
      <c r="F44" s="15">
        <f t="shared" ca="1" si="16"/>
        <v>8762</v>
      </c>
      <c r="G44" s="16">
        <f t="shared" ca="1" si="17"/>
        <v>0.63268106000433244</v>
      </c>
      <c r="H44" s="13">
        <v>568</v>
      </c>
      <c r="I44" s="13">
        <f t="shared" ca="1" si="18"/>
        <v>374</v>
      </c>
      <c r="J44" s="15">
        <f t="shared" ca="1" si="19"/>
        <v>194</v>
      </c>
      <c r="K44" s="16">
        <f t="shared" ca="1" si="20"/>
        <v>0.51871657754010692</v>
      </c>
      <c r="L44" s="13">
        <f t="shared" si="23"/>
        <v>358.90476190476193</v>
      </c>
      <c r="M44" s="13">
        <f t="shared" si="24"/>
        <v>25.120516562734952</v>
      </c>
      <c r="N44" s="13">
        <v>4890</v>
      </c>
      <c r="O44" s="15">
        <f t="shared" ca="1" si="21"/>
        <v>4</v>
      </c>
      <c r="P44" s="2"/>
      <c r="Q44" s="2"/>
      <c r="R44" s="2"/>
      <c r="S44" s="18">
        <f t="shared" ca="1" si="25"/>
        <v>0.43068181818181817</v>
      </c>
      <c r="T44" s="20">
        <f t="shared" ca="1" si="26"/>
        <v>0.20199924182251427</v>
      </c>
      <c r="U44" s="18">
        <f t="shared" ca="1" si="27"/>
        <v>4.666666666666667</v>
      </c>
      <c r="V44" s="20">
        <f t="shared" ca="1" si="28"/>
        <v>-4.1479500891265602</v>
      </c>
      <c r="W44" s="21">
        <f t="shared" ca="1" si="29"/>
        <v>2</v>
      </c>
      <c r="X44" s="21">
        <f t="shared" ca="1" si="22"/>
        <v>2</v>
      </c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3">
        <v>62</v>
      </c>
      <c r="D45" s="13">
        <v>20281</v>
      </c>
      <c r="E45" s="13">
        <f t="shared" ca="1" si="15"/>
        <v>33212</v>
      </c>
      <c r="F45" s="15">
        <f t="shared" ca="1" si="16"/>
        <v>-12931</v>
      </c>
      <c r="G45" s="16">
        <f t="shared" ca="1" si="17"/>
        <v>-0.38934722389497772</v>
      </c>
      <c r="H45" s="13">
        <v>369</v>
      </c>
      <c r="I45" s="13">
        <f t="shared" ca="1" si="18"/>
        <v>566</v>
      </c>
      <c r="J45" s="15">
        <f t="shared" ca="1" si="19"/>
        <v>-197</v>
      </c>
      <c r="K45" s="16">
        <f t="shared" ca="1" si="20"/>
        <v>-0.34805653710247347</v>
      </c>
      <c r="L45" s="13">
        <f t="shared" si="23"/>
        <v>327.11290322580646</v>
      </c>
      <c r="M45" s="13">
        <f t="shared" si="24"/>
        <v>18.194369113949016</v>
      </c>
      <c r="N45" s="13">
        <v>3743</v>
      </c>
      <c r="O45" s="15">
        <f t="shared" ca="1" si="21"/>
        <v>6</v>
      </c>
      <c r="P45" s="2"/>
      <c r="Q45" s="2"/>
      <c r="R45" s="2"/>
      <c r="S45" s="18">
        <f t="shared" ca="1" si="25"/>
        <v>0.66659975913287839</v>
      </c>
      <c r="T45" s="20">
        <f t="shared" ca="1" si="26"/>
        <v>-1.0559469830278561</v>
      </c>
      <c r="U45" s="18">
        <f t="shared" ca="1" si="27"/>
        <v>1.5727272727272728</v>
      </c>
      <c r="V45" s="20">
        <f t="shared" ca="1" si="28"/>
        <v>-1.9207838098297463</v>
      </c>
      <c r="W45" s="21">
        <f t="shared" ca="1" si="29"/>
        <v>6</v>
      </c>
      <c r="X45" s="21">
        <f t="shared" ca="1" si="22"/>
        <v>0</v>
      </c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3">
        <v>62</v>
      </c>
      <c r="D46" s="13">
        <v>19516</v>
      </c>
      <c r="E46" s="13">
        <f t="shared" ca="1" si="15"/>
        <v>27413</v>
      </c>
      <c r="F46" s="15">
        <f t="shared" ca="1" si="16"/>
        <v>-7897</v>
      </c>
      <c r="G46" s="16">
        <f t="shared" ca="1" si="17"/>
        <v>-0.28807500091197608</v>
      </c>
      <c r="H46" s="13">
        <v>345</v>
      </c>
      <c r="I46" s="13">
        <f t="shared" ca="1" si="18"/>
        <v>660</v>
      </c>
      <c r="J46" s="15">
        <f t="shared" ca="1" si="19"/>
        <v>-315</v>
      </c>
      <c r="K46" s="16">
        <f t="shared" ca="1" si="20"/>
        <v>-0.47727272727272729</v>
      </c>
      <c r="L46" s="13">
        <f t="shared" si="23"/>
        <v>314.77419354838707</v>
      </c>
      <c r="M46" s="13">
        <f t="shared" si="24"/>
        <v>17.677802828448453</v>
      </c>
      <c r="N46" s="13">
        <v>4504</v>
      </c>
      <c r="O46" s="15">
        <f t="shared" ca="1" si="21"/>
        <v>2</v>
      </c>
      <c r="P46" s="2"/>
      <c r="Q46" s="2"/>
      <c r="R46" s="2"/>
      <c r="S46" s="18">
        <f t="shared" ca="1" si="25"/>
        <v>-0.35607911303203982</v>
      </c>
      <c r="T46" s="20">
        <f t="shared" ca="1" si="26"/>
        <v>6.8004112120063742E-2</v>
      </c>
      <c r="U46" s="18">
        <f t="shared" ca="1" si="27"/>
        <v>-4.8991354466858789E-2</v>
      </c>
      <c r="V46" s="20">
        <f t="shared" ca="1" si="28"/>
        <v>-0.42828137280586853</v>
      </c>
      <c r="W46" s="21">
        <f t="shared" ca="1" si="29"/>
        <v>6</v>
      </c>
      <c r="X46" s="21">
        <f t="shared" ca="1" si="22"/>
        <v>-4</v>
      </c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3">
        <v>6</v>
      </c>
      <c r="D47" s="13">
        <v>666</v>
      </c>
      <c r="E47" s="13">
        <f t="shared" ca="1" si="15"/>
        <v>569</v>
      </c>
      <c r="F47" s="15">
        <f t="shared" ca="1" si="16"/>
        <v>97</v>
      </c>
      <c r="G47" s="16">
        <f t="shared" ca="1" si="17"/>
        <v>0.17047451669595781</v>
      </c>
      <c r="H47" s="13">
        <v>28</v>
      </c>
      <c r="I47" s="13">
        <f t="shared" ca="1" si="18"/>
        <v>99</v>
      </c>
      <c r="J47" s="15">
        <f t="shared" ca="1" si="19"/>
        <v>-71</v>
      </c>
      <c r="K47" s="16">
        <f t="shared" ca="1" si="20"/>
        <v>-0.71717171717171713</v>
      </c>
      <c r="L47" s="13">
        <f t="shared" si="23"/>
        <v>111</v>
      </c>
      <c r="M47" s="13">
        <f t="shared" si="24"/>
        <v>42.042042042042048</v>
      </c>
      <c r="N47" s="13">
        <v>854</v>
      </c>
      <c r="O47" s="15">
        <f t="shared" ca="1" si="21"/>
        <v>0</v>
      </c>
      <c r="P47" s="2"/>
      <c r="Q47" s="2"/>
      <c r="R47" s="2"/>
      <c r="S47" s="18">
        <f t="shared" ca="1" si="25"/>
        <v>-0.26007802340702213</v>
      </c>
      <c r="T47" s="20">
        <f t="shared" ca="1" si="26"/>
        <v>0.43055254010297994</v>
      </c>
      <c r="U47" s="18">
        <f t="shared" ca="1" si="27"/>
        <v>5.1875</v>
      </c>
      <c r="V47" s="20">
        <f t="shared" ca="1" si="28"/>
        <v>-5.9046717171717171</v>
      </c>
      <c r="W47" s="21">
        <f t="shared" ca="1" si="29"/>
        <v>-1</v>
      </c>
      <c r="X47" s="21">
        <f t="shared" ca="1" si="22"/>
        <v>1</v>
      </c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3">
        <v>7</v>
      </c>
      <c r="D48" s="13">
        <v>2932</v>
      </c>
      <c r="E48" s="13">
        <f t="shared" ca="1" si="15"/>
        <v>998</v>
      </c>
      <c r="F48" s="15">
        <f t="shared" ca="1" si="16"/>
        <v>1934</v>
      </c>
      <c r="G48" s="16">
        <f t="shared" ca="1" si="17"/>
        <v>1.9378757515030061</v>
      </c>
      <c r="H48" s="13">
        <v>206</v>
      </c>
      <c r="I48" s="13">
        <f t="shared" ca="1" si="18"/>
        <v>138</v>
      </c>
      <c r="J48" s="15">
        <f t="shared" ca="1" si="19"/>
        <v>68</v>
      </c>
      <c r="K48" s="16">
        <f t="shared" ca="1" si="20"/>
        <v>0.49275362318840582</v>
      </c>
      <c r="L48" s="13">
        <f t="shared" si="23"/>
        <v>418.85714285714283</v>
      </c>
      <c r="M48" s="13">
        <f t="shared" si="24"/>
        <v>70.259208731241472</v>
      </c>
      <c r="N48" s="13">
        <v>859</v>
      </c>
      <c r="O48" s="15">
        <f t="shared" ca="1" si="21"/>
        <v>1</v>
      </c>
      <c r="P48" s="2"/>
      <c r="Q48" s="2"/>
      <c r="R48" s="2"/>
      <c r="S48" s="18">
        <f t="shared" ca="1" si="25"/>
        <v>1.9702380952380953</v>
      </c>
      <c r="T48" s="20">
        <f t="shared" ca="1" si="26"/>
        <v>-3.2362343735089283E-2</v>
      </c>
      <c r="U48" s="18">
        <f t="shared" ca="1" si="27"/>
        <v>9.615384615384615</v>
      </c>
      <c r="V48" s="20">
        <f t="shared" ca="1" si="28"/>
        <v>-9.1226309921962088</v>
      </c>
      <c r="W48" s="21">
        <f t="shared" ca="1" si="29"/>
        <v>5</v>
      </c>
      <c r="X48" s="21">
        <f t="shared" ca="1" si="22"/>
        <v>-4</v>
      </c>
      <c r="Y48" s="2"/>
      <c r="Z48" s="2"/>
    </row>
    <row r="49" spans="1:26" ht="14.25" customHeight="1" x14ac:dyDescent="0.45">
      <c r="A49" s="12" t="s">
        <v>23</v>
      </c>
      <c r="B49" s="12" t="s">
        <v>62</v>
      </c>
      <c r="C49" s="13">
        <v>230</v>
      </c>
      <c r="D49" s="13">
        <v>6330</v>
      </c>
      <c r="E49" s="13">
        <f t="shared" ca="1" si="15"/>
        <v>6982</v>
      </c>
      <c r="F49" s="15">
        <f t="shared" ca="1" si="16"/>
        <v>-652</v>
      </c>
      <c r="G49" s="16">
        <f t="shared" ca="1" si="17"/>
        <v>-9.3382984818103698E-2</v>
      </c>
      <c r="H49" s="13">
        <v>2</v>
      </c>
      <c r="I49" s="13">
        <f t="shared" ca="1" si="18"/>
        <v>1</v>
      </c>
      <c r="J49" s="15">
        <f t="shared" ca="1" si="19"/>
        <v>1</v>
      </c>
      <c r="K49" s="16">
        <f t="shared" ca="1" si="20"/>
        <v>1</v>
      </c>
      <c r="L49" s="13">
        <f t="shared" si="23"/>
        <v>27.521739130434781</v>
      </c>
      <c r="M49" s="13">
        <f t="shared" si="24"/>
        <v>0.31595576619273297</v>
      </c>
      <c r="N49" s="13">
        <v>4817</v>
      </c>
      <c r="O49" s="15">
        <f t="shared" ca="1" si="21"/>
        <v>2</v>
      </c>
      <c r="P49" s="2"/>
      <c r="Q49" s="2"/>
      <c r="R49" s="2"/>
      <c r="S49" s="18" t="str">
        <f t="shared" ca="1" si="25"/>
        <v/>
      </c>
      <c r="T49" s="20" t="str">
        <f t="shared" ca="1" si="26"/>
        <v/>
      </c>
      <c r="U49" s="18" t="str">
        <f t="shared" ca="1" si="27"/>
        <v/>
      </c>
      <c r="V49" s="20" t="str">
        <f t="shared" ca="1" si="28"/>
        <v/>
      </c>
      <c r="W49" s="21" t="str">
        <f t="shared" ca="1" si="29"/>
        <v/>
      </c>
      <c r="X49" s="21" t="str">
        <f t="shared" ca="1" si="22"/>
        <v/>
      </c>
      <c r="Y49" s="2"/>
      <c r="Z49" s="2"/>
    </row>
    <row r="50" spans="1:26" ht="14.25" customHeight="1" x14ac:dyDescent="0.45">
      <c r="A50" s="12" t="s">
        <v>23</v>
      </c>
      <c r="B50" s="12" t="s">
        <v>65</v>
      </c>
      <c r="C50" s="13">
        <v>5</v>
      </c>
      <c r="D50" s="13">
        <v>81</v>
      </c>
      <c r="E50" s="13">
        <f t="shared" ca="1" si="15"/>
        <v>269</v>
      </c>
      <c r="F50" s="15">
        <f t="shared" ca="1" si="16"/>
        <v>-188</v>
      </c>
      <c r="G50" s="16">
        <f t="shared" ca="1" si="17"/>
        <v>-0.6988847583643123</v>
      </c>
      <c r="H50" s="13">
        <v>4</v>
      </c>
      <c r="I50" s="13">
        <f t="shared" ca="1" si="18"/>
        <v>9</v>
      </c>
      <c r="J50" s="15">
        <f t="shared" ca="1" si="19"/>
        <v>-5</v>
      </c>
      <c r="K50" s="16">
        <f t="shared" ca="1" si="20"/>
        <v>-0.55555555555555558</v>
      </c>
      <c r="L50" s="13">
        <f t="shared" si="23"/>
        <v>16.2</v>
      </c>
      <c r="M50" s="13">
        <f t="shared" si="24"/>
        <v>49.382716049382715</v>
      </c>
      <c r="N50" s="13">
        <v>42</v>
      </c>
      <c r="O50" s="15">
        <f t="shared" ca="1" si="21"/>
        <v>0</v>
      </c>
      <c r="P50" s="2"/>
      <c r="Q50" s="2"/>
      <c r="R50" s="2"/>
      <c r="S50" s="18" t="str">
        <f t="shared" ca="1" si="25"/>
        <v/>
      </c>
      <c r="T50" s="20" t="str">
        <f t="shared" ca="1" si="26"/>
        <v/>
      </c>
      <c r="U50" s="18" t="str">
        <f t="shared" ca="1" si="27"/>
        <v/>
      </c>
      <c r="V50" s="20" t="str">
        <f t="shared" ca="1" si="28"/>
        <v/>
      </c>
      <c r="W50" s="21" t="str">
        <f t="shared" ca="1" si="29"/>
        <v/>
      </c>
      <c r="X50" s="21" t="str">
        <f t="shared" ca="1" si="22"/>
        <v/>
      </c>
      <c r="Y50" s="2"/>
      <c r="Z50" s="2"/>
    </row>
    <row r="51" spans="1:26" ht="14.25" customHeight="1" x14ac:dyDescent="0.45">
      <c r="A51" s="25"/>
      <c r="B51" s="25" t="s">
        <v>67</v>
      </c>
      <c r="C51" s="26">
        <f>SUM(C31:C50)</f>
        <v>1597</v>
      </c>
      <c r="D51" s="26">
        <f>SUM(D31:D50)</f>
        <v>518367</v>
      </c>
      <c r="E51" s="26">
        <f ca="1">SUM(E31:E50)</f>
        <v>268649</v>
      </c>
      <c r="F51" s="27">
        <f ca="1">SUM(F31:F50)</f>
        <v>249718</v>
      </c>
      <c r="G51" s="28">
        <f ca="1">IF(C51=0,"",IFERROR(F51/E51,""))</f>
        <v>0.9295325871304192</v>
      </c>
      <c r="H51" s="26">
        <f>SUM(H31:H50)</f>
        <v>3542</v>
      </c>
      <c r="I51" s="26">
        <f ca="1">SUM(I31:I50)</f>
        <v>3754</v>
      </c>
      <c r="J51" s="27">
        <f ca="1">SUM(J31:J50)</f>
        <v>-212</v>
      </c>
      <c r="K51" s="28">
        <f ca="1">IF(C51=0,"",IFERROR(J51/I51,""))</f>
        <v>-5.6473095364944062E-2</v>
      </c>
      <c r="L51" s="26">
        <f t="shared" si="23"/>
        <v>324.58797745773325</v>
      </c>
      <c r="M51" s="26">
        <f t="shared" si="24"/>
        <v>6.8329966992497599</v>
      </c>
      <c r="N51" s="26">
        <f>SUM(N31:N50)</f>
        <v>106956</v>
      </c>
      <c r="O51" s="27">
        <f ca="1">SUM(O31:O50)</f>
        <v>49</v>
      </c>
      <c r="P51" s="2"/>
      <c r="Q51" s="2"/>
      <c r="R51" s="2"/>
      <c r="S51" s="29">
        <f t="shared" ca="1" si="25"/>
        <v>5.2500614030496176E-2</v>
      </c>
      <c r="T51" s="30">
        <f t="shared" ca="1" si="26"/>
        <v>0.87703197309992298</v>
      </c>
      <c r="U51" s="29">
        <f t="shared" ca="1" si="27"/>
        <v>0.69488456315074698</v>
      </c>
      <c r="V51" s="30">
        <f t="shared" ca="1" si="28"/>
        <v>-0.75135765851569103</v>
      </c>
      <c r="W51" s="31">
        <f t="shared" ca="1" si="29"/>
        <v>42</v>
      </c>
      <c r="X51" s="31">
        <f ca="1">IF(OR(C51=0,$O51="",$W51=""),"",$O51-$W51)</f>
        <v>7</v>
      </c>
      <c r="Y51" s="2"/>
      <c r="Z51" s="2"/>
    </row>
    <row r="52" spans="1:26" ht="14.25" customHeight="1" x14ac:dyDescent="0.45">
      <c r="A52" s="12" t="s">
        <v>24</v>
      </c>
      <c r="B52" s="12" t="s">
        <v>37</v>
      </c>
      <c r="C52" s="13">
        <v>144</v>
      </c>
      <c r="D52" s="13">
        <v>78442</v>
      </c>
      <c r="E52" s="13">
        <f t="shared" ref="E52:E73" ca="1" si="30">IF($D52="","",IFERROR(IF(ISBLANK(INDIRECT("'"&amp;$Q$2&amp;"'!D"&amp;ROW())),"",INDIRECT("'"&amp;$Q$2&amp;"'!D"&amp;ROW())),""))</f>
        <v>34890</v>
      </c>
      <c r="F52" s="15">
        <f t="shared" ref="F52:F73" ca="1" si="31">IF(OR(D52="",E52=""),"",D52-E52)</f>
        <v>43552</v>
      </c>
      <c r="G52" s="16">
        <f t="shared" ref="G52:G73" ca="1" si="32">IFERROR(F52/E52,"")</f>
        <v>1.2482659787904844</v>
      </c>
      <c r="H52" s="13">
        <v>366</v>
      </c>
      <c r="I52" s="13">
        <f t="shared" ref="I52:I73" ca="1" si="33">IF($H52="","",IFERROR(IF(ISBLANK(INDIRECT("'"&amp;$Q$2&amp;"'!H"&amp;ROW())),"",INDIRECT("'"&amp;$Q$2&amp;"'!H"&amp;ROW())),""))</f>
        <v>229</v>
      </c>
      <c r="J52" s="15">
        <f t="shared" ref="J52:J73" ca="1" si="34">IF(OR(H52="",I52=""),"",H52-I52)</f>
        <v>137</v>
      </c>
      <c r="K52" s="16">
        <f t="shared" ref="K52:K73" ca="1" si="35">IFERROR(J52/I52,"")</f>
        <v>0.59825327510917026</v>
      </c>
      <c r="L52" s="13">
        <f t="shared" si="23"/>
        <v>544.73611111111109</v>
      </c>
      <c r="M52" s="13">
        <f t="shared" si="24"/>
        <v>4.6658677749164985</v>
      </c>
      <c r="N52" s="13">
        <v>11811</v>
      </c>
      <c r="O52" s="15">
        <f t="shared" ref="O52:O73" ca="1" si="36">IFERROR(IF(OR(N52="",ISBLANK(INDIRECT("'"&amp;$Q$2&amp;"'!N"&amp;ROW()))),"",N52-INDIRECT("'"&amp;$Q$2&amp;"'!N"&amp;ROW())),"")</f>
        <v>-10</v>
      </c>
      <c r="P52" s="2"/>
      <c r="Q52" s="2"/>
      <c r="R52" s="2"/>
      <c r="S52" s="18">
        <f t="shared" ca="1" si="25"/>
        <v>-0.10522401456671711</v>
      </c>
      <c r="T52" s="20">
        <f t="shared" ca="1" si="26"/>
        <v>1.3534899933572015</v>
      </c>
      <c r="U52" s="18">
        <f t="shared" ca="1" si="27"/>
        <v>0.30113636363636365</v>
      </c>
      <c r="V52" s="20">
        <f t="shared" ca="1" si="28"/>
        <v>0.29711691147280661</v>
      </c>
      <c r="W52" s="21">
        <f t="shared" ca="1" si="29"/>
        <v>-22</v>
      </c>
      <c r="X52" s="21">
        <f t="shared" ref="X52:X73" ca="1" si="37">IF(OR($O52="",$W52=""),"",$O52-$W52)</f>
        <v>12</v>
      </c>
      <c r="Y52" s="2"/>
      <c r="Z52" s="2"/>
    </row>
    <row r="53" spans="1:26" ht="14.25" customHeight="1" x14ac:dyDescent="0.45">
      <c r="A53" s="12" t="s">
        <v>24</v>
      </c>
      <c r="B53" s="12" t="s">
        <v>39</v>
      </c>
      <c r="C53" s="13">
        <v>139</v>
      </c>
      <c r="D53" s="13">
        <v>17966</v>
      </c>
      <c r="E53" s="13">
        <f t="shared" ca="1" si="30"/>
        <v>32854</v>
      </c>
      <c r="F53" s="15">
        <f t="shared" ca="1" si="31"/>
        <v>-14888</v>
      </c>
      <c r="G53" s="16">
        <f t="shared" ca="1" si="32"/>
        <v>-0.45315638887197907</v>
      </c>
      <c r="H53" s="13">
        <v>50</v>
      </c>
      <c r="I53" s="13">
        <f t="shared" ca="1" si="33"/>
        <v>36</v>
      </c>
      <c r="J53" s="15">
        <f t="shared" ca="1" si="34"/>
        <v>14</v>
      </c>
      <c r="K53" s="16">
        <f t="shared" ca="1" si="35"/>
        <v>0.3888888888888889</v>
      </c>
      <c r="L53" s="13">
        <f t="shared" si="23"/>
        <v>129.25179856115108</v>
      </c>
      <c r="M53" s="13">
        <f t="shared" si="24"/>
        <v>2.7830346209506849</v>
      </c>
      <c r="N53" s="13">
        <v>4815</v>
      </c>
      <c r="O53" s="15">
        <f t="shared" ca="1" si="36"/>
        <v>-10</v>
      </c>
      <c r="P53" s="2"/>
      <c r="Q53" s="2"/>
      <c r="R53" s="2"/>
      <c r="S53" s="18">
        <f t="shared" ca="1" si="25"/>
        <v>-0.33292725020811759</v>
      </c>
      <c r="T53" s="20">
        <f t="shared" ca="1" si="26"/>
        <v>-0.12022913866386148</v>
      </c>
      <c r="U53" s="18">
        <f t="shared" ca="1" si="27"/>
        <v>0.2</v>
      </c>
      <c r="V53" s="20">
        <f t="shared" ca="1" si="28"/>
        <v>0.18888888888888888</v>
      </c>
      <c r="W53" s="21">
        <f t="shared" ca="1" si="29"/>
        <v>-1</v>
      </c>
      <c r="X53" s="21">
        <f t="shared" ca="1" si="37"/>
        <v>-9</v>
      </c>
      <c r="Y53" s="2"/>
      <c r="Z53" s="2"/>
    </row>
    <row r="54" spans="1:26" ht="14.25" customHeight="1" x14ac:dyDescent="0.45">
      <c r="A54" s="12" t="s">
        <v>24</v>
      </c>
      <c r="B54" s="12" t="s">
        <v>42</v>
      </c>
      <c r="C54" s="13">
        <v>88</v>
      </c>
      <c r="D54" s="13">
        <v>2324</v>
      </c>
      <c r="E54" s="13">
        <f t="shared" ca="1" si="30"/>
        <v>1527</v>
      </c>
      <c r="F54" s="15">
        <f t="shared" ca="1" si="31"/>
        <v>797</v>
      </c>
      <c r="G54" s="16">
        <f t="shared" ca="1" si="32"/>
        <v>0.52193844138834311</v>
      </c>
      <c r="H54" s="13">
        <v>2</v>
      </c>
      <c r="I54" s="13">
        <f t="shared" ca="1" si="33"/>
        <v>4</v>
      </c>
      <c r="J54" s="15">
        <f t="shared" ca="1" si="34"/>
        <v>-2</v>
      </c>
      <c r="K54" s="16">
        <f t="shared" ca="1" si="35"/>
        <v>-0.5</v>
      </c>
      <c r="L54" s="13">
        <f t="shared" si="23"/>
        <v>26.40909090909091</v>
      </c>
      <c r="M54" s="13">
        <f t="shared" si="24"/>
        <v>0.86058519793459554</v>
      </c>
      <c r="N54" s="13">
        <v>876</v>
      </c>
      <c r="O54" s="15">
        <f t="shared" ca="1" si="36"/>
        <v>3</v>
      </c>
      <c r="P54" s="2"/>
      <c r="Q54" s="2"/>
      <c r="R54" s="2"/>
      <c r="S54" s="18">
        <f t="shared" ca="1" si="25"/>
        <v>-0.23878364905284147</v>
      </c>
      <c r="T54" s="20">
        <f t="shared" ca="1" si="26"/>
        <v>0.76072209044118455</v>
      </c>
      <c r="U54" s="18">
        <f t="shared" ca="1" si="27"/>
        <v>-0.33333333333333331</v>
      </c>
      <c r="V54" s="20">
        <f t="shared" ca="1" si="28"/>
        <v>-0.16666666666666669</v>
      </c>
      <c r="W54" s="21">
        <f t="shared" ca="1" si="29"/>
        <v>1</v>
      </c>
      <c r="X54" s="21">
        <f t="shared" ca="1" si="37"/>
        <v>2</v>
      </c>
      <c r="Y54" s="2"/>
      <c r="Z54" s="2"/>
    </row>
    <row r="55" spans="1:26" ht="14.25" customHeight="1" x14ac:dyDescent="0.45">
      <c r="A55" s="12" t="s">
        <v>24</v>
      </c>
      <c r="B55" s="12" t="s">
        <v>68</v>
      </c>
      <c r="C55" s="13">
        <v>7</v>
      </c>
      <c r="D55" s="13">
        <v>25402</v>
      </c>
      <c r="E55" s="13">
        <f t="shared" ca="1" si="30"/>
        <v>3759</v>
      </c>
      <c r="F55" s="15">
        <f t="shared" ca="1" si="31"/>
        <v>21643</v>
      </c>
      <c r="G55" s="16">
        <f t="shared" ca="1" si="32"/>
        <v>5.7576483107209366</v>
      </c>
      <c r="H55" s="13">
        <v>31</v>
      </c>
      <c r="I55" s="13">
        <f t="shared" ca="1" si="33"/>
        <v>18</v>
      </c>
      <c r="J55" s="15">
        <f t="shared" ca="1" si="34"/>
        <v>13</v>
      </c>
      <c r="K55" s="16">
        <f t="shared" ca="1" si="35"/>
        <v>0.72222222222222221</v>
      </c>
      <c r="L55" s="13">
        <f t="shared" si="23"/>
        <v>3628.8571428571427</v>
      </c>
      <c r="M55" s="13">
        <f t="shared" si="24"/>
        <v>1.2203763483190302</v>
      </c>
      <c r="N55" s="13">
        <v>13835</v>
      </c>
      <c r="O55" s="15">
        <f t="shared" ca="1" si="36"/>
        <v>-22</v>
      </c>
      <c r="P55" s="2"/>
      <c r="Q55" s="2"/>
      <c r="R55" s="2"/>
      <c r="S55" s="18">
        <f t="shared" ca="1" si="25"/>
        <v>-0.84109067850348762</v>
      </c>
      <c r="T55" s="20">
        <f t="shared" ca="1" si="26"/>
        <v>6.5987389892244241</v>
      </c>
      <c r="U55" s="18">
        <f t="shared" ca="1" si="27"/>
        <v>-0.18181818181818182</v>
      </c>
      <c r="V55" s="20">
        <f t="shared" ca="1" si="28"/>
        <v>0.90404040404040398</v>
      </c>
      <c r="W55" s="21">
        <f t="shared" ca="1" si="29"/>
        <v>-29</v>
      </c>
      <c r="X55" s="21">
        <f t="shared" ca="1" si="37"/>
        <v>7</v>
      </c>
      <c r="Y55" s="2"/>
      <c r="Z55" s="2"/>
    </row>
    <row r="56" spans="1:26" ht="14.25" customHeight="1" x14ac:dyDescent="0.45">
      <c r="A56" s="12" t="s">
        <v>24</v>
      </c>
      <c r="B56" s="12" t="s">
        <v>69</v>
      </c>
      <c r="C56" s="13">
        <v>7</v>
      </c>
      <c r="D56" s="13">
        <v>395</v>
      </c>
      <c r="E56" s="13">
        <f t="shared" ca="1" si="30"/>
        <v>2886</v>
      </c>
      <c r="F56" s="15">
        <f t="shared" ca="1" si="31"/>
        <v>-2491</v>
      </c>
      <c r="G56" s="16">
        <f t="shared" ca="1" si="32"/>
        <v>-0.86313236313236308</v>
      </c>
      <c r="H56" s="13">
        <v>15</v>
      </c>
      <c r="I56" s="13">
        <f t="shared" ca="1" si="33"/>
        <v>9</v>
      </c>
      <c r="J56" s="15">
        <f t="shared" ca="1" si="34"/>
        <v>6</v>
      </c>
      <c r="K56" s="16">
        <f t="shared" ca="1" si="35"/>
        <v>0.66666666666666663</v>
      </c>
      <c r="L56" s="13">
        <f t="shared" si="23"/>
        <v>56.428571428571431</v>
      </c>
      <c r="M56" s="13">
        <f t="shared" si="24"/>
        <v>37.974683544303801</v>
      </c>
      <c r="N56" s="13">
        <v>8664</v>
      </c>
      <c r="O56" s="15">
        <f t="shared" ca="1" si="36"/>
        <v>-14</v>
      </c>
      <c r="P56" s="2"/>
      <c r="Q56" s="2"/>
      <c r="R56" s="2"/>
      <c r="S56" s="18">
        <f t="shared" ca="1" si="25"/>
        <v>6.2149999999999999</v>
      </c>
      <c r="T56" s="20">
        <f t="shared" ca="1" si="26"/>
        <v>-7.0781323631323634</v>
      </c>
      <c r="U56" s="18">
        <f t="shared" ca="1" si="27"/>
        <v>2</v>
      </c>
      <c r="V56" s="20">
        <f t="shared" ca="1" si="28"/>
        <v>-1.3333333333333335</v>
      </c>
      <c r="W56" s="21">
        <f t="shared" ca="1" si="29"/>
        <v>-7</v>
      </c>
      <c r="X56" s="21">
        <f t="shared" ca="1" si="37"/>
        <v>-7</v>
      </c>
      <c r="Y56" s="2"/>
      <c r="Z56" s="2"/>
    </row>
    <row r="57" spans="1:26" ht="14.25" customHeight="1" x14ac:dyDescent="0.45">
      <c r="A57" s="12" t="s">
        <v>24</v>
      </c>
      <c r="B57" s="12" t="s">
        <v>43</v>
      </c>
      <c r="C57" s="13">
        <v>105</v>
      </c>
      <c r="D57" s="13">
        <v>116631</v>
      </c>
      <c r="E57" s="13">
        <f t="shared" ca="1" si="30"/>
        <v>87361</v>
      </c>
      <c r="F57" s="15">
        <f t="shared" ca="1" si="31"/>
        <v>29270</v>
      </c>
      <c r="G57" s="16">
        <f t="shared" ca="1" si="32"/>
        <v>0.33504653106077081</v>
      </c>
      <c r="H57" s="13">
        <v>563</v>
      </c>
      <c r="I57" s="13">
        <f t="shared" ca="1" si="33"/>
        <v>359</v>
      </c>
      <c r="J57" s="15">
        <f t="shared" ca="1" si="34"/>
        <v>204</v>
      </c>
      <c r="K57" s="16">
        <f t="shared" ca="1" si="35"/>
        <v>0.56824512534818938</v>
      </c>
      <c r="L57" s="13">
        <f t="shared" si="23"/>
        <v>1110.7714285714285</v>
      </c>
      <c r="M57" s="13">
        <f t="shared" si="24"/>
        <v>4.8271900266652947</v>
      </c>
      <c r="N57" s="13">
        <v>10928</v>
      </c>
      <c r="O57" s="15">
        <f t="shared" ca="1" si="36"/>
        <v>53</v>
      </c>
      <c r="P57" s="2"/>
      <c r="Q57" s="2"/>
      <c r="R57" s="2"/>
      <c r="S57" s="18">
        <f t="shared" ca="1" si="25"/>
        <v>0.36195123472187579</v>
      </c>
      <c r="T57" s="20">
        <f t="shared" ca="1" si="26"/>
        <v>-2.6904703661104978E-2</v>
      </c>
      <c r="U57" s="18">
        <f t="shared" ca="1" si="27"/>
        <v>0.31501831501831501</v>
      </c>
      <c r="V57" s="20">
        <f t="shared" ca="1" si="28"/>
        <v>0.25322681032987437</v>
      </c>
      <c r="W57" s="21">
        <f t="shared" ca="1" si="29"/>
        <v>12</v>
      </c>
      <c r="X57" s="21">
        <f t="shared" ca="1" si="37"/>
        <v>41</v>
      </c>
      <c r="Y57" s="2"/>
      <c r="Z57" s="2"/>
    </row>
    <row r="58" spans="1:26" ht="14.25" customHeight="1" x14ac:dyDescent="0.45">
      <c r="A58" s="12" t="s">
        <v>24</v>
      </c>
      <c r="B58" s="12" t="s">
        <v>44</v>
      </c>
      <c r="C58" s="13">
        <v>107</v>
      </c>
      <c r="D58" s="13">
        <v>21703</v>
      </c>
      <c r="E58" s="13">
        <f t="shared" ca="1" si="30"/>
        <v>25697</v>
      </c>
      <c r="F58" s="15">
        <f t="shared" ca="1" si="31"/>
        <v>-3994</v>
      </c>
      <c r="G58" s="16">
        <f t="shared" ca="1" si="32"/>
        <v>-0.15542670350624588</v>
      </c>
      <c r="H58" s="13">
        <v>293</v>
      </c>
      <c r="I58" s="13">
        <f t="shared" ca="1" si="33"/>
        <v>274</v>
      </c>
      <c r="J58" s="15">
        <f t="shared" ca="1" si="34"/>
        <v>19</v>
      </c>
      <c r="K58" s="16">
        <f t="shared" ca="1" si="35"/>
        <v>6.9343065693430656E-2</v>
      </c>
      <c r="L58" s="13">
        <f t="shared" si="23"/>
        <v>202.83177570093457</v>
      </c>
      <c r="M58" s="13">
        <f t="shared" si="24"/>
        <v>13.50043772750311</v>
      </c>
      <c r="N58" s="13">
        <v>4120</v>
      </c>
      <c r="O58" s="15">
        <f t="shared" ca="1" si="36"/>
        <v>-12</v>
      </c>
      <c r="P58" s="2"/>
      <c r="Q58" s="2"/>
      <c r="R58" s="2"/>
      <c r="S58" s="18">
        <f t="shared" ca="1" si="25"/>
        <v>0.15788762222322353</v>
      </c>
      <c r="T58" s="20">
        <f t="shared" ca="1" si="26"/>
        <v>-0.31331432572946938</v>
      </c>
      <c r="U58" s="18">
        <f t="shared" ca="1" si="27"/>
        <v>1.107011070110701E-2</v>
      </c>
      <c r="V58" s="20">
        <f t="shared" ca="1" si="28"/>
        <v>5.8272954992323642E-2</v>
      </c>
      <c r="W58" s="21">
        <f t="shared" ca="1" si="29"/>
        <v>-17</v>
      </c>
      <c r="X58" s="21">
        <f t="shared" ca="1" si="37"/>
        <v>5</v>
      </c>
      <c r="Y58" s="2"/>
      <c r="Z58" s="2"/>
    </row>
    <row r="59" spans="1:26" ht="14.25" customHeight="1" x14ac:dyDescent="0.45">
      <c r="A59" s="12" t="s">
        <v>24</v>
      </c>
      <c r="B59" s="12" t="s">
        <v>45</v>
      </c>
      <c r="C59" s="13">
        <v>99</v>
      </c>
      <c r="D59" s="13">
        <v>35309</v>
      </c>
      <c r="E59" s="13">
        <f t="shared" ca="1" si="30"/>
        <v>39791</v>
      </c>
      <c r="F59" s="15">
        <f t="shared" ca="1" si="31"/>
        <v>-4482</v>
      </c>
      <c r="G59" s="16">
        <f t="shared" ca="1" si="32"/>
        <v>-0.1126385363524415</v>
      </c>
      <c r="H59" s="13">
        <v>269</v>
      </c>
      <c r="I59" s="13">
        <f t="shared" ca="1" si="33"/>
        <v>421</v>
      </c>
      <c r="J59" s="15">
        <f t="shared" ca="1" si="34"/>
        <v>-152</v>
      </c>
      <c r="K59" s="16">
        <f t="shared" ca="1" si="35"/>
        <v>-0.36104513064133015</v>
      </c>
      <c r="L59" s="13">
        <f t="shared" si="23"/>
        <v>356.65656565656565</v>
      </c>
      <c r="M59" s="13">
        <f t="shared" si="24"/>
        <v>7.6184542184712107</v>
      </c>
      <c r="N59" s="13">
        <v>5549</v>
      </c>
      <c r="O59" s="15">
        <f t="shared" ca="1" si="36"/>
        <v>0</v>
      </c>
      <c r="P59" s="2"/>
      <c r="Q59" s="2"/>
      <c r="R59" s="2"/>
      <c r="S59" s="18">
        <f t="shared" ca="1" si="25"/>
        <v>0.30321291717158483</v>
      </c>
      <c r="T59" s="20">
        <f t="shared" ca="1" si="26"/>
        <v>-0.4158514535240263</v>
      </c>
      <c r="U59" s="18">
        <f t="shared" ca="1" si="27"/>
        <v>1.2157894736842105</v>
      </c>
      <c r="V59" s="20">
        <f t="shared" ca="1" si="28"/>
        <v>-1.5768346043255406</v>
      </c>
      <c r="W59" s="21">
        <f t="shared" ca="1" si="29"/>
        <v>-2</v>
      </c>
      <c r="X59" s="21">
        <f t="shared" ca="1" si="37"/>
        <v>2</v>
      </c>
      <c r="Y59" s="2"/>
      <c r="Z59" s="2"/>
    </row>
    <row r="60" spans="1:26" ht="14.25" customHeight="1" x14ac:dyDescent="0.45">
      <c r="A60" s="12" t="s">
        <v>24</v>
      </c>
      <c r="B60" s="12" t="s">
        <v>46</v>
      </c>
      <c r="C60" s="13">
        <v>152</v>
      </c>
      <c r="D60" s="13">
        <v>71836</v>
      </c>
      <c r="E60" s="13">
        <f t="shared" ca="1" si="30"/>
        <v>51592</v>
      </c>
      <c r="F60" s="15">
        <f t="shared" ca="1" si="31"/>
        <v>20244</v>
      </c>
      <c r="G60" s="16">
        <f t="shared" ca="1" si="32"/>
        <v>0.39238641649868194</v>
      </c>
      <c r="H60" s="13">
        <v>267</v>
      </c>
      <c r="I60" s="13">
        <f t="shared" ca="1" si="33"/>
        <v>226</v>
      </c>
      <c r="J60" s="15">
        <f t="shared" ca="1" si="34"/>
        <v>41</v>
      </c>
      <c r="K60" s="16">
        <f t="shared" ca="1" si="35"/>
        <v>0.18141592920353983</v>
      </c>
      <c r="L60" s="13">
        <f t="shared" si="23"/>
        <v>472.60526315789474</v>
      </c>
      <c r="M60" s="13">
        <f t="shared" si="24"/>
        <v>3.7167993763572582</v>
      </c>
      <c r="N60" s="13">
        <v>10447</v>
      </c>
      <c r="O60" s="15">
        <f t="shared" ca="1" si="36"/>
        <v>-12</v>
      </c>
      <c r="P60" s="2"/>
      <c r="Q60" s="2"/>
      <c r="R60" s="2"/>
      <c r="S60" s="18">
        <f t="shared" ca="1" si="25"/>
        <v>5.6282374137542737E-2</v>
      </c>
      <c r="T60" s="20">
        <f t="shared" ca="1" si="26"/>
        <v>0.33610404236113922</v>
      </c>
      <c r="U60" s="18">
        <f t="shared" ca="1" si="27"/>
        <v>0.11881188118811881</v>
      </c>
      <c r="V60" s="20">
        <f t="shared" ca="1" si="28"/>
        <v>6.2604048015421021E-2</v>
      </c>
      <c r="W60" s="21">
        <f t="shared" ca="1" si="29"/>
        <v>-27</v>
      </c>
      <c r="X60" s="21">
        <f t="shared" ca="1" si="37"/>
        <v>15</v>
      </c>
      <c r="Y60" s="2"/>
      <c r="Z60" s="2"/>
    </row>
    <row r="61" spans="1:26" ht="14.25" customHeight="1" x14ac:dyDescent="0.45">
      <c r="A61" s="12" t="s">
        <v>24</v>
      </c>
      <c r="B61" s="12" t="s">
        <v>47</v>
      </c>
      <c r="C61" s="13">
        <v>83</v>
      </c>
      <c r="D61" s="13">
        <v>10230</v>
      </c>
      <c r="E61" s="13">
        <f t="shared" ca="1" si="30"/>
        <v>8127</v>
      </c>
      <c r="F61" s="15">
        <f t="shared" ca="1" si="31"/>
        <v>2103</v>
      </c>
      <c r="G61" s="16">
        <f t="shared" ca="1" si="32"/>
        <v>0.2587670727205611</v>
      </c>
      <c r="H61" s="13">
        <v>88</v>
      </c>
      <c r="I61" s="13">
        <f t="shared" ca="1" si="33"/>
        <v>13</v>
      </c>
      <c r="J61" s="15">
        <f t="shared" ca="1" si="34"/>
        <v>75</v>
      </c>
      <c r="K61" s="16">
        <f t="shared" ca="1" si="35"/>
        <v>5.7692307692307692</v>
      </c>
      <c r="L61" s="13">
        <f t="shared" si="23"/>
        <v>123.25301204819277</v>
      </c>
      <c r="M61" s="13">
        <f t="shared" si="24"/>
        <v>8.6021505376344081</v>
      </c>
      <c r="N61" s="13">
        <v>2319</v>
      </c>
      <c r="O61" s="15">
        <f t="shared" ca="1" si="36"/>
        <v>1</v>
      </c>
      <c r="P61" s="2"/>
      <c r="Q61" s="2"/>
      <c r="R61" s="2"/>
      <c r="S61" s="18">
        <f t="shared" ca="1" si="25"/>
        <v>-0.4066583923486895</v>
      </c>
      <c r="T61" s="20">
        <f t="shared" ca="1" si="26"/>
        <v>0.6654254650692506</v>
      </c>
      <c r="U61" s="18">
        <f t="shared" ca="1" si="27"/>
        <v>-0.38095238095238093</v>
      </c>
      <c r="V61" s="20">
        <f t="shared" ca="1" si="28"/>
        <v>6.1501831501831496</v>
      </c>
      <c r="W61" s="21">
        <f t="shared" ca="1" si="29"/>
        <v>-1</v>
      </c>
      <c r="X61" s="21">
        <f t="shared" ca="1" si="37"/>
        <v>2</v>
      </c>
      <c r="Y61" s="2"/>
      <c r="Z61" s="2"/>
    </row>
    <row r="62" spans="1:26" ht="14.25" customHeight="1" x14ac:dyDescent="0.45">
      <c r="A62" s="12" t="s">
        <v>24</v>
      </c>
      <c r="B62" s="12" t="s">
        <v>48</v>
      </c>
      <c r="C62" s="13">
        <v>36</v>
      </c>
      <c r="D62" s="13">
        <v>3879</v>
      </c>
      <c r="E62" s="13">
        <f t="shared" ca="1" si="30"/>
        <v>3697</v>
      </c>
      <c r="F62" s="15">
        <f t="shared" ca="1" si="31"/>
        <v>182</v>
      </c>
      <c r="G62" s="16">
        <f t="shared" ca="1" si="32"/>
        <v>4.9229104679469837E-2</v>
      </c>
      <c r="H62" s="13">
        <v>75</v>
      </c>
      <c r="I62" s="13">
        <f t="shared" ca="1" si="33"/>
        <v>31</v>
      </c>
      <c r="J62" s="15">
        <f t="shared" ca="1" si="34"/>
        <v>44</v>
      </c>
      <c r="K62" s="16">
        <f t="shared" ca="1" si="35"/>
        <v>1.4193548387096775</v>
      </c>
      <c r="L62" s="13">
        <f t="shared" si="23"/>
        <v>107.75</v>
      </c>
      <c r="M62" s="13">
        <f t="shared" si="24"/>
        <v>19.334880123743233</v>
      </c>
      <c r="N62" s="13">
        <v>1382</v>
      </c>
      <c r="O62" s="15">
        <f t="shared" ca="1" si="36"/>
        <v>4</v>
      </c>
      <c r="P62" s="2"/>
      <c r="Q62" s="2"/>
      <c r="R62" s="2"/>
      <c r="S62" s="18">
        <f t="shared" ca="1" si="25"/>
        <v>-0.236314810989465</v>
      </c>
      <c r="T62" s="20">
        <f t="shared" ca="1" si="26"/>
        <v>0.28554391566893483</v>
      </c>
      <c r="U62" s="18">
        <f t="shared" ca="1" si="27"/>
        <v>-0.26190476190476192</v>
      </c>
      <c r="V62" s="20">
        <f t="shared" ca="1" si="28"/>
        <v>1.6812596006144394</v>
      </c>
      <c r="W62" s="21">
        <f t="shared" ca="1" si="29"/>
        <v>-3</v>
      </c>
      <c r="X62" s="21">
        <f t="shared" ca="1" si="37"/>
        <v>7</v>
      </c>
      <c r="Y62" s="2"/>
      <c r="Z62" s="2"/>
    </row>
    <row r="63" spans="1:26" ht="14.25" customHeight="1" x14ac:dyDescent="0.45">
      <c r="A63" s="12" t="s">
        <v>24</v>
      </c>
      <c r="B63" s="12" t="s">
        <v>49</v>
      </c>
      <c r="C63" s="13">
        <v>60</v>
      </c>
      <c r="D63" s="13">
        <v>21971</v>
      </c>
      <c r="E63" s="13">
        <f t="shared" ca="1" si="30"/>
        <v>31198</v>
      </c>
      <c r="F63" s="15">
        <f t="shared" ca="1" si="31"/>
        <v>-9227</v>
      </c>
      <c r="G63" s="16">
        <f t="shared" ca="1" si="32"/>
        <v>-0.29575613821398805</v>
      </c>
      <c r="H63" s="13">
        <v>114</v>
      </c>
      <c r="I63" s="13">
        <f t="shared" ca="1" si="33"/>
        <v>146</v>
      </c>
      <c r="J63" s="15">
        <f t="shared" ca="1" si="34"/>
        <v>-32</v>
      </c>
      <c r="K63" s="16">
        <f t="shared" ca="1" si="35"/>
        <v>-0.21917808219178081</v>
      </c>
      <c r="L63" s="13">
        <f t="shared" si="23"/>
        <v>366.18333333333334</v>
      </c>
      <c r="M63" s="13">
        <f t="shared" si="24"/>
        <v>5.1886577761594834</v>
      </c>
      <c r="N63" s="13">
        <v>5666</v>
      </c>
      <c r="O63" s="15">
        <f t="shared" ca="1" si="36"/>
        <v>-21</v>
      </c>
      <c r="P63" s="2"/>
      <c r="Q63" s="2"/>
      <c r="R63" s="2"/>
      <c r="S63" s="18">
        <f t="shared" ca="1" si="25"/>
        <v>0.5686846339501207</v>
      </c>
      <c r="T63" s="20">
        <f t="shared" ca="1" si="26"/>
        <v>-0.86444077216410875</v>
      </c>
      <c r="U63" s="18">
        <f t="shared" ca="1" si="27"/>
        <v>0.78048780487804881</v>
      </c>
      <c r="V63" s="20">
        <f t="shared" ca="1" si="28"/>
        <v>-0.99966588706982962</v>
      </c>
      <c r="W63" s="21">
        <f t="shared" ca="1" si="29"/>
        <v>1</v>
      </c>
      <c r="X63" s="21">
        <f t="shared" ca="1" si="37"/>
        <v>-22</v>
      </c>
      <c r="Y63" s="2"/>
      <c r="Z63" s="2"/>
    </row>
    <row r="64" spans="1:26" ht="14.25" customHeight="1" x14ac:dyDescent="0.45">
      <c r="A64" s="12" t="s">
        <v>24</v>
      </c>
      <c r="B64" s="12" t="s">
        <v>50</v>
      </c>
      <c r="C64" s="13">
        <v>34</v>
      </c>
      <c r="D64" s="13">
        <v>3879</v>
      </c>
      <c r="E64" s="13">
        <f t="shared" ca="1" si="30"/>
        <v>3175</v>
      </c>
      <c r="F64" s="15">
        <f t="shared" ca="1" si="31"/>
        <v>704</v>
      </c>
      <c r="G64" s="16">
        <f t="shared" ca="1" si="32"/>
        <v>0.22173228346456694</v>
      </c>
      <c r="H64" s="13">
        <v>4</v>
      </c>
      <c r="I64" s="13">
        <f t="shared" ca="1" si="33"/>
        <v>2</v>
      </c>
      <c r="J64" s="15">
        <f t="shared" ca="1" si="34"/>
        <v>2</v>
      </c>
      <c r="K64" s="16">
        <f t="shared" ca="1" si="35"/>
        <v>1</v>
      </c>
      <c r="L64" s="13">
        <f t="shared" si="23"/>
        <v>114.08823529411765</v>
      </c>
      <c r="M64" s="13">
        <f t="shared" si="24"/>
        <v>1.0311936065996392</v>
      </c>
      <c r="N64" s="13">
        <v>1823</v>
      </c>
      <c r="O64" s="15">
        <f t="shared" ca="1" si="36"/>
        <v>-2</v>
      </c>
      <c r="P64" s="2"/>
      <c r="Q64" s="2"/>
      <c r="R64" s="2"/>
      <c r="S64" s="18">
        <f t="shared" ca="1" si="25"/>
        <v>-0.36347233360064152</v>
      </c>
      <c r="T64" s="20">
        <f t="shared" ca="1" si="26"/>
        <v>0.58520461706520843</v>
      </c>
      <c r="U64" s="18">
        <f t="shared" ca="1" si="27"/>
        <v>-0.81818181818181823</v>
      </c>
      <c r="V64" s="20">
        <f t="shared" ca="1" si="28"/>
        <v>1.8181818181818183</v>
      </c>
      <c r="W64" s="21">
        <f t="shared" ca="1" si="29"/>
        <v>-3</v>
      </c>
      <c r="X64" s="21">
        <f t="shared" ca="1" si="37"/>
        <v>1</v>
      </c>
      <c r="Y64" s="2"/>
      <c r="Z64" s="2"/>
    </row>
    <row r="65" spans="1:26" ht="14.25" customHeight="1" x14ac:dyDescent="0.45">
      <c r="A65" s="12" t="s">
        <v>24</v>
      </c>
      <c r="B65" s="12" t="s">
        <v>51</v>
      </c>
      <c r="C65" s="13">
        <v>33</v>
      </c>
      <c r="D65" s="13">
        <v>2756</v>
      </c>
      <c r="E65" s="13">
        <f t="shared" ca="1" si="30"/>
        <v>2954</v>
      </c>
      <c r="F65" s="15">
        <f t="shared" ca="1" si="31"/>
        <v>-198</v>
      </c>
      <c r="G65" s="16">
        <f t="shared" ca="1" si="32"/>
        <v>-6.7027758970886933E-2</v>
      </c>
      <c r="H65" s="13">
        <v>5</v>
      </c>
      <c r="I65" s="13">
        <f t="shared" ca="1" si="33"/>
        <v>2</v>
      </c>
      <c r="J65" s="15">
        <f t="shared" ca="1" si="34"/>
        <v>3</v>
      </c>
      <c r="K65" s="16">
        <f t="shared" ca="1" si="35"/>
        <v>1.5</v>
      </c>
      <c r="L65" s="13">
        <f t="shared" si="23"/>
        <v>83.515151515151516</v>
      </c>
      <c r="M65" s="13">
        <f t="shared" si="24"/>
        <v>1.8142235123367199</v>
      </c>
      <c r="N65" s="13">
        <v>873</v>
      </c>
      <c r="O65" s="15">
        <f t="shared" ca="1" si="36"/>
        <v>-2</v>
      </c>
      <c r="P65" s="2"/>
      <c r="Q65" s="2"/>
      <c r="R65" s="2"/>
      <c r="S65" s="18">
        <f t="shared" ca="1" si="25"/>
        <v>0.11766931517215286</v>
      </c>
      <c r="T65" s="20">
        <f t="shared" ca="1" si="26"/>
        <v>-0.18469707414303979</v>
      </c>
      <c r="U65" s="18">
        <f t="shared" ca="1" si="27"/>
        <v>-0.88235294117647056</v>
      </c>
      <c r="V65" s="20">
        <f t="shared" ca="1" si="28"/>
        <v>2.3823529411764706</v>
      </c>
      <c r="W65" s="21">
        <f t="shared" ca="1" si="29"/>
        <v>0</v>
      </c>
      <c r="X65" s="21">
        <f t="shared" ca="1" si="37"/>
        <v>-2</v>
      </c>
      <c r="Y65" s="2"/>
      <c r="Z65" s="2"/>
    </row>
    <row r="66" spans="1:26" ht="14.25" customHeight="1" x14ac:dyDescent="0.45">
      <c r="A66" s="12" t="s">
        <v>24</v>
      </c>
      <c r="B66" s="12" t="s">
        <v>52</v>
      </c>
      <c r="C66" s="13">
        <v>53</v>
      </c>
      <c r="D66" s="13">
        <v>3491</v>
      </c>
      <c r="E66" s="13">
        <f t="shared" ca="1" si="30"/>
        <v>2452</v>
      </c>
      <c r="F66" s="15">
        <f t="shared" ca="1" si="31"/>
        <v>1039</v>
      </c>
      <c r="G66" s="16">
        <f t="shared" ca="1" si="32"/>
        <v>0.42373572593800979</v>
      </c>
      <c r="H66" s="13">
        <v>8</v>
      </c>
      <c r="I66" s="13">
        <f t="shared" ca="1" si="33"/>
        <v>1</v>
      </c>
      <c r="J66" s="15">
        <f t="shared" ca="1" si="34"/>
        <v>7</v>
      </c>
      <c r="K66" s="16">
        <f t="shared" ca="1" si="35"/>
        <v>7</v>
      </c>
      <c r="L66" s="13">
        <f t="shared" si="23"/>
        <v>65.867924528301884</v>
      </c>
      <c r="M66" s="13">
        <f t="shared" si="24"/>
        <v>2.2916069894013176</v>
      </c>
      <c r="N66" s="13">
        <v>853</v>
      </c>
      <c r="O66" s="15">
        <f t="shared" ca="1" si="36"/>
        <v>-2</v>
      </c>
      <c r="P66" s="2"/>
      <c r="Q66" s="2"/>
      <c r="R66" s="2"/>
      <c r="S66" s="18">
        <f t="shared" ca="1" si="25"/>
        <v>-0.29641319942611188</v>
      </c>
      <c r="T66" s="20">
        <f t="shared" ca="1" si="26"/>
        <v>0.72014892536412167</v>
      </c>
      <c r="U66" s="18">
        <f t="shared" ca="1" si="27"/>
        <v>-0.8</v>
      </c>
      <c r="V66" s="20">
        <f t="shared" ca="1" si="28"/>
        <v>7.8</v>
      </c>
      <c r="W66" s="21">
        <f t="shared" ca="1" si="29"/>
        <v>-8</v>
      </c>
      <c r="X66" s="21">
        <f t="shared" ca="1" si="37"/>
        <v>6</v>
      </c>
      <c r="Y66" s="2"/>
      <c r="Z66" s="2"/>
    </row>
    <row r="67" spans="1:26" ht="14.25" customHeight="1" x14ac:dyDescent="0.45">
      <c r="A67" s="12" t="s">
        <v>24</v>
      </c>
      <c r="B67" s="12" t="s">
        <v>53</v>
      </c>
      <c r="C67" s="13">
        <v>33</v>
      </c>
      <c r="D67" s="13">
        <v>3794</v>
      </c>
      <c r="E67" s="13">
        <f t="shared" ca="1" si="30"/>
        <v>31476</v>
      </c>
      <c r="F67" s="15">
        <f t="shared" ca="1" si="31"/>
        <v>-27682</v>
      </c>
      <c r="G67" s="16">
        <f t="shared" ca="1" si="32"/>
        <v>-0.87946371838861359</v>
      </c>
      <c r="H67" s="13">
        <v>17</v>
      </c>
      <c r="I67" s="13">
        <f t="shared" ca="1" si="33"/>
        <v>26</v>
      </c>
      <c r="J67" s="15">
        <f t="shared" ca="1" si="34"/>
        <v>-9</v>
      </c>
      <c r="K67" s="16">
        <f t="shared" ca="1" si="35"/>
        <v>-0.34615384615384615</v>
      </c>
      <c r="L67" s="13">
        <f t="shared" ref="L67:L97" si="38">IFERROR(D67/C67,"")</f>
        <v>114.96969696969697</v>
      </c>
      <c r="M67" s="13">
        <f t="shared" ref="M67:M97" si="39">IFERROR(H67/D67*1000,"")</f>
        <v>4.4807590933052186</v>
      </c>
      <c r="N67" s="13">
        <v>1171</v>
      </c>
      <c r="O67" s="15">
        <f t="shared" ca="1" si="36"/>
        <v>-6</v>
      </c>
      <c r="P67" s="2"/>
      <c r="Q67" s="2"/>
      <c r="R67" s="2"/>
      <c r="S67" s="18">
        <f t="shared" ref="S67:S97" ca="1" si="40">IFERROR(IF(ISBLANK(INDIRECT("'"&amp;$Q$2&amp;"'!G"&amp;ROW())),"",INDIRECT("'"&amp;$Q$2&amp;"'!G"&amp;ROW())),"")</f>
        <v>4.1188811188811192</v>
      </c>
      <c r="T67" s="20">
        <f t="shared" ref="T67:T97" ca="1" si="41">IF(OR($G67="",$S67=""),"",$G67-$S67)</f>
        <v>-4.998344837269733</v>
      </c>
      <c r="U67" s="18">
        <f t="shared" ref="U67:U97" ca="1" si="42">IFERROR(IF(ISBLANK(INDIRECT("'"&amp;$Q$2&amp;"'!K"&amp;ROW())),"",INDIRECT("'"&amp;$Q$2&amp;"'!K"&amp;ROW())),"")</f>
        <v>-0.23529411764705882</v>
      </c>
      <c r="V67" s="20">
        <f t="shared" ref="V67:V97" ca="1" si="43">IF(OR($K67="",$U67=""),"",$K67-$U67)</f>
        <v>-0.11085972850678733</v>
      </c>
      <c r="W67" s="21">
        <f t="shared" ref="W67:W97" ca="1" si="44">IFERROR(IF(ISBLANK(INDIRECT("'"&amp;$Q$2&amp;"'!O"&amp;ROW())),"",INDIRECT("'"&amp;$Q$2&amp;"'!O"&amp;ROW())),"")</f>
        <v>-2</v>
      </c>
      <c r="X67" s="21">
        <f t="shared" ca="1" si="37"/>
        <v>-4</v>
      </c>
      <c r="Y67" s="2"/>
      <c r="Z67" s="2"/>
    </row>
    <row r="68" spans="1:26" ht="14.25" customHeight="1" x14ac:dyDescent="0.45">
      <c r="A68" s="12" t="s">
        <v>24</v>
      </c>
      <c r="B68" s="12" t="s">
        <v>54</v>
      </c>
      <c r="C68" s="13">
        <v>52</v>
      </c>
      <c r="D68" s="13">
        <v>17741</v>
      </c>
      <c r="E68" s="13">
        <f t="shared" ca="1" si="30"/>
        <v>22747</v>
      </c>
      <c r="F68" s="15">
        <f t="shared" ca="1" si="31"/>
        <v>-5006</v>
      </c>
      <c r="G68" s="16">
        <f t="shared" ca="1" si="32"/>
        <v>-0.22007297665626235</v>
      </c>
      <c r="H68" s="13">
        <v>98</v>
      </c>
      <c r="I68" s="13">
        <f t="shared" ca="1" si="33"/>
        <v>112</v>
      </c>
      <c r="J68" s="15">
        <f t="shared" ca="1" si="34"/>
        <v>-14</v>
      </c>
      <c r="K68" s="16">
        <f t="shared" ca="1" si="35"/>
        <v>-0.125</v>
      </c>
      <c r="L68" s="13">
        <f t="shared" si="38"/>
        <v>341.17307692307691</v>
      </c>
      <c r="M68" s="13">
        <f t="shared" si="39"/>
        <v>5.5239276252747871</v>
      </c>
      <c r="N68" s="13">
        <v>4423</v>
      </c>
      <c r="O68" s="15">
        <f t="shared" ca="1" si="36"/>
        <v>2</v>
      </c>
      <c r="P68" s="2"/>
      <c r="Q68" s="2"/>
      <c r="R68" s="2"/>
      <c r="S68" s="18">
        <f t="shared" ca="1" si="40"/>
        <v>0.14802664782477037</v>
      </c>
      <c r="T68" s="20">
        <f t="shared" ca="1" si="41"/>
        <v>-0.36809962448103273</v>
      </c>
      <c r="U68" s="18">
        <f t="shared" ca="1" si="42"/>
        <v>0.57746478873239437</v>
      </c>
      <c r="V68" s="20">
        <f t="shared" ca="1" si="43"/>
        <v>-0.70246478873239437</v>
      </c>
      <c r="W68" s="21">
        <f t="shared" ca="1" si="44"/>
        <v>-4</v>
      </c>
      <c r="X68" s="21">
        <f t="shared" ca="1" si="37"/>
        <v>6</v>
      </c>
      <c r="Y68" s="2"/>
      <c r="Z68" s="2"/>
    </row>
    <row r="69" spans="1:26" ht="14.25" customHeight="1" x14ac:dyDescent="0.45">
      <c r="A69" s="12" t="s">
        <v>24</v>
      </c>
      <c r="B69" s="12" t="s">
        <v>55</v>
      </c>
      <c r="C69" s="13">
        <v>59</v>
      </c>
      <c r="D69" s="13">
        <v>27146</v>
      </c>
      <c r="E69" s="13">
        <f t="shared" ca="1" si="30"/>
        <v>30498</v>
      </c>
      <c r="F69" s="15">
        <f t="shared" ca="1" si="31"/>
        <v>-3352</v>
      </c>
      <c r="G69" s="16">
        <f t="shared" ca="1" si="32"/>
        <v>-0.1099088464817365</v>
      </c>
      <c r="H69" s="13">
        <v>265</v>
      </c>
      <c r="I69" s="13">
        <f t="shared" ca="1" si="33"/>
        <v>282</v>
      </c>
      <c r="J69" s="15">
        <f t="shared" ca="1" si="34"/>
        <v>-17</v>
      </c>
      <c r="K69" s="16">
        <f t="shared" ca="1" si="35"/>
        <v>-6.0283687943262408E-2</v>
      </c>
      <c r="L69" s="13">
        <f t="shared" si="38"/>
        <v>460.10169491525426</v>
      </c>
      <c r="M69" s="13">
        <f t="shared" si="39"/>
        <v>9.7620275547041917</v>
      </c>
      <c r="N69" s="13">
        <v>5528</v>
      </c>
      <c r="O69" s="15">
        <f t="shared" ca="1" si="36"/>
        <v>-22</v>
      </c>
      <c r="P69" s="2"/>
      <c r="Q69" s="2"/>
      <c r="R69" s="2"/>
      <c r="S69" s="18">
        <f t="shared" ca="1" si="40"/>
        <v>-0.45088224702916818</v>
      </c>
      <c r="T69" s="20">
        <f t="shared" ca="1" si="41"/>
        <v>0.34097340054743169</v>
      </c>
      <c r="U69" s="18">
        <f t="shared" ca="1" si="42"/>
        <v>-0.34722222222222221</v>
      </c>
      <c r="V69" s="20">
        <f t="shared" ca="1" si="43"/>
        <v>0.28693853427895982</v>
      </c>
      <c r="W69" s="21">
        <f t="shared" ca="1" si="44"/>
        <v>-20</v>
      </c>
      <c r="X69" s="21">
        <f t="shared" ca="1" si="37"/>
        <v>-2</v>
      </c>
      <c r="Y69" s="2"/>
      <c r="Z69" s="2"/>
    </row>
    <row r="70" spans="1:26" ht="14.25" customHeight="1" x14ac:dyDescent="0.45">
      <c r="A70" s="12" t="s">
        <v>24</v>
      </c>
      <c r="B70" s="12" t="s">
        <v>62</v>
      </c>
      <c r="C70" s="13">
        <v>228</v>
      </c>
      <c r="D70" s="13">
        <v>3933</v>
      </c>
      <c r="E70" s="13">
        <f t="shared" ca="1" si="30"/>
        <v>3812</v>
      </c>
      <c r="F70" s="15">
        <f t="shared" ca="1" si="31"/>
        <v>121</v>
      </c>
      <c r="G70" s="16">
        <f t="shared" ca="1" si="32"/>
        <v>3.174186778593914E-2</v>
      </c>
      <c r="H70" s="13">
        <v>2</v>
      </c>
      <c r="I70" s="13">
        <f t="shared" ca="1" si="33"/>
        <v>0</v>
      </c>
      <c r="J70" s="15">
        <f t="shared" ca="1" si="34"/>
        <v>2</v>
      </c>
      <c r="K70" s="16" t="str">
        <f t="shared" ca="1" si="35"/>
        <v/>
      </c>
      <c r="L70" s="13">
        <f t="shared" si="38"/>
        <v>17.25</v>
      </c>
      <c r="M70" s="13">
        <f t="shared" si="39"/>
        <v>0.50851767098906686</v>
      </c>
      <c r="N70" s="13">
        <v>692</v>
      </c>
      <c r="O70" s="15">
        <f t="shared" ca="1" si="36"/>
        <v>-1</v>
      </c>
      <c r="P70" s="2"/>
      <c r="Q70" s="2"/>
      <c r="R70" s="2"/>
      <c r="S70" s="18">
        <f t="shared" ca="1" si="40"/>
        <v>6.3022866703848296E-2</v>
      </c>
      <c r="T70" s="20">
        <f t="shared" ca="1" si="41"/>
        <v>-3.1280998917909156E-2</v>
      </c>
      <c r="U70" s="18">
        <f t="shared" ca="1" si="42"/>
        <v>-1</v>
      </c>
      <c r="V70" s="20" t="str">
        <f t="shared" ca="1" si="43"/>
        <v/>
      </c>
      <c r="W70" s="21">
        <f t="shared" ca="1" si="44"/>
        <v>-1</v>
      </c>
      <c r="X70" s="21">
        <f t="shared" ca="1" si="37"/>
        <v>0</v>
      </c>
      <c r="Y70" s="2"/>
      <c r="Z70" s="2"/>
    </row>
    <row r="71" spans="1:26" ht="14.25" customHeight="1" x14ac:dyDescent="0.45">
      <c r="A71" s="12" t="s">
        <v>24</v>
      </c>
      <c r="B71" s="12" t="s">
        <v>56</v>
      </c>
      <c r="C71" s="13">
        <v>29</v>
      </c>
      <c r="D71" s="13">
        <v>7225</v>
      </c>
      <c r="E71" s="13">
        <f t="shared" ca="1" si="30"/>
        <v>7786</v>
      </c>
      <c r="F71" s="15">
        <f t="shared" ca="1" si="31"/>
        <v>-561</v>
      </c>
      <c r="G71" s="16">
        <f t="shared" ca="1" si="32"/>
        <v>-7.2052401746724892E-2</v>
      </c>
      <c r="H71" s="13">
        <v>595</v>
      </c>
      <c r="I71" s="13">
        <f t="shared" ca="1" si="33"/>
        <v>704</v>
      </c>
      <c r="J71" s="15">
        <f t="shared" ca="1" si="34"/>
        <v>-109</v>
      </c>
      <c r="K71" s="16">
        <f t="shared" ca="1" si="35"/>
        <v>-0.15482954545454544</v>
      </c>
      <c r="L71" s="13">
        <f t="shared" si="38"/>
        <v>249.13793103448276</v>
      </c>
      <c r="M71" s="13">
        <f t="shared" si="39"/>
        <v>82.352941176470594</v>
      </c>
      <c r="N71" s="13">
        <v>2497</v>
      </c>
      <c r="O71" s="15">
        <f t="shared" ca="1" si="36"/>
        <v>-8</v>
      </c>
      <c r="P71" s="2"/>
      <c r="Q71" s="2"/>
      <c r="R71" s="2"/>
      <c r="S71" s="18">
        <f t="shared" ca="1" si="40"/>
        <v>7.6901798063623794E-2</v>
      </c>
      <c r="T71" s="20">
        <f t="shared" ca="1" si="41"/>
        <v>-0.14895419981034869</v>
      </c>
      <c r="U71" s="18">
        <f t="shared" ca="1" si="42"/>
        <v>0.3037037037037037</v>
      </c>
      <c r="V71" s="20">
        <f t="shared" ca="1" si="43"/>
        <v>-0.45853324915824911</v>
      </c>
      <c r="W71" s="21">
        <f t="shared" ca="1" si="44"/>
        <v>-1</v>
      </c>
      <c r="X71" s="21">
        <f t="shared" ca="1" si="37"/>
        <v>-7</v>
      </c>
      <c r="Y71" s="2"/>
      <c r="Z71" s="2"/>
    </row>
    <row r="72" spans="1:26" ht="14.25" customHeight="1" x14ac:dyDescent="0.45">
      <c r="A72" s="12" t="s">
        <v>24</v>
      </c>
      <c r="B72" s="12" t="s">
        <v>61</v>
      </c>
      <c r="C72" s="13">
        <v>8</v>
      </c>
      <c r="D72" s="13">
        <v>800</v>
      </c>
      <c r="E72" s="13">
        <f t="shared" ca="1" si="30"/>
        <v>175</v>
      </c>
      <c r="F72" s="15">
        <f t="shared" ca="1" si="31"/>
        <v>625</v>
      </c>
      <c r="G72" s="16">
        <f t="shared" ca="1" si="32"/>
        <v>3.5714285714285716</v>
      </c>
      <c r="H72" s="13">
        <v>50</v>
      </c>
      <c r="I72" s="13">
        <f t="shared" ca="1" si="33"/>
        <v>20</v>
      </c>
      <c r="J72" s="15">
        <f t="shared" ca="1" si="34"/>
        <v>30</v>
      </c>
      <c r="K72" s="16">
        <f t="shared" ca="1" si="35"/>
        <v>1.5</v>
      </c>
      <c r="L72" s="13">
        <f t="shared" si="38"/>
        <v>100</v>
      </c>
      <c r="M72" s="13">
        <f t="shared" si="39"/>
        <v>62.5</v>
      </c>
      <c r="N72" s="13">
        <v>173</v>
      </c>
      <c r="O72" s="15">
        <f t="shared" ca="1" si="36"/>
        <v>0</v>
      </c>
      <c r="P72" s="2"/>
      <c r="Q72" s="2"/>
      <c r="R72" s="2"/>
      <c r="S72" s="18">
        <f t="shared" ca="1" si="40"/>
        <v>6.7073170731707321E-2</v>
      </c>
      <c r="T72" s="20">
        <f t="shared" ca="1" si="41"/>
        <v>3.5043554006968645</v>
      </c>
      <c r="U72" s="18">
        <f t="shared" ca="1" si="42"/>
        <v>-0.16666666666666666</v>
      </c>
      <c r="V72" s="20">
        <f t="shared" ca="1" si="43"/>
        <v>1.6666666666666667</v>
      </c>
      <c r="W72" s="21">
        <f t="shared" ca="1" si="44"/>
        <v>1</v>
      </c>
      <c r="X72" s="21">
        <f t="shared" ca="1" si="37"/>
        <v>-1</v>
      </c>
      <c r="Y72" s="2"/>
      <c r="Z72" s="2"/>
    </row>
    <row r="73" spans="1:26" ht="14.25" customHeight="1" x14ac:dyDescent="0.45">
      <c r="A73" s="12" t="s">
        <v>24</v>
      </c>
      <c r="B73" s="12" t="s">
        <v>65</v>
      </c>
      <c r="C73" s="13">
        <v>6</v>
      </c>
      <c r="D73" s="13">
        <v>120</v>
      </c>
      <c r="E73" s="13">
        <f t="shared" ca="1" si="30"/>
        <v>2841</v>
      </c>
      <c r="F73" s="15">
        <f t="shared" ca="1" si="31"/>
        <v>-2721</v>
      </c>
      <c r="G73" s="16">
        <f t="shared" ca="1" si="32"/>
        <v>-0.95776135163674758</v>
      </c>
      <c r="H73" s="13">
        <v>18</v>
      </c>
      <c r="I73" s="13">
        <f t="shared" ca="1" si="33"/>
        <v>44</v>
      </c>
      <c r="J73" s="15">
        <f t="shared" ca="1" si="34"/>
        <v>-26</v>
      </c>
      <c r="K73" s="16">
        <f t="shared" ca="1" si="35"/>
        <v>-0.59090909090909094</v>
      </c>
      <c r="L73" s="13">
        <f t="shared" si="38"/>
        <v>20</v>
      </c>
      <c r="M73" s="13">
        <f t="shared" si="39"/>
        <v>150</v>
      </c>
      <c r="N73" s="13">
        <v>53</v>
      </c>
      <c r="O73" s="15">
        <f t="shared" ca="1" si="36"/>
        <v>0</v>
      </c>
      <c r="P73" s="2"/>
      <c r="Q73" s="2"/>
      <c r="R73" s="2"/>
      <c r="S73" s="18">
        <f t="shared" ca="1" si="40"/>
        <v>1.4768962510897994</v>
      </c>
      <c r="T73" s="20">
        <f t="shared" ca="1" si="41"/>
        <v>-2.434657602726547</v>
      </c>
      <c r="U73" s="18">
        <f t="shared" ca="1" si="42"/>
        <v>0.22222222222222221</v>
      </c>
      <c r="V73" s="20">
        <f t="shared" ca="1" si="43"/>
        <v>-0.81313131313131315</v>
      </c>
      <c r="W73" s="21">
        <f t="shared" ca="1" si="44"/>
        <v>4</v>
      </c>
      <c r="X73" s="21">
        <f t="shared" ca="1" si="37"/>
        <v>-4</v>
      </c>
      <c r="Y73" s="2"/>
      <c r="Z73" s="2"/>
    </row>
    <row r="74" spans="1:26" ht="14.25" customHeight="1" x14ac:dyDescent="0.45">
      <c r="A74" s="25"/>
      <c r="B74" s="25" t="s">
        <v>70</v>
      </c>
      <c r="C74" s="26">
        <f>SUM(C52:C73)</f>
        <v>1562</v>
      </c>
      <c r="D74" s="26">
        <f>SUM(D52:D73)</f>
        <v>476973</v>
      </c>
      <c r="E74" s="26">
        <f ca="1">SUM(E52:E73)</f>
        <v>431295</v>
      </c>
      <c r="F74" s="27">
        <f ca="1">SUM(F52:F73)</f>
        <v>45678</v>
      </c>
      <c r="G74" s="28">
        <f ca="1">IF(C74=0,"",IFERROR(F74/E74,""))</f>
        <v>0.10590894863144715</v>
      </c>
      <c r="H74" s="26">
        <f>SUM(H52:H73)</f>
        <v>3195</v>
      </c>
      <c r="I74" s="26">
        <f ca="1">SUM(I52:I73)</f>
        <v>2959</v>
      </c>
      <c r="J74" s="27">
        <f ca="1">SUM(J52:J73)</f>
        <v>236</v>
      </c>
      <c r="K74" s="28">
        <f ca="1">IF(C74=0,"",IFERROR(J74/I74,""))</f>
        <v>7.975667455221358E-2</v>
      </c>
      <c r="L74" s="26">
        <f t="shared" si="38"/>
        <v>305.36043533930859</v>
      </c>
      <c r="M74" s="26">
        <f t="shared" si="39"/>
        <v>6.6984923674924994</v>
      </c>
      <c r="N74" s="26">
        <f>SUM(N52:N73)</f>
        <v>98498</v>
      </c>
      <c r="O74" s="27">
        <f ca="1">SUM(O52:O73)</f>
        <v>-81</v>
      </c>
      <c r="P74" s="2"/>
      <c r="Q74" s="2"/>
      <c r="R74" s="2"/>
      <c r="S74" s="29">
        <f t="shared" ca="1" si="40"/>
        <v>1.9152153878872376E-2</v>
      </c>
      <c r="T74" s="30">
        <f t="shared" ca="1" si="41"/>
        <v>8.6756794752574778E-2</v>
      </c>
      <c r="U74" s="29">
        <f t="shared" ca="1" si="42"/>
        <v>0.18835341365461847</v>
      </c>
      <c r="V74" s="30">
        <f t="shared" ca="1" si="43"/>
        <v>-0.10859673910240489</v>
      </c>
      <c r="W74" s="31">
        <f t="shared" ca="1" si="44"/>
        <v>-129</v>
      </c>
      <c r="X74" s="31">
        <f ca="1">IF(OR(C74=0,$O74="",$W74=""),"",$O74-$W74)</f>
        <v>48</v>
      </c>
      <c r="Y74" s="2"/>
      <c r="Z74" s="2"/>
    </row>
    <row r="75" spans="1:26" ht="14.25" customHeight="1" x14ac:dyDescent="0.45">
      <c r="A75" s="12" t="s">
        <v>25</v>
      </c>
      <c r="B75" s="12" t="s">
        <v>37</v>
      </c>
      <c r="C75" s="13">
        <v>147</v>
      </c>
      <c r="D75" s="13">
        <v>148551</v>
      </c>
      <c r="E75" s="13">
        <f t="shared" ref="E75:E95" ca="1" si="45">IF($D75="","",IFERROR(IF(ISBLANK(INDIRECT("'"&amp;$Q$2&amp;"'!D"&amp;ROW())),"",INDIRECT("'"&amp;$Q$2&amp;"'!D"&amp;ROW())),""))</f>
        <v>135695</v>
      </c>
      <c r="F75" s="15">
        <f t="shared" ref="F75:F95" ca="1" si="46">IF(OR(D75="",E75=""),"",D75-E75)</f>
        <v>12856</v>
      </c>
      <c r="G75" s="16">
        <f t="shared" ref="G75:G95" ca="1" si="47">IFERROR(F75/E75,"")</f>
        <v>9.4741884373042484E-2</v>
      </c>
      <c r="H75" s="13">
        <v>1780</v>
      </c>
      <c r="I75" s="13">
        <f t="shared" ref="I75:I95" ca="1" si="48">IF($H75="","",IFERROR(IF(ISBLANK(INDIRECT("'"&amp;$Q$2&amp;"'!H"&amp;ROW())),"",INDIRECT("'"&amp;$Q$2&amp;"'!H"&amp;ROW())),""))</f>
        <v>1301</v>
      </c>
      <c r="J75" s="15">
        <f t="shared" ref="J75:J95" ca="1" si="49">IF(OR(H75="",I75=""),"",H75-I75)</f>
        <v>479</v>
      </c>
      <c r="K75" s="16">
        <f t="shared" ref="K75:K95" ca="1" si="50">IFERROR(J75/I75,"")</f>
        <v>0.36817832436587239</v>
      </c>
      <c r="L75" s="13">
        <f t="shared" si="38"/>
        <v>1010.5510204081633</v>
      </c>
      <c r="M75" s="13">
        <f t="shared" si="39"/>
        <v>11.982416813081029</v>
      </c>
      <c r="N75" s="13">
        <v>4281</v>
      </c>
      <c r="O75" s="15">
        <f t="shared" ref="O75:O95" ca="1" si="51">IFERROR(IF(OR(N75="",ISBLANK(INDIRECT("'"&amp;$Q$2&amp;"'!N"&amp;ROW()))),"",N75-INDIRECT("'"&amp;$Q$2&amp;"'!N"&amp;ROW())),"")</f>
        <v>93</v>
      </c>
      <c r="P75" s="2"/>
      <c r="Q75" s="2"/>
      <c r="R75" s="2"/>
      <c r="S75" s="18">
        <f t="shared" ca="1" si="40"/>
        <v>-4.0943401560556369E-2</v>
      </c>
      <c r="T75" s="20">
        <f t="shared" ca="1" si="41"/>
        <v>0.13568528593359885</v>
      </c>
      <c r="U75" s="18" t="str">
        <f t="shared" ca="1" si="42"/>
        <v/>
      </c>
      <c r="V75" s="20" t="str">
        <f t="shared" ca="1" si="43"/>
        <v/>
      </c>
      <c r="W75" s="21">
        <f t="shared" ca="1" si="44"/>
        <v>53</v>
      </c>
      <c r="X75" s="21">
        <f t="shared" ref="X75:X95" ca="1" si="52">IF(OR($O75="",$W75=""),"",$O75-$W75)</f>
        <v>40</v>
      </c>
      <c r="Y75" s="2"/>
      <c r="Z75" s="2"/>
    </row>
    <row r="76" spans="1:26" ht="14.25" customHeight="1" x14ac:dyDescent="0.45">
      <c r="A76" s="12" t="s">
        <v>25</v>
      </c>
      <c r="B76" s="12" t="s">
        <v>39</v>
      </c>
      <c r="C76" s="13">
        <v>149</v>
      </c>
      <c r="D76" s="13">
        <v>70047</v>
      </c>
      <c r="E76" s="13">
        <f t="shared" ca="1" si="45"/>
        <v>60348</v>
      </c>
      <c r="F76" s="15">
        <f t="shared" ca="1" si="46"/>
        <v>9699</v>
      </c>
      <c r="G76" s="16">
        <f t="shared" ca="1" si="47"/>
        <v>0.16071783654802146</v>
      </c>
      <c r="H76" s="13">
        <v>295</v>
      </c>
      <c r="I76" s="13">
        <f t="shared" ca="1" si="48"/>
        <v>235</v>
      </c>
      <c r="J76" s="15">
        <f t="shared" ca="1" si="49"/>
        <v>60</v>
      </c>
      <c r="K76" s="16">
        <f t="shared" ca="1" si="50"/>
        <v>0.25531914893617019</v>
      </c>
      <c r="L76" s="13">
        <f t="shared" si="38"/>
        <v>470.11409395973152</v>
      </c>
      <c r="M76" s="13">
        <f t="shared" si="39"/>
        <v>4.2114580210430139</v>
      </c>
      <c r="N76" s="13">
        <v>2221</v>
      </c>
      <c r="O76" s="15">
        <f t="shared" ca="1" si="51"/>
        <v>14</v>
      </c>
      <c r="P76" s="2"/>
      <c r="Q76" s="2"/>
      <c r="R76" s="2"/>
      <c r="S76" s="18">
        <f t="shared" ca="1" si="40"/>
        <v>-0.1239566246171266</v>
      </c>
      <c r="T76" s="20">
        <f t="shared" ca="1" si="41"/>
        <v>0.28467446116514805</v>
      </c>
      <c r="U76" s="18" t="str">
        <f t="shared" ca="1" si="42"/>
        <v/>
      </c>
      <c r="V76" s="20" t="str">
        <f t="shared" ca="1" si="43"/>
        <v/>
      </c>
      <c r="W76" s="21">
        <f t="shared" ca="1" si="44"/>
        <v>8</v>
      </c>
      <c r="X76" s="21">
        <f t="shared" ca="1" si="52"/>
        <v>6</v>
      </c>
      <c r="Y76" s="2"/>
      <c r="Z76" s="2"/>
    </row>
    <row r="77" spans="1:26" ht="14.25" customHeight="1" x14ac:dyDescent="0.45">
      <c r="A77" s="12" t="s">
        <v>25</v>
      </c>
      <c r="B77" s="12" t="s">
        <v>42</v>
      </c>
      <c r="C77" s="13">
        <v>88</v>
      </c>
      <c r="D77" s="13">
        <v>6026</v>
      </c>
      <c r="E77" s="13">
        <f t="shared" ca="1" si="45"/>
        <v>4997</v>
      </c>
      <c r="F77" s="15">
        <f t="shared" ca="1" si="46"/>
        <v>1029</v>
      </c>
      <c r="G77" s="16">
        <f t="shared" ca="1" si="47"/>
        <v>0.20592355413247948</v>
      </c>
      <c r="H77" s="13">
        <v>13</v>
      </c>
      <c r="I77" s="13">
        <f t="shared" ca="1" si="48"/>
        <v>9</v>
      </c>
      <c r="J77" s="15">
        <f t="shared" ca="1" si="49"/>
        <v>4</v>
      </c>
      <c r="K77" s="16">
        <f t="shared" ca="1" si="50"/>
        <v>0.44444444444444442</v>
      </c>
      <c r="L77" s="13">
        <f t="shared" si="38"/>
        <v>68.477272727272734</v>
      </c>
      <c r="M77" s="13">
        <f t="shared" si="39"/>
        <v>2.1573182874211749</v>
      </c>
      <c r="N77" s="13">
        <v>270</v>
      </c>
      <c r="O77" s="15">
        <f t="shared" ca="1" si="51"/>
        <v>3</v>
      </c>
      <c r="P77" s="2"/>
      <c r="Q77" s="2"/>
      <c r="R77" s="2"/>
      <c r="S77" s="18">
        <f t="shared" ca="1" si="40"/>
        <v>-0.22454996896337678</v>
      </c>
      <c r="T77" s="20">
        <f t="shared" ca="1" si="41"/>
        <v>0.43047352309585629</v>
      </c>
      <c r="U77" s="18" t="str">
        <f t="shared" ca="1" si="42"/>
        <v/>
      </c>
      <c r="V77" s="20" t="str">
        <f t="shared" ca="1" si="43"/>
        <v/>
      </c>
      <c r="W77" s="21">
        <f t="shared" ca="1" si="44"/>
        <v>4</v>
      </c>
      <c r="X77" s="21">
        <f t="shared" ca="1" si="52"/>
        <v>-1</v>
      </c>
      <c r="Y77" s="2"/>
      <c r="Z77" s="2"/>
    </row>
    <row r="78" spans="1:26" ht="14.25" customHeight="1" x14ac:dyDescent="0.45">
      <c r="A78" s="12" t="s">
        <v>25</v>
      </c>
      <c r="B78" s="12" t="s">
        <v>68</v>
      </c>
      <c r="C78" s="13">
        <v>5</v>
      </c>
      <c r="D78" s="13">
        <v>6796</v>
      </c>
      <c r="E78" s="13">
        <f t="shared" ca="1" si="45"/>
        <v>984</v>
      </c>
      <c r="F78" s="15">
        <f t="shared" ca="1" si="46"/>
        <v>5812</v>
      </c>
      <c r="G78" s="16">
        <f t="shared" ca="1" si="47"/>
        <v>5.9065040650406502</v>
      </c>
      <c r="H78" s="13">
        <v>20</v>
      </c>
      <c r="I78" s="13">
        <f t="shared" ca="1" si="48"/>
        <v>17</v>
      </c>
      <c r="J78" s="15">
        <f t="shared" ca="1" si="49"/>
        <v>3</v>
      </c>
      <c r="K78" s="16">
        <f t="shared" ca="1" si="50"/>
        <v>0.17647058823529413</v>
      </c>
      <c r="L78" s="13">
        <f t="shared" si="38"/>
        <v>1359.2</v>
      </c>
      <c r="M78" s="13">
        <f t="shared" si="39"/>
        <v>2.9429075927015891</v>
      </c>
      <c r="N78" s="13">
        <v>207</v>
      </c>
      <c r="O78" s="15">
        <f t="shared" ca="1" si="51"/>
        <v>13</v>
      </c>
      <c r="P78" s="2"/>
      <c r="Q78" s="2"/>
      <c r="R78" s="2"/>
      <c r="S78" s="18">
        <f t="shared" ca="1" si="40"/>
        <v>0.21481481481481482</v>
      </c>
      <c r="T78" s="20">
        <f t="shared" ca="1" si="41"/>
        <v>5.6916892502258349</v>
      </c>
      <c r="U78" s="18" t="str">
        <f t="shared" ca="1" si="42"/>
        <v/>
      </c>
      <c r="V78" s="20" t="str">
        <f t="shared" ca="1" si="43"/>
        <v/>
      </c>
      <c r="W78" s="21">
        <f t="shared" ca="1" si="44"/>
        <v>9</v>
      </c>
      <c r="X78" s="21">
        <f t="shared" ca="1" si="52"/>
        <v>4</v>
      </c>
      <c r="Y78" s="2"/>
      <c r="Z78" s="2"/>
    </row>
    <row r="79" spans="1:26" ht="14.25" customHeight="1" x14ac:dyDescent="0.45">
      <c r="A79" s="12" t="s">
        <v>25</v>
      </c>
      <c r="B79" s="12" t="s">
        <v>69</v>
      </c>
      <c r="C79" s="13">
        <v>4</v>
      </c>
      <c r="D79" s="13">
        <v>65</v>
      </c>
      <c r="E79" s="13">
        <f t="shared" ca="1" si="45"/>
        <v>102</v>
      </c>
      <c r="F79" s="15">
        <f t="shared" ca="1" si="46"/>
        <v>-37</v>
      </c>
      <c r="G79" s="16">
        <f t="shared" ca="1" si="47"/>
        <v>-0.36274509803921567</v>
      </c>
      <c r="H79" s="13">
        <v>0</v>
      </c>
      <c r="I79" s="13">
        <f t="shared" ca="1" si="48"/>
        <v>0</v>
      </c>
      <c r="J79" s="15">
        <f t="shared" ca="1" si="49"/>
        <v>0</v>
      </c>
      <c r="K79" s="16" t="str">
        <f t="shared" ca="1" si="50"/>
        <v/>
      </c>
      <c r="L79" s="13">
        <f t="shared" si="38"/>
        <v>16.25</v>
      </c>
      <c r="M79" s="13">
        <f t="shared" si="39"/>
        <v>0</v>
      </c>
      <c r="N79" s="13">
        <v>36</v>
      </c>
      <c r="O79" s="15">
        <f t="shared" ca="1" si="51"/>
        <v>0</v>
      </c>
      <c r="P79" s="2"/>
      <c r="Q79" s="2"/>
      <c r="R79" s="2"/>
      <c r="S79" s="18">
        <f t="shared" ca="1" si="40"/>
        <v>-0.34615384615384615</v>
      </c>
      <c r="T79" s="20">
        <f t="shared" ca="1" si="41"/>
        <v>-1.6591251885369529E-2</v>
      </c>
      <c r="U79" s="18" t="str">
        <f t="shared" ca="1" si="42"/>
        <v/>
      </c>
      <c r="V79" s="20" t="str">
        <f t="shared" ca="1" si="43"/>
        <v/>
      </c>
      <c r="W79" s="21">
        <f t="shared" ca="1" si="44"/>
        <v>1</v>
      </c>
      <c r="X79" s="21">
        <f t="shared" ca="1" si="52"/>
        <v>-1</v>
      </c>
      <c r="Y79" s="2"/>
      <c r="Z79" s="2"/>
    </row>
    <row r="80" spans="1:26" ht="14.25" customHeight="1" x14ac:dyDescent="0.45">
      <c r="A80" s="12" t="s">
        <v>25</v>
      </c>
      <c r="B80" s="12" t="s">
        <v>43</v>
      </c>
      <c r="C80" s="13">
        <v>101</v>
      </c>
      <c r="D80" s="13">
        <v>173873</v>
      </c>
      <c r="E80" s="13">
        <f t="shared" ca="1" si="45"/>
        <v>207073</v>
      </c>
      <c r="F80" s="15">
        <f t="shared" ca="1" si="46"/>
        <v>-33200</v>
      </c>
      <c r="G80" s="16">
        <f t="shared" ca="1" si="47"/>
        <v>-0.16032993195636322</v>
      </c>
      <c r="H80" s="13">
        <v>1956</v>
      </c>
      <c r="I80" s="13">
        <f t="shared" ca="1" si="48"/>
        <v>2041</v>
      </c>
      <c r="J80" s="15">
        <f t="shared" ca="1" si="49"/>
        <v>-85</v>
      </c>
      <c r="K80" s="16">
        <f t="shared" ca="1" si="50"/>
        <v>-4.1646251837334641E-2</v>
      </c>
      <c r="L80" s="13">
        <f t="shared" si="38"/>
        <v>1721.5148514851485</v>
      </c>
      <c r="M80" s="13">
        <f t="shared" si="39"/>
        <v>11.249590218147729</v>
      </c>
      <c r="N80" s="13">
        <v>4314</v>
      </c>
      <c r="O80" s="15">
        <f t="shared" ca="1" si="51"/>
        <v>225</v>
      </c>
      <c r="P80" s="2"/>
      <c r="Q80" s="2"/>
      <c r="R80" s="2"/>
      <c r="S80" s="18">
        <f t="shared" ca="1" si="40"/>
        <v>0.45946307873388637</v>
      </c>
      <c r="T80" s="20">
        <f t="shared" ca="1" si="41"/>
        <v>-0.61979301069024961</v>
      </c>
      <c r="U80" s="18" t="str">
        <f t="shared" ca="1" si="42"/>
        <v/>
      </c>
      <c r="V80" s="20" t="str">
        <f t="shared" ca="1" si="43"/>
        <v/>
      </c>
      <c r="W80" s="21">
        <f t="shared" ca="1" si="44"/>
        <v>315</v>
      </c>
      <c r="X80" s="21">
        <f t="shared" ca="1" si="52"/>
        <v>-90</v>
      </c>
      <c r="Y80" s="2"/>
      <c r="Z80" s="2"/>
    </row>
    <row r="81" spans="1:26" ht="14.25" customHeight="1" x14ac:dyDescent="0.45">
      <c r="A81" s="12" t="s">
        <v>25</v>
      </c>
      <c r="B81" s="12" t="s">
        <v>44</v>
      </c>
      <c r="C81" s="13">
        <v>99</v>
      </c>
      <c r="D81" s="13">
        <v>80926</v>
      </c>
      <c r="E81" s="13">
        <f t="shared" ca="1" si="45"/>
        <v>88661</v>
      </c>
      <c r="F81" s="15">
        <f t="shared" ca="1" si="46"/>
        <v>-7735</v>
      </c>
      <c r="G81" s="16">
        <f t="shared" ca="1" si="47"/>
        <v>-8.7242417748502721E-2</v>
      </c>
      <c r="H81" s="13">
        <v>2027</v>
      </c>
      <c r="I81" s="13">
        <f t="shared" ca="1" si="48"/>
        <v>2596</v>
      </c>
      <c r="J81" s="15">
        <f t="shared" ca="1" si="49"/>
        <v>-569</v>
      </c>
      <c r="K81" s="16">
        <f t="shared" ca="1" si="50"/>
        <v>-0.21918335901386748</v>
      </c>
      <c r="L81" s="13">
        <f t="shared" si="38"/>
        <v>817.43434343434342</v>
      </c>
      <c r="M81" s="13">
        <f t="shared" si="39"/>
        <v>25.047574327163087</v>
      </c>
      <c r="N81" s="13">
        <v>2431</v>
      </c>
      <c r="O81" s="15">
        <f t="shared" ca="1" si="51"/>
        <v>261</v>
      </c>
      <c r="P81" s="2"/>
      <c r="Q81" s="2"/>
      <c r="R81" s="2"/>
      <c r="S81" s="18">
        <f t="shared" ca="1" si="40"/>
        <v>0.25376152497313198</v>
      </c>
      <c r="T81" s="20">
        <f t="shared" ca="1" si="41"/>
        <v>-0.3410039427216347</v>
      </c>
      <c r="U81" s="18" t="str">
        <f t="shared" ca="1" si="42"/>
        <v/>
      </c>
      <c r="V81" s="20" t="str">
        <f t="shared" ca="1" si="43"/>
        <v/>
      </c>
      <c r="W81" s="21">
        <f t="shared" ca="1" si="44"/>
        <v>217</v>
      </c>
      <c r="X81" s="21">
        <f t="shared" ca="1" si="52"/>
        <v>44</v>
      </c>
      <c r="Y81" s="2"/>
      <c r="Z81" s="2"/>
    </row>
    <row r="82" spans="1:26" ht="14.25" customHeight="1" x14ac:dyDescent="0.45">
      <c r="A82" s="12" t="s">
        <v>25</v>
      </c>
      <c r="B82" s="12" t="s">
        <v>45</v>
      </c>
      <c r="C82" s="13">
        <v>102</v>
      </c>
      <c r="D82" s="13">
        <v>165424</v>
      </c>
      <c r="E82" s="13">
        <f t="shared" ca="1" si="45"/>
        <v>188707</v>
      </c>
      <c r="F82" s="15">
        <f t="shared" ca="1" si="46"/>
        <v>-23283</v>
      </c>
      <c r="G82" s="16">
        <f t="shared" ca="1" si="47"/>
        <v>-0.12338175054449491</v>
      </c>
      <c r="H82" s="13">
        <v>3383</v>
      </c>
      <c r="I82" s="13">
        <f t="shared" ca="1" si="48"/>
        <v>4640</v>
      </c>
      <c r="J82" s="15">
        <f t="shared" ca="1" si="49"/>
        <v>-1257</v>
      </c>
      <c r="K82" s="16">
        <f t="shared" ca="1" si="50"/>
        <v>-0.27090517241379308</v>
      </c>
      <c r="L82" s="13">
        <f t="shared" si="38"/>
        <v>1621.8039215686274</v>
      </c>
      <c r="M82" s="13">
        <f t="shared" si="39"/>
        <v>20.450478769706933</v>
      </c>
      <c r="N82" s="13">
        <v>3658</v>
      </c>
      <c r="O82" s="15">
        <f t="shared" ca="1" si="51"/>
        <v>41</v>
      </c>
      <c r="P82" s="2"/>
      <c r="Q82" s="2"/>
      <c r="R82" s="2"/>
      <c r="S82" s="18">
        <f t="shared" ca="1" si="40"/>
        <v>0.40103644638468794</v>
      </c>
      <c r="T82" s="20">
        <f t="shared" ca="1" si="41"/>
        <v>-0.52441819692918279</v>
      </c>
      <c r="U82" s="18" t="str">
        <f t="shared" ca="1" si="42"/>
        <v/>
      </c>
      <c r="V82" s="20" t="str">
        <f t="shared" ca="1" si="43"/>
        <v/>
      </c>
      <c r="W82" s="21">
        <f t="shared" ca="1" si="44"/>
        <v>108</v>
      </c>
      <c r="X82" s="21">
        <f t="shared" ca="1" si="52"/>
        <v>-67</v>
      </c>
      <c r="Y82" s="2"/>
      <c r="Z82" s="2"/>
    </row>
    <row r="83" spans="1:26" ht="14.25" customHeight="1" x14ac:dyDescent="0.45">
      <c r="A83" s="12" t="s">
        <v>25</v>
      </c>
      <c r="B83" s="12" t="s">
        <v>46</v>
      </c>
      <c r="C83" s="13">
        <v>151</v>
      </c>
      <c r="D83" s="13">
        <v>97765</v>
      </c>
      <c r="E83" s="13">
        <f t="shared" ca="1" si="45"/>
        <v>63728</v>
      </c>
      <c r="F83" s="15">
        <f t="shared" ca="1" si="46"/>
        <v>34037</v>
      </c>
      <c r="G83" s="16">
        <f t="shared" ca="1" si="47"/>
        <v>0.53409804167712782</v>
      </c>
      <c r="H83" s="13">
        <v>764</v>
      </c>
      <c r="I83" s="13">
        <f t="shared" ca="1" si="48"/>
        <v>586</v>
      </c>
      <c r="J83" s="15">
        <f t="shared" ca="1" si="49"/>
        <v>178</v>
      </c>
      <c r="K83" s="16">
        <f t="shared" ca="1" si="50"/>
        <v>0.30375426621160412</v>
      </c>
      <c r="L83" s="13">
        <f t="shared" si="38"/>
        <v>647.4503311258278</v>
      </c>
      <c r="M83" s="13">
        <f t="shared" si="39"/>
        <v>7.8146575972996466</v>
      </c>
      <c r="N83" s="13">
        <v>1782</v>
      </c>
      <c r="O83" s="15">
        <f t="shared" ca="1" si="51"/>
        <v>186</v>
      </c>
      <c r="P83" s="2"/>
      <c r="Q83" s="2"/>
      <c r="R83" s="2"/>
      <c r="S83" s="18">
        <f t="shared" ca="1" si="40"/>
        <v>0.12768969422423557</v>
      </c>
      <c r="T83" s="20">
        <f t="shared" ca="1" si="41"/>
        <v>0.40640834745289223</v>
      </c>
      <c r="U83" s="18" t="str">
        <f t="shared" ca="1" si="42"/>
        <v/>
      </c>
      <c r="V83" s="20" t="str">
        <f t="shared" ca="1" si="43"/>
        <v/>
      </c>
      <c r="W83" s="21">
        <f t="shared" ca="1" si="44"/>
        <v>77</v>
      </c>
      <c r="X83" s="21">
        <f t="shared" ca="1" si="52"/>
        <v>109</v>
      </c>
      <c r="Y83" s="2"/>
      <c r="Z83" s="2"/>
    </row>
    <row r="84" spans="1:26" ht="14.25" customHeight="1" x14ac:dyDescent="0.45">
      <c r="A84" s="12" t="s">
        <v>25</v>
      </c>
      <c r="B84" s="12" t="s">
        <v>47</v>
      </c>
      <c r="C84" s="13">
        <v>100</v>
      </c>
      <c r="D84" s="13">
        <v>24831</v>
      </c>
      <c r="E84" s="13">
        <f t="shared" ca="1" si="45"/>
        <v>25850</v>
      </c>
      <c r="F84" s="15">
        <f t="shared" ca="1" si="46"/>
        <v>-1019</v>
      </c>
      <c r="G84" s="16">
        <f t="shared" ca="1" si="47"/>
        <v>-3.9419729206963253E-2</v>
      </c>
      <c r="H84" s="13">
        <v>265</v>
      </c>
      <c r="I84" s="13">
        <f t="shared" ca="1" si="48"/>
        <v>336</v>
      </c>
      <c r="J84" s="15">
        <f t="shared" ca="1" si="49"/>
        <v>-71</v>
      </c>
      <c r="K84" s="16">
        <f t="shared" ca="1" si="50"/>
        <v>-0.21130952380952381</v>
      </c>
      <c r="L84" s="13">
        <f t="shared" si="38"/>
        <v>248.31</v>
      </c>
      <c r="M84" s="13">
        <f t="shared" si="39"/>
        <v>10.672143691353549</v>
      </c>
      <c r="N84" s="13">
        <v>735</v>
      </c>
      <c r="O84" s="15">
        <f t="shared" ca="1" si="51"/>
        <v>6</v>
      </c>
      <c r="P84" s="2"/>
      <c r="Q84" s="2"/>
      <c r="R84" s="2"/>
      <c r="S84" s="18">
        <f t="shared" ca="1" si="40"/>
        <v>6.7431969277780071E-2</v>
      </c>
      <c r="T84" s="20">
        <f t="shared" ca="1" si="41"/>
        <v>-0.10685169848474332</v>
      </c>
      <c r="U84" s="18" t="str">
        <f t="shared" ca="1" si="42"/>
        <v/>
      </c>
      <c r="V84" s="20" t="str">
        <f t="shared" ca="1" si="43"/>
        <v/>
      </c>
      <c r="W84" s="21">
        <f t="shared" ca="1" si="44"/>
        <v>11</v>
      </c>
      <c r="X84" s="21">
        <f t="shared" ca="1" si="52"/>
        <v>-5</v>
      </c>
      <c r="Y84" s="2"/>
      <c r="Z84" s="2"/>
    </row>
    <row r="85" spans="1:26" ht="14.25" customHeight="1" x14ac:dyDescent="0.45">
      <c r="A85" s="12" t="s">
        <v>25</v>
      </c>
      <c r="B85" s="12" t="s">
        <v>48</v>
      </c>
      <c r="C85" s="13">
        <v>76</v>
      </c>
      <c r="D85" s="13">
        <v>10703</v>
      </c>
      <c r="E85" s="13">
        <f t="shared" ca="1" si="45"/>
        <v>8238</v>
      </c>
      <c r="F85" s="15">
        <f t="shared" ca="1" si="46"/>
        <v>2465</v>
      </c>
      <c r="G85" s="16">
        <f t="shared" ca="1" si="47"/>
        <v>0.29922311240592375</v>
      </c>
      <c r="H85" s="13">
        <v>870</v>
      </c>
      <c r="I85" s="13">
        <f t="shared" ca="1" si="48"/>
        <v>705</v>
      </c>
      <c r="J85" s="15">
        <f t="shared" ca="1" si="49"/>
        <v>165</v>
      </c>
      <c r="K85" s="16">
        <f t="shared" ca="1" si="50"/>
        <v>0.23404255319148937</v>
      </c>
      <c r="L85" s="13">
        <f t="shared" si="38"/>
        <v>140.82894736842104</v>
      </c>
      <c r="M85" s="13">
        <f t="shared" si="39"/>
        <v>81.285620853966179</v>
      </c>
      <c r="N85" s="13">
        <v>282</v>
      </c>
      <c r="O85" s="15">
        <f t="shared" ca="1" si="51"/>
        <v>19</v>
      </c>
      <c r="P85" s="2"/>
      <c r="Q85" s="2"/>
      <c r="R85" s="2"/>
      <c r="S85" s="18">
        <f t="shared" ca="1" si="40"/>
        <v>3.1296945418127192E-2</v>
      </c>
      <c r="T85" s="20">
        <f t="shared" ca="1" si="41"/>
        <v>0.26792616698779659</v>
      </c>
      <c r="U85" s="18" t="str">
        <f t="shared" ca="1" si="42"/>
        <v/>
      </c>
      <c r="V85" s="20" t="str">
        <f t="shared" ca="1" si="43"/>
        <v/>
      </c>
      <c r="W85" s="21">
        <f t="shared" ca="1" si="44"/>
        <v>6</v>
      </c>
      <c r="X85" s="21">
        <f t="shared" ca="1" si="52"/>
        <v>13</v>
      </c>
      <c r="Y85" s="2"/>
      <c r="Z85" s="2"/>
    </row>
    <row r="86" spans="1:26" ht="14.25" customHeight="1" x14ac:dyDescent="0.45">
      <c r="A86" s="12" t="s">
        <v>25</v>
      </c>
      <c r="B86" s="12" t="s">
        <v>49</v>
      </c>
      <c r="C86" s="13">
        <v>60</v>
      </c>
      <c r="D86" s="13">
        <v>50438</v>
      </c>
      <c r="E86" s="13">
        <f t="shared" ca="1" si="45"/>
        <v>76602</v>
      </c>
      <c r="F86" s="15">
        <f t="shared" ca="1" si="46"/>
        <v>-26164</v>
      </c>
      <c r="G86" s="16">
        <f t="shared" ca="1" si="47"/>
        <v>-0.34155766167985169</v>
      </c>
      <c r="H86" s="13">
        <v>540</v>
      </c>
      <c r="I86" s="13">
        <f t="shared" ca="1" si="48"/>
        <v>778</v>
      </c>
      <c r="J86" s="15">
        <f t="shared" ca="1" si="49"/>
        <v>-238</v>
      </c>
      <c r="K86" s="16">
        <f t="shared" ca="1" si="50"/>
        <v>-0.3059125964010283</v>
      </c>
      <c r="L86" s="13">
        <f t="shared" si="38"/>
        <v>840.63333333333333</v>
      </c>
      <c r="M86" s="13">
        <f t="shared" si="39"/>
        <v>10.706213569134382</v>
      </c>
      <c r="N86" s="13">
        <v>1890</v>
      </c>
      <c r="O86" s="15">
        <f t="shared" ca="1" si="51"/>
        <v>4</v>
      </c>
      <c r="P86" s="2"/>
      <c r="Q86" s="2"/>
      <c r="R86" s="2"/>
      <c r="S86" s="18">
        <f t="shared" ca="1" si="40"/>
        <v>0.68953880764904385</v>
      </c>
      <c r="T86" s="20">
        <f t="shared" ca="1" si="41"/>
        <v>-1.0310964693288955</v>
      </c>
      <c r="U86" s="18" t="str">
        <f t="shared" ca="1" si="42"/>
        <v/>
      </c>
      <c r="V86" s="20" t="str">
        <f t="shared" ca="1" si="43"/>
        <v/>
      </c>
      <c r="W86" s="21">
        <f t="shared" ca="1" si="44"/>
        <v>48</v>
      </c>
      <c r="X86" s="21">
        <f t="shared" ca="1" si="52"/>
        <v>-44</v>
      </c>
      <c r="Y86" s="2"/>
      <c r="Z86" s="2"/>
    </row>
    <row r="87" spans="1:26" ht="14.25" customHeight="1" x14ac:dyDescent="0.45">
      <c r="A87" s="12" t="s">
        <v>25</v>
      </c>
      <c r="B87" s="12" t="s">
        <v>50</v>
      </c>
      <c r="C87" s="13">
        <v>63</v>
      </c>
      <c r="D87" s="13">
        <v>13795</v>
      </c>
      <c r="E87" s="13">
        <f t="shared" ca="1" si="45"/>
        <v>9916</v>
      </c>
      <c r="F87" s="15">
        <f t="shared" ca="1" si="46"/>
        <v>3879</v>
      </c>
      <c r="G87" s="16">
        <f t="shared" ca="1" si="47"/>
        <v>0.39118596208148448</v>
      </c>
      <c r="H87" s="13">
        <v>71</v>
      </c>
      <c r="I87" s="13">
        <f t="shared" ca="1" si="48"/>
        <v>30</v>
      </c>
      <c r="J87" s="15">
        <f t="shared" ca="1" si="49"/>
        <v>41</v>
      </c>
      <c r="K87" s="16">
        <f t="shared" ca="1" si="50"/>
        <v>1.3666666666666667</v>
      </c>
      <c r="L87" s="13">
        <f t="shared" si="38"/>
        <v>218.96825396825398</v>
      </c>
      <c r="M87" s="13">
        <f t="shared" si="39"/>
        <v>5.1467923160565423</v>
      </c>
      <c r="N87" s="13">
        <v>494</v>
      </c>
      <c r="O87" s="15">
        <f t="shared" ca="1" si="51"/>
        <v>10</v>
      </c>
      <c r="P87" s="2"/>
      <c r="Q87" s="2"/>
      <c r="R87" s="2"/>
      <c r="S87" s="18">
        <f t="shared" ca="1" si="40"/>
        <v>-3.6626833770523656E-2</v>
      </c>
      <c r="T87" s="20">
        <f t="shared" ca="1" si="41"/>
        <v>0.42781279585200815</v>
      </c>
      <c r="U87" s="18" t="str">
        <f t="shared" ca="1" si="42"/>
        <v/>
      </c>
      <c r="V87" s="20" t="str">
        <f t="shared" ca="1" si="43"/>
        <v/>
      </c>
      <c r="W87" s="21">
        <f t="shared" ca="1" si="44"/>
        <v>9</v>
      </c>
      <c r="X87" s="21">
        <f t="shared" ca="1" si="52"/>
        <v>1</v>
      </c>
      <c r="Y87" s="2"/>
      <c r="Z87" s="2"/>
    </row>
    <row r="88" spans="1:26" ht="14.25" customHeight="1" x14ac:dyDescent="0.45">
      <c r="A88" s="12" t="s">
        <v>25</v>
      </c>
      <c r="B88" s="12" t="s">
        <v>51</v>
      </c>
      <c r="C88" s="13">
        <v>33</v>
      </c>
      <c r="D88" s="13">
        <v>6828</v>
      </c>
      <c r="E88" s="13">
        <f t="shared" ca="1" si="45"/>
        <v>6957</v>
      </c>
      <c r="F88" s="15">
        <f t="shared" ca="1" si="46"/>
        <v>-129</v>
      </c>
      <c r="G88" s="16">
        <f t="shared" ca="1" si="47"/>
        <v>-1.8542475204829666E-2</v>
      </c>
      <c r="H88" s="13">
        <v>73</v>
      </c>
      <c r="I88" s="13">
        <f t="shared" ca="1" si="48"/>
        <v>66</v>
      </c>
      <c r="J88" s="15">
        <f t="shared" ca="1" si="49"/>
        <v>7</v>
      </c>
      <c r="K88" s="16">
        <f t="shared" ca="1" si="50"/>
        <v>0.10606060606060606</v>
      </c>
      <c r="L88" s="13">
        <f t="shared" si="38"/>
        <v>206.90909090909091</v>
      </c>
      <c r="M88" s="13">
        <f t="shared" si="39"/>
        <v>10.691271236086701</v>
      </c>
      <c r="N88" s="13">
        <v>422</v>
      </c>
      <c r="O88" s="15">
        <f t="shared" ca="1" si="51"/>
        <v>6</v>
      </c>
      <c r="P88" s="2"/>
      <c r="Q88" s="2"/>
      <c r="R88" s="2"/>
      <c r="S88" s="18">
        <f t="shared" ca="1" si="40"/>
        <v>0.1125859587398049</v>
      </c>
      <c r="T88" s="20">
        <f t="shared" ca="1" si="41"/>
        <v>-0.13112843394463455</v>
      </c>
      <c r="U88" s="18" t="str">
        <f t="shared" ca="1" si="42"/>
        <v/>
      </c>
      <c r="V88" s="20" t="str">
        <f t="shared" ca="1" si="43"/>
        <v/>
      </c>
      <c r="W88" s="21">
        <f t="shared" ca="1" si="44"/>
        <v>14</v>
      </c>
      <c r="X88" s="21">
        <f t="shared" ca="1" si="52"/>
        <v>-8</v>
      </c>
      <c r="Y88" s="2"/>
      <c r="Z88" s="2"/>
    </row>
    <row r="89" spans="1:26" ht="14.25" customHeight="1" x14ac:dyDescent="0.45">
      <c r="A89" s="12" t="s">
        <v>25</v>
      </c>
      <c r="B89" s="12" t="s">
        <v>52</v>
      </c>
      <c r="C89" s="13">
        <v>62</v>
      </c>
      <c r="D89" s="13">
        <v>10073</v>
      </c>
      <c r="E89" s="13">
        <f t="shared" ca="1" si="45"/>
        <v>8025</v>
      </c>
      <c r="F89" s="15">
        <f t="shared" ca="1" si="46"/>
        <v>2048</v>
      </c>
      <c r="G89" s="16">
        <f t="shared" ca="1" si="47"/>
        <v>0.25520249221183799</v>
      </c>
      <c r="H89" s="13">
        <v>219</v>
      </c>
      <c r="I89" s="13">
        <f t="shared" ca="1" si="48"/>
        <v>149</v>
      </c>
      <c r="J89" s="15">
        <f t="shared" ca="1" si="49"/>
        <v>70</v>
      </c>
      <c r="K89" s="16">
        <f t="shared" ca="1" si="50"/>
        <v>0.46979865771812079</v>
      </c>
      <c r="L89" s="13">
        <f t="shared" si="38"/>
        <v>162.46774193548387</v>
      </c>
      <c r="M89" s="13">
        <f t="shared" si="39"/>
        <v>21.741288593269136</v>
      </c>
      <c r="N89" s="13">
        <v>442</v>
      </c>
      <c r="O89" s="15">
        <f t="shared" ca="1" si="51"/>
        <v>0</v>
      </c>
      <c r="P89" s="2"/>
      <c r="Q89" s="2"/>
      <c r="R89" s="2"/>
      <c r="S89" s="18">
        <f t="shared" ca="1" si="40"/>
        <v>-0.16916865099906822</v>
      </c>
      <c r="T89" s="20">
        <f t="shared" ca="1" si="41"/>
        <v>0.42437114321090619</v>
      </c>
      <c r="U89" s="18" t="str">
        <f t="shared" ca="1" si="42"/>
        <v/>
      </c>
      <c r="V89" s="20" t="str">
        <f t="shared" ca="1" si="43"/>
        <v/>
      </c>
      <c r="W89" s="21">
        <f t="shared" ca="1" si="44"/>
        <v>1</v>
      </c>
      <c r="X89" s="21">
        <f t="shared" ca="1" si="52"/>
        <v>-1</v>
      </c>
      <c r="Y89" s="2"/>
      <c r="Z89" s="2"/>
    </row>
    <row r="90" spans="1:26" ht="14.25" customHeight="1" x14ac:dyDescent="0.45">
      <c r="A90" s="12" t="s">
        <v>25</v>
      </c>
      <c r="B90" s="12" t="s">
        <v>53</v>
      </c>
      <c r="C90" s="13">
        <v>70</v>
      </c>
      <c r="D90" s="13">
        <v>40361</v>
      </c>
      <c r="E90" s="13">
        <f t="shared" ca="1" si="45"/>
        <v>26834</v>
      </c>
      <c r="F90" s="15">
        <f t="shared" ca="1" si="46"/>
        <v>13527</v>
      </c>
      <c r="G90" s="16">
        <f t="shared" ca="1" si="47"/>
        <v>0.50409927703659541</v>
      </c>
      <c r="H90" s="13">
        <v>1021</v>
      </c>
      <c r="I90" s="13">
        <f t="shared" ca="1" si="48"/>
        <v>578</v>
      </c>
      <c r="J90" s="15">
        <f t="shared" ca="1" si="49"/>
        <v>443</v>
      </c>
      <c r="K90" s="16">
        <f t="shared" ca="1" si="50"/>
        <v>0.76643598615916952</v>
      </c>
      <c r="L90" s="13">
        <f t="shared" si="38"/>
        <v>576.58571428571429</v>
      </c>
      <c r="M90" s="13">
        <f t="shared" si="39"/>
        <v>25.296697306806074</v>
      </c>
      <c r="N90" s="13">
        <v>1471</v>
      </c>
      <c r="O90" s="15">
        <f t="shared" ca="1" si="51"/>
        <v>25</v>
      </c>
      <c r="P90" s="2"/>
      <c r="Q90" s="2"/>
      <c r="R90" s="2"/>
      <c r="S90" s="18">
        <f t="shared" ca="1" si="40"/>
        <v>-8.6657590197413203E-2</v>
      </c>
      <c r="T90" s="20">
        <f t="shared" ca="1" si="41"/>
        <v>0.59075686723400866</v>
      </c>
      <c r="U90" s="18" t="str">
        <f t="shared" ca="1" si="42"/>
        <v/>
      </c>
      <c r="V90" s="20" t="str">
        <f t="shared" ca="1" si="43"/>
        <v/>
      </c>
      <c r="W90" s="21">
        <f t="shared" ca="1" si="44"/>
        <v>5</v>
      </c>
      <c r="X90" s="21">
        <f t="shared" ca="1" si="52"/>
        <v>20</v>
      </c>
      <c r="Y90" s="2"/>
      <c r="Z90" s="2"/>
    </row>
    <row r="91" spans="1:26" ht="14.25" customHeight="1" x14ac:dyDescent="0.45">
      <c r="A91" s="12" t="s">
        <v>25</v>
      </c>
      <c r="B91" s="12" t="s">
        <v>54</v>
      </c>
      <c r="C91" s="13">
        <v>67</v>
      </c>
      <c r="D91" s="13">
        <v>78063</v>
      </c>
      <c r="E91" s="13">
        <f t="shared" ca="1" si="45"/>
        <v>94449</v>
      </c>
      <c r="F91" s="15">
        <f t="shared" ca="1" si="46"/>
        <v>-16386</v>
      </c>
      <c r="G91" s="16">
        <f t="shared" ca="1" si="47"/>
        <v>-0.17349045516628023</v>
      </c>
      <c r="H91" s="13">
        <v>946</v>
      </c>
      <c r="I91" s="13">
        <f t="shared" ca="1" si="48"/>
        <v>1355</v>
      </c>
      <c r="J91" s="15">
        <f t="shared" ca="1" si="49"/>
        <v>-409</v>
      </c>
      <c r="K91" s="16">
        <f t="shared" ca="1" si="50"/>
        <v>-0.30184501845018452</v>
      </c>
      <c r="L91" s="13">
        <f t="shared" si="38"/>
        <v>1165.1194029850747</v>
      </c>
      <c r="M91" s="13">
        <f t="shared" si="39"/>
        <v>12.118417175870771</v>
      </c>
      <c r="N91" s="13">
        <v>2482</v>
      </c>
      <c r="O91" s="15">
        <f t="shared" ca="1" si="51"/>
        <v>72</v>
      </c>
      <c r="P91" s="2"/>
      <c r="Q91" s="2"/>
      <c r="R91" s="2"/>
      <c r="S91" s="18">
        <f t="shared" ca="1" si="40"/>
        <v>0.36191780821917807</v>
      </c>
      <c r="T91" s="20">
        <f t="shared" ca="1" si="41"/>
        <v>-0.53540826338545833</v>
      </c>
      <c r="U91" s="18" t="str">
        <f t="shared" ca="1" si="42"/>
        <v/>
      </c>
      <c r="V91" s="20" t="str">
        <f t="shared" ca="1" si="43"/>
        <v/>
      </c>
      <c r="W91" s="21">
        <f t="shared" ca="1" si="44"/>
        <v>201</v>
      </c>
      <c r="X91" s="21">
        <f t="shared" ca="1" si="52"/>
        <v>-129</v>
      </c>
      <c r="Y91" s="2"/>
      <c r="Z91" s="2"/>
    </row>
    <row r="92" spans="1:26" ht="14.25" customHeight="1" x14ac:dyDescent="0.45">
      <c r="A92" s="12" t="s">
        <v>25</v>
      </c>
      <c r="B92" s="12" t="s">
        <v>55</v>
      </c>
      <c r="C92" s="13">
        <v>72</v>
      </c>
      <c r="D92" s="13">
        <v>38832</v>
      </c>
      <c r="E92" s="13">
        <f t="shared" ca="1" si="45"/>
        <v>36268</v>
      </c>
      <c r="F92" s="15">
        <f t="shared" ca="1" si="46"/>
        <v>2564</v>
      </c>
      <c r="G92" s="16">
        <f t="shared" ca="1" si="47"/>
        <v>7.0695930296680268E-2</v>
      </c>
      <c r="H92" s="13">
        <v>521</v>
      </c>
      <c r="I92" s="13">
        <f t="shared" ca="1" si="48"/>
        <v>555</v>
      </c>
      <c r="J92" s="15">
        <f t="shared" ca="1" si="49"/>
        <v>-34</v>
      </c>
      <c r="K92" s="16">
        <f t="shared" ca="1" si="50"/>
        <v>-6.126126126126126E-2</v>
      </c>
      <c r="L92" s="13">
        <f t="shared" si="38"/>
        <v>539.33333333333337</v>
      </c>
      <c r="M92" s="13">
        <f t="shared" si="39"/>
        <v>13.416769674495262</v>
      </c>
      <c r="N92" s="13">
        <v>1194</v>
      </c>
      <c r="O92" s="15">
        <f t="shared" ca="1" si="51"/>
        <v>48</v>
      </c>
      <c r="P92" s="2"/>
      <c r="Q92" s="2"/>
      <c r="R92" s="2"/>
      <c r="S92" s="18">
        <f t="shared" ca="1" si="40"/>
        <v>-0.24430646135894818</v>
      </c>
      <c r="T92" s="20">
        <f t="shared" ca="1" si="41"/>
        <v>0.31500239165562843</v>
      </c>
      <c r="U92" s="18" t="str">
        <f t="shared" ca="1" si="42"/>
        <v/>
      </c>
      <c r="V92" s="20" t="str">
        <f t="shared" ca="1" si="43"/>
        <v/>
      </c>
      <c r="W92" s="21">
        <f t="shared" ca="1" si="44"/>
        <v>136</v>
      </c>
      <c r="X92" s="21">
        <f t="shared" ca="1" si="52"/>
        <v>-88</v>
      </c>
      <c r="Y92" s="2"/>
      <c r="Z92" s="2"/>
    </row>
    <row r="93" spans="1:26" ht="14.25" customHeight="1" x14ac:dyDescent="0.45">
      <c r="A93" s="12" t="s">
        <v>25</v>
      </c>
      <c r="B93" s="12" t="s">
        <v>56</v>
      </c>
      <c r="C93" s="13">
        <v>30</v>
      </c>
      <c r="D93" s="13">
        <v>14087</v>
      </c>
      <c r="E93" s="13">
        <f t="shared" ca="1" si="45"/>
        <v>17033</v>
      </c>
      <c r="F93" s="15">
        <f t="shared" ca="1" si="46"/>
        <v>-2946</v>
      </c>
      <c r="G93" s="16">
        <f t="shared" ca="1" si="47"/>
        <v>-0.17295837491927435</v>
      </c>
      <c r="H93" s="13">
        <v>924</v>
      </c>
      <c r="I93" s="13">
        <f t="shared" ca="1" si="48"/>
        <v>1094</v>
      </c>
      <c r="J93" s="15">
        <f t="shared" ca="1" si="49"/>
        <v>-170</v>
      </c>
      <c r="K93" s="16">
        <f t="shared" ca="1" si="50"/>
        <v>-0.15539305301645337</v>
      </c>
      <c r="L93" s="13">
        <f t="shared" si="38"/>
        <v>469.56666666666666</v>
      </c>
      <c r="M93" s="13">
        <f t="shared" si="39"/>
        <v>65.592390146943984</v>
      </c>
      <c r="N93" s="13">
        <v>1355</v>
      </c>
      <c r="O93" s="15">
        <f t="shared" ca="1" si="51"/>
        <v>6</v>
      </c>
      <c r="P93" s="2"/>
      <c r="Q93" s="2"/>
      <c r="R93" s="2"/>
      <c r="S93" s="18">
        <f t="shared" ca="1" si="40"/>
        <v>0.70244877561219388</v>
      </c>
      <c r="T93" s="20">
        <f t="shared" ca="1" si="41"/>
        <v>-0.87540715053146823</v>
      </c>
      <c r="U93" s="18" t="str">
        <f t="shared" ca="1" si="42"/>
        <v/>
      </c>
      <c r="V93" s="20" t="str">
        <f t="shared" ca="1" si="43"/>
        <v/>
      </c>
      <c r="W93" s="21">
        <f t="shared" ca="1" si="44"/>
        <v>18</v>
      </c>
      <c r="X93" s="21">
        <f t="shared" ca="1" si="52"/>
        <v>-12</v>
      </c>
      <c r="Y93" s="2"/>
      <c r="Z93" s="2"/>
    </row>
    <row r="94" spans="1:26" ht="14.25" customHeight="1" x14ac:dyDescent="0.45">
      <c r="A94" s="12" t="s">
        <v>25</v>
      </c>
      <c r="B94" s="12" t="s">
        <v>61</v>
      </c>
      <c r="C94" s="13">
        <v>8</v>
      </c>
      <c r="D94" s="13">
        <v>1841</v>
      </c>
      <c r="E94" s="13">
        <f t="shared" ca="1" si="45"/>
        <v>856</v>
      </c>
      <c r="F94" s="15">
        <f t="shared" ca="1" si="46"/>
        <v>985</v>
      </c>
      <c r="G94" s="16">
        <f t="shared" ca="1" si="47"/>
        <v>1.1507009345794392</v>
      </c>
      <c r="H94" s="13">
        <v>58</v>
      </c>
      <c r="I94" s="13">
        <f t="shared" ca="1" si="48"/>
        <v>46</v>
      </c>
      <c r="J94" s="15">
        <f t="shared" ca="1" si="49"/>
        <v>12</v>
      </c>
      <c r="K94" s="16">
        <f t="shared" ca="1" si="50"/>
        <v>0.2608695652173913</v>
      </c>
      <c r="L94" s="13">
        <f t="shared" si="38"/>
        <v>230.125</v>
      </c>
      <c r="M94" s="13">
        <f t="shared" si="39"/>
        <v>31.504617055947858</v>
      </c>
      <c r="N94" s="13">
        <v>234</v>
      </c>
      <c r="O94" s="15">
        <f t="shared" ca="1" si="51"/>
        <v>10</v>
      </c>
      <c r="P94" s="2"/>
      <c r="Q94" s="2"/>
      <c r="R94" s="2"/>
      <c r="S94" s="18">
        <f t="shared" ca="1" si="40"/>
        <v>7.8085642317380355E-2</v>
      </c>
      <c r="T94" s="20">
        <f t="shared" ca="1" si="41"/>
        <v>1.0726152922620589</v>
      </c>
      <c r="U94" s="18" t="str">
        <f t="shared" ca="1" si="42"/>
        <v/>
      </c>
      <c r="V94" s="20" t="str">
        <f t="shared" ca="1" si="43"/>
        <v/>
      </c>
      <c r="W94" s="21">
        <f t="shared" ca="1" si="44"/>
        <v>-2</v>
      </c>
      <c r="X94" s="21">
        <f t="shared" ca="1" si="52"/>
        <v>12</v>
      </c>
      <c r="Y94" s="2"/>
      <c r="Z94" s="2"/>
    </row>
    <row r="95" spans="1:26" ht="14.25" customHeight="1" x14ac:dyDescent="0.45">
      <c r="A95" s="12" t="s">
        <v>25</v>
      </c>
      <c r="B95" s="12" t="s">
        <v>65</v>
      </c>
      <c r="C95" s="13">
        <v>6</v>
      </c>
      <c r="D95" s="13">
        <v>978</v>
      </c>
      <c r="E95" s="13">
        <f t="shared" ca="1" si="45"/>
        <v>6537</v>
      </c>
      <c r="F95" s="15">
        <f t="shared" ca="1" si="46"/>
        <v>-5559</v>
      </c>
      <c r="G95" s="16">
        <f t="shared" ca="1" si="47"/>
        <v>-0.85039008719596143</v>
      </c>
      <c r="H95" s="13">
        <v>54</v>
      </c>
      <c r="I95" s="13">
        <f t="shared" ca="1" si="48"/>
        <v>135</v>
      </c>
      <c r="J95" s="15">
        <f t="shared" ca="1" si="49"/>
        <v>-81</v>
      </c>
      <c r="K95" s="16">
        <f t="shared" ca="1" si="50"/>
        <v>-0.6</v>
      </c>
      <c r="L95" s="13">
        <f t="shared" si="38"/>
        <v>163</v>
      </c>
      <c r="M95" s="13">
        <f t="shared" si="39"/>
        <v>55.214723926380366</v>
      </c>
      <c r="N95" s="13">
        <v>295</v>
      </c>
      <c r="O95" s="15">
        <f t="shared" ca="1" si="51"/>
        <v>17</v>
      </c>
      <c r="P95" s="2"/>
      <c r="Q95" s="2"/>
      <c r="R95" s="2"/>
      <c r="S95" s="18">
        <f t="shared" ca="1" si="40"/>
        <v>2.348872950819672</v>
      </c>
      <c r="T95" s="20">
        <f t="shared" ca="1" si="41"/>
        <v>-3.1992630380156335</v>
      </c>
      <c r="U95" s="18" t="str">
        <f t="shared" ca="1" si="42"/>
        <v/>
      </c>
      <c r="V95" s="20" t="str">
        <f t="shared" ca="1" si="43"/>
        <v/>
      </c>
      <c r="W95" s="21">
        <f t="shared" ca="1" si="44"/>
        <v>30</v>
      </c>
      <c r="X95" s="21">
        <f t="shared" ca="1" si="52"/>
        <v>-13</v>
      </c>
      <c r="Y95" s="2"/>
      <c r="Z95" s="2"/>
    </row>
    <row r="96" spans="1:26" ht="14.25" customHeight="1" x14ac:dyDescent="0.45">
      <c r="A96" s="25"/>
      <c r="B96" s="25" t="s">
        <v>71</v>
      </c>
      <c r="C96" s="26">
        <f>SUM(C75:C95)</f>
        <v>1493</v>
      </c>
      <c r="D96" s="26">
        <f>SUM(D75:D95)</f>
        <v>1040303</v>
      </c>
      <c r="E96" s="26">
        <f ca="1">SUM(E75:E95)</f>
        <v>1067860</v>
      </c>
      <c r="F96" s="27">
        <f ca="1">SUM(F75:F95)</f>
        <v>-27557</v>
      </c>
      <c r="G96" s="28">
        <f ca="1">IF(C96=0,"",IFERROR(F96/E96,""))</f>
        <v>-2.5805817241960557E-2</v>
      </c>
      <c r="H96" s="26">
        <f>SUM(H75:H95)</f>
        <v>15800</v>
      </c>
      <c r="I96" s="26">
        <f ca="1">SUM(I75:I95)</f>
        <v>17252</v>
      </c>
      <c r="J96" s="27">
        <f ca="1">SUM(J75:J95)</f>
        <v>-1452</v>
      </c>
      <c r="K96" s="28">
        <f ca="1">IF(C96=0,"",IFERROR(J96/I96,""))</f>
        <v>-8.4164154880593547E-2</v>
      </c>
      <c r="L96" s="26">
        <f t="shared" si="38"/>
        <v>696.78700602813126</v>
      </c>
      <c r="M96" s="26">
        <f t="shared" si="39"/>
        <v>15.187882761080186</v>
      </c>
      <c r="N96" s="26">
        <f>SUM(N75:N95)</f>
        <v>30496</v>
      </c>
      <c r="O96" s="27">
        <f ca="1">SUM(O75:O95)</f>
        <v>1059</v>
      </c>
      <c r="P96" s="2"/>
      <c r="Q96" s="2"/>
      <c r="R96" s="2"/>
      <c r="S96" s="29">
        <f t="shared" ca="1" si="40"/>
        <v>0.20688057323041104</v>
      </c>
      <c r="T96" s="30">
        <f t="shared" ca="1" si="41"/>
        <v>-0.23268639047237161</v>
      </c>
      <c r="U96" s="29" t="str">
        <f t="shared" ca="1" si="42"/>
        <v/>
      </c>
      <c r="V96" s="30" t="str">
        <f t="shared" ca="1" si="43"/>
        <v/>
      </c>
      <c r="W96" s="31">
        <f t="shared" ca="1" si="44"/>
        <v>1269</v>
      </c>
      <c r="X96" s="31">
        <f ca="1">IF(OR(C96=0,$O96="",$W96=""),"",$O96-$W96)</f>
        <v>-210</v>
      </c>
      <c r="Y96" s="2"/>
      <c r="Z96" s="2"/>
    </row>
    <row r="97" spans="1:26" ht="14.25" customHeight="1" x14ac:dyDescent="0.45">
      <c r="A97" s="39"/>
      <c r="B97" s="39" t="s">
        <v>72</v>
      </c>
      <c r="C97" s="40">
        <f>C30+C51+C74+C96</f>
        <v>6643</v>
      </c>
      <c r="D97" s="40">
        <f>D30+D51+D74+D96</f>
        <v>5055583</v>
      </c>
      <c r="E97" s="40">
        <f ca="1">E30+E51+E74+E96</f>
        <v>5046618</v>
      </c>
      <c r="F97" s="41">
        <f ca="1">F30+F51+F74+F96</f>
        <v>8965</v>
      </c>
      <c r="G97" s="42">
        <f ca="1">IF(OR(C30=0,C51=0,C74=0,C96=0),"",IFERROR(F97/E97,""))</f>
        <v>1.7764372100285775E-3</v>
      </c>
      <c r="H97" s="40">
        <f>H30+H51+H74+H96</f>
        <v>55027</v>
      </c>
      <c r="I97" s="40">
        <f ca="1">I30+I51+I74+I96</f>
        <v>60007</v>
      </c>
      <c r="J97" s="41">
        <f ca="1">J30+J51+J74+J96</f>
        <v>-4980</v>
      </c>
      <c r="K97" s="42">
        <f ca="1">IF(OR(C30=0,C51=0,C74=0,C96=0),"",IFERROR(J97/I97,""))</f>
        <v>-8.299031779625711E-2</v>
      </c>
      <c r="L97" s="40">
        <f t="shared" si="38"/>
        <v>761.03913894324853</v>
      </c>
      <c r="M97" s="40">
        <f t="shared" si="39"/>
        <v>10.884402451705373</v>
      </c>
      <c r="N97" s="40">
        <f>N30+N51+N74+N96</f>
        <v>697425</v>
      </c>
      <c r="O97" s="41">
        <f ca="1">O30+O51+O74+O96</f>
        <v>2041</v>
      </c>
      <c r="P97" s="2"/>
      <c r="Q97" s="2"/>
      <c r="R97" s="2"/>
      <c r="S97" s="29">
        <f t="shared" ca="1" si="40"/>
        <v>7.8613858461664909E-2</v>
      </c>
      <c r="T97" s="30">
        <f t="shared" ca="1" si="41"/>
        <v>-7.6837421251636326E-2</v>
      </c>
      <c r="U97" s="29">
        <f t="shared" ca="1" si="42"/>
        <v>0.11416655806073243</v>
      </c>
      <c r="V97" s="30">
        <f t="shared" ca="1" si="43"/>
        <v>-0.19715687585698954</v>
      </c>
      <c r="W97" s="31">
        <f t="shared" ca="1" si="44"/>
        <v>2224</v>
      </c>
      <c r="X97" s="31">
        <f ca="1">IF(OR(C30=0,C51=0,C74=0,C96=0),"",$O97-$W97)</f>
        <v>-183</v>
      </c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3:G97">
    <cfRule type="expression" dxfId="79" priority="1" stopIfTrue="1">
      <formula>AND(ISNUMBER(G3),G3&gt;=0.2)</formula>
    </cfRule>
    <cfRule type="expression" dxfId="78" priority="2" stopIfTrue="1">
      <formula>AND(ISNUMBER(G3),G3&lt;=-0.2)</formula>
    </cfRule>
    <cfRule type="expression" dxfId="77" priority="3" stopIfTrue="1">
      <formula>AND(ISNUMBER(G3),G3&gt;0)</formula>
    </cfRule>
    <cfRule type="expression" dxfId="76" priority="4" stopIfTrue="1">
      <formula>AND(ISNUMBER(G3),G3&lt;0)</formula>
    </cfRule>
  </conditionalFormatting>
  <conditionalFormatting sqref="K3:K97">
    <cfRule type="expression" dxfId="75" priority="5" stopIfTrue="1">
      <formula>AND(ISNUMBER(K3),K3&gt;=0.2)</formula>
    </cfRule>
    <cfRule type="expression" dxfId="74" priority="6" stopIfTrue="1">
      <formula>AND(ISNUMBER(K3),K3&lt;=-0.2)</formula>
    </cfRule>
    <cfRule type="expression" dxfId="73" priority="7" stopIfTrue="1">
      <formula>AND(ISNUMBER(K3),K3&gt;0)</formula>
    </cfRule>
    <cfRule type="expression" dxfId="72" priority="8" stopIfTrue="1">
      <formula>AND(ISNUMBER(K3),K3&lt;0)</formula>
    </cfRule>
  </conditionalFormatting>
  <conditionalFormatting sqref="T3:T97">
    <cfRule type="expression" dxfId="71" priority="9" stopIfTrue="1">
      <formula>AND(ISNUMBER(T3),T3&gt;=0.2)</formula>
    </cfRule>
    <cfRule type="expression" dxfId="70" priority="10" stopIfTrue="1">
      <formula>AND(ISNUMBER(T3),T3&lt;=-0.2)</formula>
    </cfRule>
    <cfRule type="expression" dxfId="69" priority="11" stopIfTrue="1">
      <formula>AND(ISNUMBER(T3),T3&gt;0)</formula>
    </cfRule>
    <cfRule type="expression" dxfId="68" priority="12" stopIfTrue="1">
      <formula>AND(ISNUMBER(T3),T3&lt;0)</formula>
    </cfRule>
  </conditionalFormatting>
  <conditionalFormatting sqref="V3:V97">
    <cfRule type="expression" dxfId="67" priority="13" stopIfTrue="1">
      <formula>AND(ISNUMBER(V3),V3&gt;=0.2)</formula>
    </cfRule>
    <cfRule type="expression" dxfId="66" priority="14" stopIfTrue="1">
      <formula>AND(ISNUMBER(V3),V3&lt;=-0.2)</formula>
    </cfRule>
    <cfRule type="expression" dxfId="65" priority="15" stopIfTrue="1">
      <formula>AND(ISNUMBER(V3),V3&gt;0)</formula>
    </cfRule>
    <cfRule type="expression" dxfId="64" priority="16" stopIfTrue="1">
      <formula>AND(ISNUMBER(V3),V3&lt;0)</formula>
    </cfRule>
  </conditionalFormatting>
  <conditionalFormatting sqref="F3:F97">
    <cfRule type="expression" dxfId="63" priority="17" stopIfTrue="1">
      <formula>AND(ISNUMBER(F3),F3&gt;0)</formula>
    </cfRule>
    <cfRule type="expression" dxfId="62" priority="18" stopIfTrue="1">
      <formula>AND(ISNUMBER(F3),F3&lt;0)</formula>
    </cfRule>
  </conditionalFormatting>
  <conditionalFormatting sqref="J3:J97">
    <cfRule type="expression" dxfId="61" priority="19" stopIfTrue="1">
      <formula>AND(ISNUMBER(J3),J3&gt;0)</formula>
    </cfRule>
    <cfRule type="expression" dxfId="60" priority="20" stopIfTrue="1">
      <formula>AND(ISNUMBER(J3),J3&lt;0)</formula>
    </cfRule>
  </conditionalFormatting>
  <conditionalFormatting sqref="O3:O97">
    <cfRule type="expression" dxfId="59" priority="21" stopIfTrue="1">
      <formula>AND(ISNUMBER(O3),O3&gt;0)</formula>
    </cfRule>
    <cfRule type="expression" dxfId="58" priority="22" stopIfTrue="1">
      <formula>AND(ISNUMBER(O3),O3&lt;0)</formula>
    </cfRule>
  </conditionalFormatting>
  <conditionalFormatting sqref="X3:X97">
    <cfRule type="expression" dxfId="57" priority="23" stopIfTrue="1">
      <formula>AND(ISNUMBER(X3),X3&gt;0)</formula>
    </cfRule>
    <cfRule type="expression" dxfId="56" priority="24" stopIfTrue="1">
      <formula>AND(ISNUMBER(X3),X3&lt;0)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3984375" defaultRowHeight="15" customHeight="1" x14ac:dyDescent="0.45"/>
  <cols>
    <col min="1" max="1" width="15" style="56" customWidth="1"/>
    <col min="2" max="2" width="22" style="56" customWidth="1"/>
    <col min="3" max="3" width="11" style="56" customWidth="1"/>
    <col min="4" max="4" width="12" style="56" customWidth="1"/>
    <col min="5" max="6" width="13" style="56" customWidth="1"/>
    <col min="7" max="7" width="9" style="56" customWidth="1"/>
    <col min="8" max="8" width="10" style="56" customWidth="1"/>
    <col min="9" max="9" width="12" style="56" customWidth="1"/>
    <col min="10" max="10" width="11" style="56" customWidth="1"/>
    <col min="11" max="11" width="9" style="56" customWidth="1"/>
    <col min="12" max="13" width="14" style="56" customWidth="1"/>
    <col min="14" max="15" width="12" style="56" customWidth="1"/>
    <col min="16" max="16" width="8.73046875" style="56" customWidth="1"/>
    <col min="17" max="17" width="46" style="56" customWidth="1"/>
    <col min="18" max="18" width="8.73046875" style="56" customWidth="1"/>
    <col min="19" max="24" width="15" style="56" customWidth="1"/>
  </cols>
  <sheetData>
    <row r="1" spans="1:26" ht="17.25" customHeight="1" x14ac:dyDescent="0.5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30</v>
      </c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45">
      <c r="A2" s="5" t="s">
        <v>6</v>
      </c>
      <c r="B2" s="5" t="s">
        <v>31</v>
      </c>
      <c r="C2" s="5" t="s">
        <v>7</v>
      </c>
      <c r="D2" s="5" t="s">
        <v>8</v>
      </c>
      <c r="E2" s="5" t="s">
        <v>32</v>
      </c>
      <c r="F2" s="5" t="s">
        <v>33</v>
      </c>
      <c r="G2" s="5" t="s">
        <v>10</v>
      </c>
      <c r="H2" s="5" t="s">
        <v>11</v>
      </c>
      <c r="I2" s="5" t="s">
        <v>34</v>
      </c>
      <c r="J2" s="5" t="s">
        <v>35</v>
      </c>
      <c r="K2" s="5" t="s">
        <v>10</v>
      </c>
      <c r="L2" s="5" t="s">
        <v>36</v>
      </c>
      <c r="M2" s="5" t="s">
        <v>13</v>
      </c>
      <c r="N2" s="5" t="s">
        <v>14</v>
      </c>
      <c r="O2" s="5" t="s">
        <v>15</v>
      </c>
      <c r="P2" s="2"/>
      <c r="Q2" s="9" t="s">
        <v>78</v>
      </c>
      <c r="R2" s="2"/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2"/>
      <c r="Z2" s="2"/>
    </row>
    <row r="3" spans="1:26" ht="14.25" customHeight="1" x14ac:dyDescent="0.45">
      <c r="A3" s="12" t="s">
        <v>22</v>
      </c>
      <c r="B3" s="12" t="s">
        <v>37</v>
      </c>
      <c r="C3" s="13">
        <v>123</v>
      </c>
      <c r="D3" s="13">
        <v>400662</v>
      </c>
      <c r="E3" s="13">
        <f t="shared" ref="E3:E29" ca="1" si="0">IF($D3="","",IFERROR(IF(ISBLANK(INDIRECT("'"&amp;$Q$2&amp;"'!D"&amp;ROW())),"",INDIRECT("'"&amp;$Q$2&amp;"'!D"&amp;ROW())),""))</f>
        <v>420384</v>
      </c>
      <c r="F3" s="15">
        <f t="shared" ref="F3:F29" ca="1" si="1">IF(OR(D3="",E3=""),"",D3-E3)</f>
        <v>-19722</v>
      </c>
      <c r="G3" s="16">
        <f t="shared" ref="G3:G29" ca="1" si="2">IFERROR(F3/E3,"")</f>
        <v>-4.6914249828728022E-2</v>
      </c>
      <c r="H3" s="13">
        <v>1937</v>
      </c>
      <c r="I3" s="13">
        <f t="shared" ref="I3:I29" ca="1" si="3">IF($H3="","",IFERROR(IF(ISBLANK(INDIRECT("'"&amp;$Q$2&amp;"'!H"&amp;ROW())),"",INDIRECT("'"&amp;$Q$2&amp;"'!H"&amp;ROW())),""))</f>
        <v>1760</v>
      </c>
      <c r="J3" s="15">
        <f t="shared" ref="J3:J29" ca="1" si="4">IF(OR(H3="",I3=""),"",H3-I3)</f>
        <v>177</v>
      </c>
      <c r="K3" s="16">
        <f t="shared" ref="K3:K29" ca="1" si="5">IFERROR(J3/I3,"")</f>
        <v>0.10056818181818182</v>
      </c>
      <c r="L3" s="13">
        <f t="shared" ref="L3:L34" si="6">IFERROR(D3/C3,"")</f>
        <v>3257.4146341463415</v>
      </c>
      <c r="M3" s="13">
        <f t="shared" ref="M3:M34" si="7">IFERROR(H3/D3*1000,"")</f>
        <v>4.8344989043133619</v>
      </c>
      <c r="N3" s="13">
        <v>87798</v>
      </c>
      <c r="O3" s="15">
        <f t="shared" ref="O3:O29" ca="1" si="8">IFERROR(IF(OR(N3="",ISBLANK(INDIRECT("'"&amp;$Q$2&amp;"'!N"&amp;ROW()))),"",N3-INDIRECT("'"&amp;$Q$2&amp;"'!N"&amp;ROW())),"")</f>
        <v>141</v>
      </c>
      <c r="P3" s="2"/>
      <c r="Q3" s="8" t="s">
        <v>38</v>
      </c>
      <c r="R3" s="2"/>
      <c r="S3" s="18" t="str">
        <f t="shared" ref="S3:S34" ca="1" si="9">IFERROR(IF(ISBLANK(INDIRECT("'"&amp;$Q$2&amp;"'!G"&amp;ROW())),"",INDIRECT("'"&amp;$Q$2&amp;"'!G"&amp;ROW())),"")</f>
        <v/>
      </c>
      <c r="T3" s="20" t="str">
        <f t="shared" ref="T3:T34" ca="1" si="10">IF(OR($G3="",$S3=""),"",$G3-$S3)</f>
        <v/>
      </c>
      <c r="U3" s="18" t="str">
        <f t="shared" ref="U3:U34" ca="1" si="11">IFERROR(IF(ISBLANK(INDIRECT("'"&amp;$Q$2&amp;"'!K"&amp;ROW())),"",INDIRECT("'"&amp;$Q$2&amp;"'!K"&amp;ROW())),"")</f>
        <v/>
      </c>
      <c r="V3" s="20" t="str">
        <f t="shared" ref="V3:V34" ca="1" si="12">IF(OR($K3="",$U3=""),"",$K3-$U3)</f>
        <v/>
      </c>
      <c r="W3" s="21">
        <f t="shared" ref="W3:W34" ca="1" si="13">IFERROR(IF(ISBLANK(INDIRECT("'"&amp;$Q$2&amp;"'!O"&amp;ROW())),"",INDIRECT("'"&amp;$Q$2&amp;"'!O"&amp;ROW())),"")</f>
        <v>1107</v>
      </c>
      <c r="X3" s="21">
        <f t="shared" ref="X3:X29" ca="1" si="14">IF(OR($O3="",$W3=""),"",$O3-$W3)</f>
        <v>-966</v>
      </c>
      <c r="Y3" s="2"/>
      <c r="Z3" s="2"/>
    </row>
    <row r="4" spans="1:26" ht="14.25" customHeight="1" x14ac:dyDescent="0.45">
      <c r="A4" s="12" t="s">
        <v>22</v>
      </c>
      <c r="B4" s="12" t="s">
        <v>39</v>
      </c>
      <c r="C4" s="13">
        <v>123</v>
      </c>
      <c r="D4" s="13">
        <v>99188</v>
      </c>
      <c r="E4" s="13">
        <f t="shared" ca="1" si="0"/>
        <v>112305</v>
      </c>
      <c r="F4" s="15">
        <f t="shared" ca="1" si="1"/>
        <v>-13117</v>
      </c>
      <c r="G4" s="16">
        <f t="shared" ca="1" si="2"/>
        <v>-0.11679800543163706</v>
      </c>
      <c r="H4" s="13">
        <v>469</v>
      </c>
      <c r="I4" s="13">
        <f t="shared" ca="1" si="3"/>
        <v>434</v>
      </c>
      <c r="J4" s="15">
        <f t="shared" ca="1" si="4"/>
        <v>35</v>
      </c>
      <c r="K4" s="16">
        <f t="shared" ca="1" si="5"/>
        <v>8.0645161290322578E-2</v>
      </c>
      <c r="L4" s="13">
        <f t="shared" si="6"/>
        <v>806.40650406504062</v>
      </c>
      <c r="M4" s="13">
        <f t="shared" si="7"/>
        <v>4.7283945638585312</v>
      </c>
      <c r="N4" s="13">
        <v>26203</v>
      </c>
      <c r="O4" s="15">
        <f t="shared" ca="1" si="8"/>
        <v>22</v>
      </c>
      <c r="P4" s="2"/>
      <c r="Q4" s="2"/>
      <c r="R4" s="2"/>
      <c r="S4" s="18" t="str">
        <f t="shared" ca="1" si="9"/>
        <v/>
      </c>
      <c r="T4" s="20" t="str">
        <f t="shared" ca="1" si="10"/>
        <v/>
      </c>
      <c r="U4" s="18" t="str">
        <f t="shared" ca="1" si="11"/>
        <v/>
      </c>
      <c r="V4" s="20" t="str">
        <f t="shared" ca="1" si="12"/>
        <v/>
      </c>
      <c r="W4" s="21">
        <f t="shared" ca="1" si="13"/>
        <v>125</v>
      </c>
      <c r="X4" s="21">
        <f t="shared" ca="1" si="14"/>
        <v>-103</v>
      </c>
      <c r="Y4" s="2"/>
      <c r="Z4" s="2"/>
    </row>
    <row r="5" spans="1:26" ht="14.25" customHeight="1" x14ac:dyDescent="0.45">
      <c r="A5" s="12" t="s">
        <v>22</v>
      </c>
      <c r="B5" s="12" t="s">
        <v>41</v>
      </c>
      <c r="C5" s="13">
        <v>252</v>
      </c>
      <c r="D5" s="13">
        <v>5221</v>
      </c>
      <c r="E5" s="13">
        <f t="shared" ca="1" si="0"/>
        <v>4059</v>
      </c>
      <c r="F5" s="15">
        <f t="shared" ca="1" si="1"/>
        <v>1162</v>
      </c>
      <c r="G5" s="16">
        <f t="shared" ca="1" si="2"/>
        <v>0.28627740822862774</v>
      </c>
      <c r="H5" s="13">
        <v>13</v>
      </c>
      <c r="I5" s="13">
        <f t="shared" ca="1" si="3"/>
        <v>6</v>
      </c>
      <c r="J5" s="15">
        <f t="shared" ca="1" si="4"/>
        <v>7</v>
      </c>
      <c r="K5" s="16">
        <f t="shared" ca="1" si="5"/>
        <v>1.1666666666666667</v>
      </c>
      <c r="L5" s="13">
        <f t="shared" si="6"/>
        <v>20.718253968253968</v>
      </c>
      <c r="M5" s="13">
        <f t="shared" si="7"/>
        <v>2.4899444550852325</v>
      </c>
      <c r="N5" s="13">
        <v>3501</v>
      </c>
      <c r="O5" s="15">
        <f t="shared" ca="1" si="8"/>
        <v>-1</v>
      </c>
      <c r="P5" s="2"/>
      <c r="Q5" s="2"/>
      <c r="R5" s="2"/>
      <c r="S5" s="18" t="str">
        <f t="shared" ca="1" si="9"/>
        <v/>
      </c>
      <c r="T5" s="20" t="str">
        <f t="shared" ca="1" si="10"/>
        <v/>
      </c>
      <c r="U5" s="18" t="str">
        <f t="shared" ca="1" si="11"/>
        <v/>
      </c>
      <c r="V5" s="20" t="str">
        <f t="shared" ca="1" si="12"/>
        <v/>
      </c>
      <c r="W5" s="21">
        <f t="shared" ca="1" si="13"/>
        <v>-5</v>
      </c>
      <c r="X5" s="21">
        <f t="shared" ca="1" si="14"/>
        <v>4</v>
      </c>
      <c r="Y5" s="2"/>
      <c r="Z5" s="2"/>
    </row>
    <row r="6" spans="1:26" ht="14.25" customHeight="1" x14ac:dyDescent="0.45">
      <c r="A6" s="12" t="s">
        <v>22</v>
      </c>
      <c r="B6" s="12" t="s">
        <v>42</v>
      </c>
      <c r="C6" s="13">
        <v>83</v>
      </c>
      <c r="D6" s="13">
        <v>66380</v>
      </c>
      <c r="E6" s="13">
        <f t="shared" ca="1" si="0"/>
        <v>79566</v>
      </c>
      <c r="F6" s="15">
        <f t="shared" ca="1" si="1"/>
        <v>-13186</v>
      </c>
      <c r="G6" s="16">
        <f t="shared" ca="1" si="2"/>
        <v>-0.16572405298745696</v>
      </c>
      <c r="H6" s="13">
        <v>294</v>
      </c>
      <c r="I6" s="13">
        <f t="shared" ca="1" si="3"/>
        <v>290</v>
      </c>
      <c r="J6" s="15">
        <f t="shared" ca="1" si="4"/>
        <v>4</v>
      </c>
      <c r="K6" s="16">
        <f t="shared" ca="1" si="5"/>
        <v>1.3793103448275862E-2</v>
      </c>
      <c r="L6" s="13">
        <f t="shared" si="6"/>
        <v>799.75903614457832</v>
      </c>
      <c r="M6" s="13">
        <f t="shared" si="7"/>
        <v>4.4290448930400723</v>
      </c>
      <c r="N6" s="13">
        <v>22924</v>
      </c>
      <c r="O6" s="15">
        <f t="shared" ca="1" si="8"/>
        <v>-1</v>
      </c>
      <c r="P6" s="2"/>
      <c r="Q6" s="2"/>
      <c r="R6" s="2"/>
      <c r="S6" s="18" t="str">
        <f t="shared" ca="1" si="9"/>
        <v/>
      </c>
      <c r="T6" s="20" t="str">
        <f t="shared" ca="1" si="10"/>
        <v/>
      </c>
      <c r="U6" s="18" t="str">
        <f t="shared" ca="1" si="11"/>
        <v/>
      </c>
      <c r="V6" s="20" t="str">
        <f t="shared" ca="1" si="12"/>
        <v/>
      </c>
      <c r="W6" s="21">
        <f t="shared" ca="1" si="13"/>
        <v>70</v>
      </c>
      <c r="X6" s="21">
        <f t="shared" ca="1" si="14"/>
        <v>-71</v>
      </c>
      <c r="Y6" s="2"/>
      <c r="Z6" s="2"/>
    </row>
    <row r="7" spans="1:26" ht="14.25" customHeight="1" x14ac:dyDescent="0.45">
      <c r="A7" s="12" t="s">
        <v>22</v>
      </c>
      <c r="B7" s="12" t="s">
        <v>43</v>
      </c>
      <c r="C7" s="13">
        <v>125</v>
      </c>
      <c r="D7" s="13">
        <v>200470</v>
      </c>
      <c r="E7" s="13">
        <f t="shared" ca="1" si="0"/>
        <v>111876</v>
      </c>
      <c r="F7" s="15">
        <f t="shared" ca="1" si="1"/>
        <v>88594</v>
      </c>
      <c r="G7" s="16">
        <f t="shared" ca="1" si="2"/>
        <v>0.7918945975901891</v>
      </c>
      <c r="H7" s="13">
        <v>2217</v>
      </c>
      <c r="I7" s="13">
        <f t="shared" ca="1" si="3"/>
        <v>1128</v>
      </c>
      <c r="J7" s="15">
        <f t="shared" ca="1" si="4"/>
        <v>1089</v>
      </c>
      <c r="K7" s="16">
        <f t="shared" ca="1" si="5"/>
        <v>0.96542553191489366</v>
      </c>
      <c r="L7" s="13">
        <f t="shared" si="6"/>
        <v>1603.76</v>
      </c>
      <c r="M7" s="13">
        <f t="shared" si="7"/>
        <v>11.059011323390035</v>
      </c>
      <c r="N7" s="13">
        <v>24442</v>
      </c>
      <c r="O7" s="15">
        <f t="shared" ca="1" si="8"/>
        <v>116</v>
      </c>
      <c r="P7" s="2"/>
      <c r="Q7" s="2"/>
      <c r="R7" s="2"/>
      <c r="S7" s="18" t="str">
        <f t="shared" ca="1" si="9"/>
        <v/>
      </c>
      <c r="T7" s="20" t="str">
        <f t="shared" ca="1" si="10"/>
        <v/>
      </c>
      <c r="U7" s="18" t="str">
        <f t="shared" ca="1" si="11"/>
        <v/>
      </c>
      <c r="V7" s="20" t="str">
        <f t="shared" ca="1" si="12"/>
        <v/>
      </c>
      <c r="W7" s="21">
        <f t="shared" ca="1" si="13"/>
        <v>328</v>
      </c>
      <c r="X7" s="21">
        <f t="shared" ca="1" si="14"/>
        <v>-212</v>
      </c>
      <c r="Y7" s="2"/>
      <c r="Z7" s="2"/>
    </row>
    <row r="8" spans="1:26" ht="14.25" customHeight="1" x14ac:dyDescent="0.45">
      <c r="A8" s="12" t="s">
        <v>22</v>
      </c>
      <c r="B8" s="12" t="s">
        <v>44</v>
      </c>
      <c r="C8" s="13">
        <v>100</v>
      </c>
      <c r="D8" s="13">
        <v>371998</v>
      </c>
      <c r="E8" s="13">
        <f t="shared" ca="1" si="0"/>
        <v>329208</v>
      </c>
      <c r="F8" s="15">
        <f t="shared" ca="1" si="1"/>
        <v>42790</v>
      </c>
      <c r="G8" s="16">
        <f t="shared" ca="1" si="2"/>
        <v>0.12997861534349103</v>
      </c>
      <c r="H8" s="13">
        <v>6123</v>
      </c>
      <c r="I8" s="13">
        <f t="shared" ca="1" si="3"/>
        <v>4811</v>
      </c>
      <c r="J8" s="15">
        <f t="shared" ca="1" si="4"/>
        <v>1312</v>
      </c>
      <c r="K8" s="16">
        <f t="shared" ca="1" si="5"/>
        <v>0.27270837663687381</v>
      </c>
      <c r="L8" s="13">
        <f t="shared" si="6"/>
        <v>3719.98</v>
      </c>
      <c r="M8" s="13">
        <f t="shared" si="7"/>
        <v>16.459765912719959</v>
      </c>
      <c r="N8" s="13">
        <v>21437</v>
      </c>
      <c r="O8" s="15">
        <f t="shared" ca="1" si="8"/>
        <v>84</v>
      </c>
      <c r="P8" s="2"/>
      <c r="Q8" s="2"/>
      <c r="R8" s="2"/>
      <c r="S8" s="18" t="str">
        <f t="shared" ca="1" si="9"/>
        <v/>
      </c>
      <c r="T8" s="20" t="str">
        <f t="shared" ca="1" si="10"/>
        <v/>
      </c>
      <c r="U8" s="18" t="str">
        <f t="shared" ca="1" si="11"/>
        <v/>
      </c>
      <c r="V8" s="20" t="str">
        <f t="shared" ca="1" si="12"/>
        <v/>
      </c>
      <c r="W8" s="21">
        <f t="shared" ca="1" si="13"/>
        <v>296</v>
      </c>
      <c r="X8" s="21">
        <f t="shared" ca="1" si="14"/>
        <v>-212</v>
      </c>
      <c r="Y8" s="2"/>
      <c r="Z8" s="2"/>
    </row>
    <row r="9" spans="1:26" ht="14.25" customHeight="1" x14ac:dyDescent="0.45">
      <c r="A9" s="12" t="s">
        <v>22</v>
      </c>
      <c r="B9" s="12" t="s">
        <v>45</v>
      </c>
      <c r="C9" s="13">
        <v>110</v>
      </c>
      <c r="D9" s="13">
        <v>471044</v>
      </c>
      <c r="E9" s="13">
        <f t="shared" ca="1" si="0"/>
        <v>346152</v>
      </c>
      <c r="F9" s="15">
        <f t="shared" ca="1" si="1"/>
        <v>124892</v>
      </c>
      <c r="G9" s="16">
        <f t="shared" ca="1" si="2"/>
        <v>0.36080103538329983</v>
      </c>
      <c r="H9" s="13">
        <v>6733</v>
      </c>
      <c r="I9" s="13">
        <f t="shared" ca="1" si="3"/>
        <v>3872</v>
      </c>
      <c r="J9" s="15">
        <f t="shared" ca="1" si="4"/>
        <v>2861</v>
      </c>
      <c r="K9" s="16">
        <f t="shared" ca="1" si="5"/>
        <v>0.7388946280991735</v>
      </c>
      <c r="L9" s="13">
        <f t="shared" si="6"/>
        <v>4282.2181818181816</v>
      </c>
      <c r="M9" s="13">
        <f t="shared" si="7"/>
        <v>14.293781472643744</v>
      </c>
      <c r="N9" s="13">
        <v>30983</v>
      </c>
      <c r="O9" s="15">
        <f t="shared" ca="1" si="8"/>
        <v>70</v>
      </c>
      <c r="P9" s="2"/>
      <c r="Q9" s="2"/>
      <c r="R9" s="2"/>
      <c r="S9" s="18" t="str">
        <f t="shared" ca="1" si="9"/>
        <v/>
      </c>
      <c r="T9" s="20" t="str">
        <f t="shared" ca="1" si="10"/>
        <v/>
      </c>
      <c r="U9" s="18" t="str">
        <f t="shared" ca="1" si="11"/>
        <v/>
      </c>
      <c r="V9" s="20" t="str">
        <f t="shared" ca="1" si="12"/>
        <v/>
      </c>
      <c r="W9" s="21">
        <f t="shared" ca="1" si="13"/>
        <v>297</v>
      </c>
      <c r="X9" s="21">
        <f t="shared" ca="1" si="14"/>
        <v>-227</v>
      </c>
      <c r="Y9" s="2"/>
      <c r="Z9" s="2"/>
    </row>
    <row r="10" spans="1:26" ht="14.25" customHeight="1" x14ac:dyDescent="0.45">
      <c r="A10" s="12" t="s">
        <v>22</v>
      </c>
      <c r="B10" s="12" t="s">
        <v>46</v>
      </c>
      <c r="C10" s="13">
        <v>103</v>
      </c>
      <c r="D10" s="13">
        <v>156425</v>
      </c>
      <c r="E10" s="13">
        <f t="shared" ca="1" si="0"/>
        <v>131412</v>
      </c>
      <c r="F10" s="15">
        <f t="shared" ca="1" si="1"/>
        <v>25013</v>
      </c>
      <c r="G10" s="16">
        <f t="shared" ca="1" si="2"/>
        <v>0.1903403037774328</v>
      </c>
      <c r="H10" s="13">
        <v>1004</v>
      </c>
      <c r="I10" s="13">
        <f t="shared" ca="1" si="3"/>
        <v>746</v>
      </c>
      <c r="J10" s="15">
        <f t="shared" ca="1" si="4"/>
        <v>258</v>
      </c>
      <c r="K10" s="16">
        <f t="shared" ca="1" si="5"/>
        <v>0.34584450402144773</v>
      </c>
      <c r="L10" s="13">
        <f t="shared" si="6"/>
        <v>1518.6893203883494</v>
      </c>
      <c r="M10" s="13">
        <f t="shared" si="7"/>
        <v>6.4184113792552333</v>
      </c>
      <c r="N10" s="13">
        <v>21279</v>
      </c>
      <c r="O10" s="15">
        <f t="shared" ca="1" si="8"/>
        <v>42</v>
      </c>
      <c r="P10" s="2"/>
      <c r="Q10" s="2"/>
      <c r="R10" s="2"/>
      <c r="S10" s="18" t="str">
        <f t="shared" ca="1" si="9"/>
        <v/>
      </c>
      <c r="T10" s="20" t="str">
        <f t="shared" ca="1" si="10"/>
        <v/>
      </c>
      <c r="U10" s="18" t="str">
        <f t="shared" ca="1" si="11"/>
        <v/>
      </c>
      <c r="V10" s="20" t="str">
        <f t="shared" ca="1" si="12"/>
        <v/>
      </c>
      <c r="W10" s="21">
        <f t="shared" ca="1" si="13"/>
        <v>-55</v>
      </c>
      <c r="X10" s="21">
        <f t="shared" ca="1" si="14"/>
        <v>97</v>
      </c>
      <c r="Y10" s="2"/>
      <c r="Z10" s="2"/>
    </row>
    <row r="11" spans="1:26" ht="14.25" customHeight="1" x14ac:dyDescent="0.45">
      <c r="A11" s="12" t="s">
        <v>22</v>
      </c>
      <c r="B11" s="12" t="s">
        <v>47</v>
      </c>
      <c r="C11" s="13">
        <v>103</v>
      </c>
      <c r="D11" s="13">
        <v>448825</v>
      </c>
      <c r="E11" s="13">
        <f t="shared" ca="1" si="0"/>
        <v>332387</v>
      </c>
      <c r="F11" s="15">
        <f t="shared" ca="1" si="1"/>
        <v>116438</v>
      </c>
      <c r="G11" s="16">
        <f t="shared" ca="1" si="2"/>
        <v>0.35030852590504441</v>
      </c>
      <c r="H11" s="13">
        <v>4345</v>
      </c>
      <c r="I11" s="13">
        <f t="shared" ca="1" si="3"/>
        <v>2677</v>
      </c>
      <c r="J11" s="15">
        <f t="shared" ca="1" si="4"/>
        <v>1668</v>
      </c>
      <c r="K11" s="16">
        <f t="shared" ca="1" si="5"/>
        <v>0.62308554351886436</v>
      </c>
      <c r="L11" s="13">
        <f t="shared" si="6"/>
        <v>4357.5242718446598</v>
      </c>
      <c r="M11" s="13">
        <f t="shared" si="7"/>
        <v>9.6808332869158367</v>
      </c>
      <c r="N11" s="13">
        <v>20590</v>
      </c>
      <c r="O11" s="15">
        <f t="shared" ca="1" si="8"/>
        <v>54</v>
      </c>
      <c r="P11" s="2"/>
      <c r="Q11" s="2"/>
      <c r="R11" s="2"/>
      <c r="S11" s="18" t="str">
        <f t="shared" ca="1" si="9"/>
        <v/>
      </c>
      <c r="T11" s="20" t="str">
        <f t="shared" ca="1" si="10"/>
        <v/>
      </c>
      <c r="U11" s="18" t="str">
        <f t="shared" ca="1" si="11"/>
        <v/>
      </c>
      <c r="V11" s="20" t="str">
        <f t="shared" ca="1" si="12"/>
        <v/>
      </c>
      <c r="W11" s="21">
        <f t="shared" ca="1" si="13"/>
        <v>429</v>
      </c>
      <c r="X11" s="21">
        <f t="shared" ca="1" si="14"/>
        <v>-375</v>
      </c>
      <c r="Y11" s="2"/>
      <c r="Z11" s="2"/>
    </row>
    <row r="12" spans="1:26" ht="14.25" customHeight="1" x14ac:dyDescent="0.45">
      <c r="A12" s="12" t="s">
        <v>22</v>
      </c>
      <c r="B12" s="12" t="s">
        <v>48</v>
      </c>
      <c r="C12" s="13">
        <v>67</v>
      </c>
      <c r="D12" s="13">
        <v>91251</v>
      </c>
      <c r="E12" s="13">
        <f t="shared" ca="1" si="0"/>
        <v>88366</v>
      </c>
      <c r="F12" s="15">
        <f t="shared" ca="1" si="1"/>
        <v>2885</v>
      </c>
      <c r="G12" s="16">
        <f t="shared" ca="1" si="2"/>
        <v>3.2648303646198765E-2</v>
      </c>
      <c r="H12" s="13">
        <v>1648</v>
      </c>
      <c r="I12" s="13">
        <f t="shared" ca="1" si="3"/>
        <v>6375</v>
      </c>
      <c r="J12" s="15">
        <f t="shared" ca="1" si="4"/>
        <v>-4727</v>
      </c>
      <c r="K12" s="16">
        <f t="shared" ca="1" si="5"/>
        <v>-0.74149019607843136</v>
      </c>
      <c r="L12" s="13">
        <f t="shared" si="6"/>
        <v>1361.955223880597</v>
      </c>
      <c r="M12" s="13">
        <f t="shared" si="7"/>
        <v>18.060076053961051</v>
      </c>
      <c r="N12" s="13">
        <v>15319</v>
      </c>
      <c r="O12" s="15">
        <f t="shared" ca="1" si="8"/>
        <v>101</v>
      </c>
      <c r="P12" s="2"/>
      <c r="Q12" s="2"/>
      <c r="R12" s="2"/>
      <c r="S12" s="18" t="str">
        <f t="shared" ca="1" si="9"/>
        <v/>
      </c>
      <c r="T12" s="20" t="str">
        <f t="shared" ca="1" si="10"/>
        <v/>
      </c>
      <c r="U12" s="18" t="str">
        <f t="shared" ca="1" si="11"/>
        <v/>
      </c>
      <c r="V12" s="20" t="str">
        <f t="shared" ca="1" si="12"/>
        <v/>
      </c>
      <c r="W12" s="21">
        <f t="shared" ca="1" si="13"/>
        <v>679</v>
      </c>
      <c r="X12" s="21">
        <f t="shared" ca="1" si="14"/>
        <v>-578</v>
      </c>
      <c r="Y12" s="2"/>
      <c r="Z12" s="2"/>
    </row>
    <row r="13" spans="1:26" ht="14.25" customHeight="1" x14ac:dyDescent="0.45">
      <c r="A13" s="12" t="s">
        <v>22</v>
      </c>
      <c r="B13" s="12" t="s">
        <v>49</v>
      </c>
      <c r="C13" s="13">
        <v>70</v>
      </c>
      <c r="D13" s="13">
        <v>65931</v>
      </c>
      <c r="E13" s="13">
        <f t="shared" ca="1" si="0"/>
        <v>32472</v>
      </c>
      <c r="F13" s="15">
        <f t="shared" ca="1" si="1"/>
        <v>33459</v>
      </c>
      <c r="G13" s="16">
        <f t="shared" ca="1" si="2"/>
        <v>1.0303954175905394</v>
      </c>
      <c r="H13" s="13">
        <v>1056</v>
      </c>
      <c r="I13" s="13">
        <f t="shared" ca="1" si="3"/>
        <v>499</v>
      </c>
      <c r="J13" s="15">
        <f t="shared" ca="1" si="4"/>
        <v>557</v>
      </c>
      <c r="K13" s="16">
        <f t="shared" ca="1" si="5"/>
        <v>1.1162324649298596</v>
      </c>
      <c r="L13" s="13">
        <f t="shared" si="6"/>
        <v>941.87142857142862</v>
      </c>
      <c r="M13" s="13">
        <f t="shared" si="7"/>
        <v>16.016744778632205</v>
      </c>
      <c r="N13" s="13">
        <v>16342</v>
      </c>
      <c r="O13" s="15">
        <f t="shared" ca="1" si="8"/>
        <v>51</v>
      </c>
      <c r="P13" s="2"/>
      <c r="Q13" s="2"/>
      <c r="R13" s="2"/>
      <c r="S13" s="18" t="str">
        <f t="shared" ca="1" si="9"/>
        <v/>
      </c>
      <c r="T13" s="20" t="str">
        <f t="shared" ca="1" si="10"/>
        <v/>
      </c>
      <c r="U13" s="18" t="str">
        <f t="shared" ca="1" si="11"/>
        <v/>
      </c>
      <c r="V13" s="20" t="str">
        <f t="shared" ca="1" si="12"/>
        <v/>
      </c>
      <c r="W13" s="21">
        <f t="shared" ca="1" si="13"/>
        <v>211</v>
      </c>
      <c r="X13" s="21">
        <f t="shared" ca="1" si="14"/>
        <v>-160</v>
      </c>
      <c r="Y13" s="2"/>
      <c r="Z13" s="2"/>
    </row>
    <row r="14" spans="1:26" ht="14.25" customHeight="1" x14ac:dyDescent="0.45">
      <c r="A14" s="12" t="s">
        <v>22</v>
      </c>
      <c r="B14" s="12" t="s">
        <v>50</v>
      </c>
      <c r="C14" s="13">
        <v>45</v>
      </c>
      <c r="D14" s="13">
        <v>37833</v>
      </c>
      <c r="E14" s="13">
        <f t="shared" ca="1" si="0"/>
        <v>39481</v>
      </c>
      <c r="F14" s="15">
        <f t="shared" ca="1" si="1"/>
        <v>-1648</v>
      </c>
      <c r="G14" s="16">
        <f t="shared" ca="1" si="2"/>
        <v>-4.1741597223981158E-2</v>
      </c>
      <c r="H14" s="13">
        <v>415</v>
      </c>
      <c r="I14" s="13">
        <f t="shared" ca="1" si="3"/>
        <v>351</v>
      </c>
      <c r="J14" s="15">
        <f t="shared" ca="1" si="4"/>
        <v>64</v>
      </c>
      <c r="K14" s="16">
        <f t="shared" ca="1" si="5"/>
        <v>0.18233618233618235</v>
      </c>
      <c r="L14" s="13">
        <f t="shared" si="6"/>
        <v>840.73333333333335</v>
      </c>
      <c r="M14" s="13">
        <f t="shared" si="7"/>
        <v>10.969259641054107</v>
      </c>
      <c r="N14" s="13">
        <v>6299</v>
      </c>
      <c r="O14" s="15">
        <f t="shared" ca="1" si="8"/>
        <v>26</v>
      </c>
      <c r="P14" s="2"/>
      <c r="Q14" s="2"/>
      <c r="R14" s="2"/>
      <c r="S14" s="18" t="str">
        <f t="shared" ca="1" si="9"/>
        <v/>
      </c>
      <c r="T14" s="20" t="str">
        <f t="shared" ca="1" si="10"/>
        <v/>
      </c>
      <c r="U14" s="18" t="str">
        <f t="shared" ca="1" si="11"/>
        <v/>
      </c>
      <c r="V14" s="20" t="str">
        <f t="shared" ca="1" si="12"/>
        <v/>
      </c>
      <c r="W14" s="21">
        <f t="shared" ca="1" si="13"/>
        <v>251</v>
      </c>
      <c r="X14" s="21">
        <f t="shared" ca="1" si="14"/>
        <v>-225</v>
      </c>
      <c r="Y14" s="2"/>
      <c r="Z14" s="2"/>
    </row>
    <row r="15" spans="1:26" ht="14.25" customHeight="1" x14ac:dyDescent="0.45">
      <c r="A15" s="12" t="s">
        <v>22</v>
      </c>
      <c r="B15" s="12" t="s">
        <v>51</v>
      </c>
      <c r="C15" s="13">
        <v>34</v>
      </c>
      <c r="D15" s="13">
        <v>39455</v>
      </c>
      <c r="E15" s="13">
        <f t="shared" ca="1" si="0"/>
        <v>32883</v>
      </c>
      <c r="F15" s="15">
        <f t="shared" ca="1" si="1"/>
        <v>6572</v>
      </c>
      <c r="G15" s="16">
        <f t="shared" ca="1" si="2"/>
        <v>0.19986011008727914</v>
      </c>
      <c r="H15" s="13">
        <v>488</v>
      </c>
      <c r="I15" s="13">
        <f t="shared" ca="1" si="3"/>
        <v>502</v>
      </c>
      <c r="J15" s="15">
        <f t="shared" ca="1" si="4"/>
        <v>-14</v>
      </c>
      <c r="K15" s="16">
        <f t="shared" ca="1" si="5"/>
        <v>-2.7888446215139442E-2</v>
      </c>
      <c r="L15" s="13">
        <f t="shared" si="6"/>
        <v>1160.4411764705883</v>
      </c>
      <c r="M15" s="13">
        <f t="shared" si="7"/>
        <v>12.368521099987328</v>
      </c>
      <c r="N15" s="13">
        <v>3648</v>
      </c>
      <c r="O15" s="15">
        <f t="shared" ca="1" si="8"/>
        <v>6</v>
      </c>
      <c r="P15" s="2"/>
      <c r="Q15" s="2"/>
      <c r="R15" s="2"/>
      <c r="S15" s="18" t="str">
        <f t="shared" ca="1" si="9"/>
        <v/>
      </c>
      <c r="T15" s="20" t="str">
        <f t="shared" ca="1" si="10"/>
        <v/>
      </c>
      <c r="U15" s="18" t="str">
        <f t="shared" ca="1" si="11"/>
        <v/>
      </c>
      <c r="V15" s="20" t="str">
        <f t="shared" ca="1" si="12"/>
        <v/>
      </c>
      <c r="W15" s="21">
        <f t="shared" ca="1" si="13"/>
        <v>35</v>
      </c>
      <c r="X15" s="21">
        <f t="shared" ca="1" si="14"/>
        <v>-29</v>
      </c>
      <c r="Y15" s="2"/>
      <c r="Z15" s="2"/>
    </row>
    <row r="16" spans="1:26" ht="14.25" customHeight="1" x14ac:dyDescent="0.45">
      <c r="A16" s="12" t="s">
        <v>22</v>
      </c>
      <c r="B16" s="12" t="s">
        <v>52</v>
      </c>
      <c r="C16" s="13">
        <v>45</v>
      </c>
      <c r="D16" s="13">
        <v>100934</v>
      </c>
      <c r="E16" s="13">
        <f t="shared" ca="1" si="0"/>
        <v>121485</v>
      </c>
      <c r="F16" s="15">
        <f t="shared" ca="1" si="1"/>
        <v>-20551</v>
      </c>
      <c r="G16" s="16">
        <f t="shared" ca="1" si="2"/>
        <v>-0.16916491747952422</v>
      </c>
      <c r="H16" s="13">
        <v>955</v>
      </c>
      <c r="I16" s="13">
        <f t="shared" ca="1" si="3"/>
        <v>1065</v>
      </c>
      <c r="J16" s="15">
        <f t="shared" ca="1" si="4"/>
        <v>-110</v>
      </c>
      <c r="K16" s="16">
        <f t="shared" ca="1" si="5"/>
        <v>-0.10328638497652583</v>
      </c>
      <c r="L16" s="13">
        <f t="shared" si="6"/>
        <v>2242.9777777777776</v>
      </c>
      <c r="M16" s="13">
        <f t="shared" si="7"/>
        <v>9.4616283908296506</v>
      </c>
      <c r="N16" s="13">
        <v>12285</v>
      </c>
      <c r="O16" s="15">
        <f t="shared" ca="1" si="8"/>
        <v>68</v>
      </c>
      <c r="P16" s="2"/>
      <c r="Q16" s="2"/>
      <c r="R16" s="2"/>
      <c r="S16" s="18" t="str">
        <f t="shared" ca="1" si="9"/>
        <v/>
      </c>
      <c r="T16" s="20" t="str">
        <f t="shared" ca="1" si="10"/>
        <v/>
      </c>
      <c r="U16" s="18" t="str">
        <f t="shared" ca="1" si="11"/>
        <v/>
      </c>
      <c r="V16" s="20" t="str">
        <f t="shared" ca="1" si="12"/>
        <v/>
      </c>
      <c r="W16" s="21">
        <f t="shared" ca="1" si="13"/>
        <v>182</v>
      </c>
      <c r="X16" s="21">
        <f t="shared" ca="1" si="14"/>
        <v>-114</v>
      </c>
      <c r="Y16" s="2"/>
      <c r="Z16" s="2"/>
    </row>
    <row r="17" spans="1:26" ht="14.25" customHeight="1" x14ac:dyDescent="0.45">
      <c r="A17" s="12" t="s">
        <v>22</v>
      </c>
      <c r="B17" s="12" t="s">
        <v>53</v>
      </c>
      <c r="C17" s="13">
        <v>50</v>
      </c>
      <c r="D17" s="13">
        <v>125560</v>
      </c>
      <c r="E17" s="13">
        <f t="shared" ca="1" si="0"/>
        <v>118008</v>
      </c>
      <c r="F17" s="15">
        <f t="shared" ca="1" si="1"/>
        <v>7552</v>
      </c>
      <c r="G17" s="16">
        <f t="shared" ca="1" si="2"/>
        <v>6.3995661311097546E-2</v>
      </c>
      <c r="H17" s="13">
        <v>1636</v>
      </c>
      <c r="I17" s="13">
        <f t="shared" ca="1" si="3"/>
        <v>1095</v>
      </c>
      <c r="J17" s="15">
        <f t="shared" ca="1" si="4"/>
        <v>541</v>
      </c>
      <c r="K17" s="16">
        <f t="shared" ca="1" si="5"/>
        <v>0.49406392694063928</v>
      </c>
      <c r="L17" s="13">
        <f t="shared" si="6"/>
        <v>2511.1999999999998</v>
      </c>
      <c r="M17" s="13">
        <f t="shared" si="7"/>
        <v>13.029627269831156</v>
      </c>
      <c r="N17" s="13">
        <v>7762</v>
      </c>
      <c r="O17" s="15">
        <f t="shared" ca="1" si="8"/>
        <v>10</v>
      </c>
      <c r="P17" s="2"/>
      <c r="Q17" s="2"/>
      <c r="R17" s="2"/>
      <c r="S17" s="18" t="str">
        <f t="shared" ca="1" si="9"/>
        <v/>
      </c>
      <c r="T17" s="20" t="str">
        <f t="shared" ca="1" si="10"/>
        <v/>
      </c>
      <c r="U17" s="18" t="str">
        <f t="shared" ca="1" si="11"/>
        <v/>
      </c>
      <c r="V17" s="20" t="str">
        <f t="shared" ca="1" si="12"/>
        <v/>
      </c>
      <c r="W17" s="21">
        <f t="shared" ca="1" si="13"/>
        <v>62</v>
      </c>
      <c r="X17" s="21">
        <f t="shared" ca="1" si="14"/>
        <v>-52</v>
      </c>
      <c r="Y17" s="2"/>
      <c r="Z17" s="2"/>
    </row>
    <row r="18" spans="1:26" ht="14.25" customHeight="1" x14ac:dyDescent="0.45">
      <c r="A18" s="12" t="s">
        <v>22</v>
      </c>
      <c r="B18" s="12" t="s">
        <v>54</v>
      </c>
      <c r="C18" s="13">
        <v>80</v>
      </c>
      <c r="D18" s="13">
        <v>249272</v>
      </c>
      <c r="E18" s="13">
        <f t="shared" ca="1" si="0"/>
        <v>185614</v>
      </c>
      <c r="F18" s="15">
        <f t="shared" ca="1" si="1"/>
        <v>63658</v>
      </c>
      <c r="G18" s="16">
        <f t="shared" ca="1" si="2"/>
        <v>0.34295904403762645</v>
      </c>
      <c r="H18" s="13">
        <v>2460</v>
      </c>
      <c r="I18" s="13">
        <f t="shared" ca="1" si="3"/>
        <v>1382</v>
      </c>
      <c r="J18" s="15">
        <f t="shared" ca="1" si="4"/>
        <v>1078</v>
      </c>
      <c r="K18" s="16">
        <f t="shared" ca="1" si="5"/>
        <v>0.78002894356005792</v>
      </c>
      <c r="L18" s="13">
        <f t="shared" si="6"/>
        <v>3115.9</v>
      </c>
      <c r="M18" s="13">
        <f t="shared" si="7"/>
        <v>9.8687377643698433</v>
      </c>
      <c r="N18" s="13">
        <v>18151</v>
      </c>
      <c r="O18" s="15">
        <f t="shared" ca="1" si="8"/>
        <v>29</v>
      </c>
      <c r="P18" s="2"/>
      <c r="Q18" s="2"/>
      <c r="R18" s="2"/>
      <c r="S18" s="18" t="str">
        <f t="shared" ca="1" si="9"/>
        <v/>
      </c>
      <c r="T18" s="20" t="str">
        <f t="shared" ca="1" si="10"/>
        <v/>
      </c>
      <c r="U18" s="18" t="str">
        <f t="shared" ca="1" si="11"/>
        <v/>
      </c>
      <c r="V18" s="20" t="str">
        <f t="shared" ca="1" si="12"/>
        <v/>
      </c>
      <c r="W18" s="21">
        <f t="shared" ca="1" si="13"/>
        <v>97</v>
      </c>
      <c r="X18" s="21">
        <f t="shared" ca="1" si="14"/>
        <v>-68</v>
      </c>
      <c r="Y18" s="2"/>
      <c r="Z18" s="2"/>
    </row>
    <row r="19" spans="1:26" ht="14.25" customHeight="1" x14ac:dyDescent="0.45">
      <c r="A19" s="12" t="s">
        <v>22</v>
      </c>
      <c r="B19" s="12" t="s">
        <v>55</v>
      </c>
      <c r="C19" s="13">
        <v>70</v>
      </c>
      <c r="D19" s="13">
        <v>137530</v>
      </c>
      <c r="E19" s="13">
        <f t="shared" ca="1" si="0"/>
        <v>318015</v>
      </c>
      <c r="F19" s="15">
        <f t="shared" ca="1" si="1"/>
        <v>-180485</v>
      </c>
      <c r="G19" s="16">
        <f t="shared" ca="1" si="2"/>
        <v>-0.56753612250994445</v>
      </c>
      <c r="H19" s="13">
        <v>1450</v>
      </c>
      <c r="I19" s="13">
        <f t="shared" ca="1" si="3"/>
        <v>3679</v>
      </c>
      <c r="J19" s="15">
        <f t="shared" ca="1" si="4"/>
        <v>-2229</v>
      </c>
      <c r="K19" s="16">
        <f t="shared" ca="1" si="5"/>
        <v>-0.60587116064147861</v>
      </c>
      <c r="L19" s="13">
        <f t="shared" si="6"/>
        <v>1964.7142857142858</v>
      </c>
      <c r="M19" s="13">
        <f t="shared" si="7"/>
        <v>10.543154220897259</v>
      </c>
      <c r="N19" s="13">
        <v>18930</v>
      </c>
      <c r="O19" s="15">
        <f t="shared" ca="1" si="8"/>
        <v>21</v>
      </c>
      <c r="P19" s="2"/>
      <c r="Q19" s="2"/>
      <c r="R19" s="2"/>
      <c r="S19" s="18" t="str">
        <f t="shared" ca="1" si="9"/>
        <v/>
      </c>
      <c r="T19" s="20" t="str">
        <f t="shared" ca="1" si="10"/>
        <v/>
      </c>
      <c r="U19" s="18" t="str">
        <f t="shared" ca="1" si="11"/>
        <v/>
      </c>
      <c r="V19" s="20" t="str">
        <f t="shared" ca="1" si="12"/>
        <v/>
      </c>
      <c r="W19" s="21">
        <f t="shared" ca="1" si="13"/>
        <v>138</v>
      </c>
      <c r="X19" s="21">
        <f t="shared" ca="1" si="14"/>
        <v>-117</v>
      </c>
      <c r="Y19" s="2"/>
      <c r="Z19" s="2"/>
    </row>
    <row r="20" spans="1:26" ht="14.25" customHeight="1" x14ac:dyDescent="0.45">
      <c r="A20" s="12" t="s">
        <v>22</v>
      </c>
      <c r="B20" s="12" t="s">
        <v>56</v>
      </c>
      <c r="C20" s="13">
        <v>23</v>
      </c>
      <c r="D20" s="13">
        <v>94264</v>
      </c>
      <c r="E20" s="13">
        <f t="shared" ca="1" si="0"/>
        <v>198157</v>
      </c>
      <c r="F20" s="15">
        <f t="shared" ca="1" si="1"/>
        <v>-103893</v>
      </c>
      <c r="G20" s="16">
        <f t="shared" ca="1" si="2"/>
        <v>-0.52429639124532568</v>
      </c>
      <c r="H20" s="13">
        <v>1404</v>
      </c>
      <c r="I20" s="13">
        <f t="shared" ca="1" si="3"/>
        <v>1889</v>
      </c>
      <c r="J20" s="15">
        <f t="shared" ca="1" si="4"/>
        <v>-485</v>
      </c>
      <c r="K20" s="16">
        <f t="shared" ca="1" si="5"/>
        <v>-0.25674960296453148</v>
      </c>
      <c r="L20" s="13">
        <f t="shared" si="6"/>
        <v>4098.434782608696</v>
      </c>
      <c r="M20" s="13">
        <f t="shared" si="7"/>
        <v>14.894339302384791</v>
      </c>
      <c r="N20" s="13">
        <v>14457</v>
      </c>
      <c r="O20" s="15">
        <f t="shared" ca="1" si="8"/>
        <v>89</v>
      </c>
      <c r="P20" s="2"/>
      <c r="Q20" s="2"/>
      <c r="R20" s="2"/>
      <c r="S20" s="18" t="str">
        <f t="shared" ca="1" si="9"/>
        <v/>
      </c>
      <c r="T20" s="20" t="str">
        <f t="shared" ca="1" si="10"/>
        <v/>
      </c>
      <c r="U20" s="18" t="str">
        <f t="shared" ca="1" si="11"/>
        <v/>
      </c>
      <c r="V20" s="20" t="str">
        <f t="shared" ca="1" si="12"/>
        <v/>
      </c>
      <c r="W20" s="21">
        <f t="shared" ca="1" si="13"/>
        <v>1019</v>
      </c>
      <c r="X20" s="21">
        <f t="shared" ca="1" si="14"/>
        <v>-930</v>
      </c>
      <c r="Y20" s="2"/>
      <c r="Z20" s="2"/>
    </row>
    <row r="21" spans="1:26" ht="14.25" customHeight="1" x14ac:dyDescent="0.45">
      <c r="A21" s="12" t="s">
        <v>22</v>
      </c>
      <c r="B21" s="12" t="s">
        <v>57</v>
      </c>
      <c r="C21" s="13">
        <v>3</v>
      </c>
      <c r="D21" s="13">
        <v>1574</v>
      </c>
      <c r="E21" s="13">
        <f t="shared" ca="1" si="0"/>
        <v>2474</v>
      </c>
      <c r="F21" s="15">
        <f t="shared" ca="1" si="1"/>
        <v>-900</v>
      </c>
      <c r="G21" s="16">
        <f t="shared" ca="1" si="2"/>
        <v>-0.36378334680679064</v>
      </c>
      <c r="H21" s="13">
        <v>31</v>
      </c>
      <c r="I21" s="13">
        <f t="shared" ca="1" si="3"/>
        <v>65</v>
      </c>
      <c r="J21" s="15">
        <f t="shared" ca="1" si="4"/>
        <v>-34</v>
      </c>
      <c r="K21" s="16">
        <f t="shared" ca="1" si="5"/>
        <v>-0.52307692307692311</v>
      </c>
      <c r="L21" s="13">
        <f t="shared" si="6"/>
        <v>524.66666666666663</v>
      </c>
      <c r="M21" s="13">
        <f t="shared" si="7"/>
        <v>19.695044472681065</v>
      </c>
      <c r="N21" s="13">
        <v>10600</v>
      </c>
      <c r="O21" s="15">
        <f t="shared" ca="1" si="8"/>
        <v>2</v>
      </c>
      <c r="P21" s="2"/>
      <c r="Q21" s="2"/>
      <c r="R21" s="2"/>
      <c r="S21" s="18" t="str">
        <f t="shared" ca="1" si="9"/>
        <v/>
      </c>
      <c r="T21" s="20" t="str">
        <f t="shared" ca="1" si="10"/>
        <v/>
      </c>
      <c r="U21" s="18" t="str">
        <f t="shared" ca="1" si="11"/>
        <v/>
      </c>
      <c r="V21" s="20" t="str">
        <f t="shared" ca="1" si="12"/>
        <v/>
      </c>
      <c r="W21" s="21">
        <f t="shared" ca="1" si="13"/>
        <v>44</v>
      </c>
      <c r="X21" s="21">
        <f t="shared" ca="1" si="14"/>
        <v>-42</v>
      </c>
      <c r="Y21" s="2"/>
      <c r="Z21" s="2"/>
    </row>
    <row r="22" spans="1:26" ht="14.25" customHeight="1" x14ac:dyDescent="0.45">
      <c r="A22" s="12" t="s">
        <v>22</v>
      </c>
      <c r="B22" s="12" t="s">
        <v>58</v>
      </c>
      <c r="C22" s="13">
        <v>26</v>
      </c>
      <c r="D22" s="13">
        <v>11462</v>
      </c>
      <c r="E22" s="13">
        <f t="shared" ca="1" si="0"/>
        <v>1071</v>
      </c>
      <c r="F22" s="15">
        <f t="shared" ca="1" si="1"/>
        <v>10391</v>
      </c>
      <c r="G22" s="16">
        <f t="shared" ca="1" si="2"/>
        <v>9.7021475256769367</v>
      </c>
      <c r="H22" s="13">
        <v>206</v>
      </c>
      <c r="I22" s="13">
        <f t="shared" ca="1" si="3"/>
        <v>39</v>
      </c>
      <c r="J22" s="15">
        <f t="shared" ca="1" si="4"/>
        <v>167</v>
      </c>
      <c r="K22" s="16">
        <f t="shared" ca="1" si="5"/>
        <v>4.2820512820512819</v>
      </c>
      <c r="L22" s="13">
        <f t="shared" si="6"/>
        <v>440.84615384615387</v>
      </c>
      <c r="M22" s="13">
        <f t="shared" si="7"/>
        <v>17.972430640376899</v>
      </c>
      <c r="N22" s="13">
        <v>7385</v>
      </c>
      <c r="O22" s="15">
        <f t="shared" ca="1" si="8"/>
        <v>-3</v>
      </c>
      <c r="P22" s="2"/>
      <c r="Q22" s="2"/>
      <c r="R22" s="2"/>
      <c r="S22" s="18" t="str">
        <f t="shared" ca="1" si="9"/>
        <v/>
      </c>
      <c r="T22" s="20" t="str">
        <f t="shared" ca="1" si="10"/>
        <v/>
      </c>
      <c r="U22" s="18" t="str">
        <f t="shared" ca="1" si="11"/>
        <v/>
      </c>
      <c r="V22" s="20" t="str">
        <f t="shared" ca="1" si="12"/>
        <v/>
      </c>
      <c r="W22" s="21">
        <f t="shared" ca="1" si="13"/>
        <v>-35</v>
      </c>
      <c r="X22" s="21">
        <f t="shared" ca="1" si="14"/>
        <v>32</v>
      </c>
      <c r="Y22" s="2"/>
      <c r="Z22" s="2"/>
    </row>
    <row r="23" spans="1:26" ht="14.25" customHeight="1" x14ac:dyDescent="0.45">
      <c r="A23" s="12" t="s">
        <v>22</v>
      </c>
      <c r="B23" s="12" t="s">
        <v>59</v>
      </c>
      <c r="C23" s="13">
        <v>4</v>
      </c>
      <c r="D23" s="13">
        <v>2570</v>
      </c>
      <c r="E23" s="13">
        <f t="shared" ca="1" si="0"/>
        <v>7262</v>
      </c>
      <c r="F23" s="15">
        <f t="shared" ca="1" si="1"/>
        <v>-4692</v>
      </c>
      <c r="G23" s="16">
        <f t="shared" ca="1" si="2"/>
        <v>-0.64610300192784353</v>
      </c>
      <c r="H23" s="13">
        <v>168</v>
      </c>
      <c r="I23" s="13">
        <f t="shared" ca="1" si="3"/>
        <v>175</v>
      </c>
      <c r="J23" s="15">
        <f t="shared" ca="1" si="4"/>
        <v>-7</v>
      </c>
      <c r="K23" s="16">
        <f t="shared" ca="1" si="5"/>
        <v>-0.04</v>
      </c>
      <c r="L23" s="13">
        <f t="shared" si="6"/>
        <v>642.5</v>
      </c>
      <c r="M23" s="13">
        <f t="shared" si="7"/>
        <v>65.36964980544748</v>
      </c>
      <c r="N23" s="13">
        <v>5600</v>
      </c>
      <c r="O23" s="15">
        <f t="shared" ca="1" si="8"/>
        <v>1</v>
      </c>
      <c r="P23" s="2"/>
      <c r="Q23" s="2"/>
      <c r="R23" s="2"/>
      <c r="S23" s="18" t="str">
        <f t="shared" ca="1" si="9"/>
        <v/>
      </c>
      <c r="T23" s="20" t="str">
        <f t="shared" ca="1" si="10"/>
        <v/>
      </c>
      <c r="U23" s="18" t="str">
        <f t="shared" ca="1" si="11"/>
        <v/>
      </c>
      <c r="V23" s="20" t="str">
        <f t="shared" ca="1" si="12"/>
        <v/>
      </c>
      <c r="W23" s="21">
        <f t="shared" ca="1" si="13"/>
        <v>81</v>
      </c>
      <c r="X23" s="21">
        <f t="shared" ca="1" si="14"/>
        <v>-80</v>
      </c>
      <c r="Y23" s="2"/>
      <c r="Z23" s="2"/>
    </row>
    <row r="24" spans="1:26" ht="14.25" customHeight="1" x14ac:dyDescent="0.45">
      <c r="A24" s="12" t="s">
        <v>22</v>
      </c>
      <c r="B24" s="12" t="s">
        <v>60</v>
      </c>
      <c r="C24" s="13">
        <v>6</v>
      </c>
      <c r="D24" s="13">
        <v>9898</v>
      </c>
      <c r="E24" s="13">
        <f t="shared" ca="1" si="0"/>
        <v>7470</v>
      </c>
      <c r="F24" s="15">
        <f t="shared" ca="1" si="1"/>
        <v>2428</v>
      </c>
      <c r="G24" s="16">
        <f t="shared" ca="1" si="2"/>
        <v>0.32503346720214188</v>
      </c>
      <c r="H24" s="13">
        <v>256</v>
      </c>
      <c r="I24" s="13">
        <f t="shared" ca="1" si="3"/>
        <v>196</v>
      </c>
      <c r="J24" s="15">
        <f t="shared" ca="1" si="4"/>
        <v>60</v>
      </c>
      <c r="K24" s="16">
        <f t="shared" ca="1" si="5"/>
        <v>0.30612244897959184</v>
      </c>
      <c r="L24" s="13">
        <f t="shared" si="6"/>
        <v>1649.6666666666667</v>
      </c>
      <c r="M24" s="13">
        <f t="shared" si="7"/>
        <v>25.863810870883004</v>
      </c>
      <c r="N24" s="13">
        <v>2315</v>
      </c>
      <c r="O24" s="15">
        <f t="shared" ca="1" si="8"/>
        <v>2</v>
      </c>
      <c r="P24" s="2"/>
      <c r="Q24" s="2"/>
      <c r="R24" s="2"/>
      <c r="S24" s="18" t="str">
        <f t="shared" ca="1" si="9"/>
        <v/>
      </c>
      <c r="T24" s="20" t="str">
        <f t="shared" ca="1" si="10"/>
        <v/>
      </c>
      <c r="U24" s="18" t="str">
        <f t="shared" ca="1" si="11"/>
        <v/>
      </c>
      <c r="V24" s="20" t="str">
        <f t="shared" ca="1" si="12"/>
        <v/>
      </c>
      <c r="W24" s="21">
        <f t="shared" ca="1" si="13"/>
        <v>26</v>
      </c>
      <c r="X24" s="21">
        <f t="shared" ca="1" si="14"/>
        <v>-24</v>
      </c>
      <c r="Y24" s="2"/>
      <c r="Z24" s="2"/>
    </row>
    <row r="25" spans="1:26" ht="14.25" customHeight="1" x14ac:dyDescent="0.45">
      <c r="A25" s="12" t="s">
        <v>22</v>
      </c>
      <c r="B25" s="12" t="s">
        <v>61</v>
      </c>
      <c r="C25" s="13">
        <v>8</v>
      </c>
      <c r="D25" s="13">
        <v>16793</v>
      </c>
      <c r="E25" s="13">
        <f t="shared" ca="1" si="0"/>
        <v>42129</v>
      </c>
      <c r="F25" s="15">
        <f t="shared" ca="1" si="1"/>
        <v>-25336</v>
      </c>
      <c r="G25" s="16">
        <f t="shared" ca="1" si="2"/>
        <v>-0.601390965843006</v>
      </c>
      <c r="H25" s="13">
        <v>176</v>
      </c>
      <c r="I25" s="13">
        <f t="shared" ca="1" si="3"/>
        <v>211</v>
      </c>
      <c r="J25" s="15">
        <f t="shared" ca="1" si="4"/>
        <v>-35</v>
      </c>
      <c r="K25" s="16">
        <f t="shared" ca="1" si="5"/>
        <v>-0.16587677725118483</v>
      </c>
      <c r="L25" s="13">
        <f t="shared" si="6"/>
        <v>2099.125</v>
      </c>
      <c r="M25" s="13">
        <f t="shared" si="7"/>
        <v>10.480557375096765</v>
      </c>
      <c r="N25" s="13">
        <v>6154</v>
      </c>
      <c r="O25" s="15">
        <f t="shared" ca="1" si="8"/>
        <v>17</v>
      </c>
      <c r="P25" s="2"/>
      <c r="Q25" s="2"/>
      <c r="R25" s="2"/>
      <c r="S25" s="18" t="str">
        <f t="shared" ca="1" si="9"/>
        <v/>
      </c>
      <c r="T25" s="20" t="str">
        <f t="shared" ca="1" si="10"/>
        <v/>
      </c>
      <c r="U25" s="18" t="str">
        <f t="shared" ca="1" si="11"/>
        <v/>
      </c>
      <c r="V25" s="20" t="str">
        <f t="shared" ca="1" si="12"/>
        <v/>
      </c>
      <c r="W25" s="21">
        <f t="shared" ca="1" si="13"/>
        <v>161</v>
      </c>
      <c r="X25" s="21">
        <f t="shared" ca="1" si="14"/>
        <v>-144</v>
      </c>
      <c r="Y25" s="2"/>
      <c r="Z25" s="2"/>
    </row>
    <row r="26" spans="1:26" ht="14.25" customHeight="1" x14ac:dyDescent="0.45">
      <c r="A26" s="12" t="s">
        <v>22</v>
      </c>
      <c r="B26" s="12" t="s">
        <v>62</v>
      </c>
      <c r="C26" s="13">
        <v>241</v>
      </c>
      <c r="D26" s="13">
        <v>50551</v>
      </c>
      <c r="E26" s="13">
        <f t="shared" ca="1" si="0"/>
        <v>30181</v>
      </c>
      <c r="F26" s="15">
        <f t="shared" ca="1" si="1"/>
        <v>20370</v>
      </c>
      <c r="G26" s="16">
        <f t="shared" ca="1" si="2"/>
        <v>0.67492793479341306</v>
      </c>
      <c r="H26" s="13">
        <v>129</v>
      </c>
      <c r="I26" s="13">
        <f t="shared" ca="1" si="3"/>
        <v>111</v>
      </c>
      <c r="J26" s="15">
        <f t="shared" ca="1" si="4"/>
        <v>18</v>
      </c>
      <c r="K26" s="16">
        <f t="shared" ca="1" si="5"/>
        <v>0.16216216216216217</v>
      </c>
      <c r="L26" s="13">
        <f t="shared" si="6"/>
        <v>209.75518672199169</v>
      </c>
      <c r="M26" s="13">
        <f t="shared" si="7"/>
        <v>2.5518783011216395</v>
      </c>
      <c r="N26" s="13">
        <v>7889</v>
      </c>
      <c r="O26" s="15">
        <f t="shared" ca="1" si="8"/>
        <v>8</v>
      </c>
      <c r="P26" s="2"/>
      <c r="Q26" s="2"/>
      <c r="R26" s="2"/>
      <c r="S26" s="18" t="str">
        <f t="shared" ca="1" si="9"/>
        <v/>
      </c>
      <c r="T26" s="20" t="str">
        <f t="shared" ca="1" si="10"/>
        <v/>
      </c>
      <c r="U26" s="18" t="str">
        <f t="shared" ca="1" si="11"/>
        <v/>
      </c>
      <c r="V26" s="20" t="str">
        <f t="shared" ca="1" si="12"/>
        <v/>
      </c>
      <c r="W26" s="21">
        <f t="shared" ca="1" si="13"/>
        <v>122</v>
      </c>
      <c r="X26" s="21">
        <f t="shared" ca="1" si="14"/>
        <v>-114</v>
      </c>
      <c r="Y26" s="2"/>
      <c r="Z26" s="2"/>
    </row>
    <row r="27" spans="1:26" ht="14.25" customHeight="1" x14ac:dyDescent="0.45">
      <c r="A27" s="12" t="s">
        <v>22</v>
      </c>
      <c r="B27" s="12" t="s">
        <v>63</v>
      </c>
      <c r="C27" s="13">
        <v>10</v>
      </c>
      <c r="D27" s="13">
        <v>2091</v>
      </c>
      <c r="E27" s="13">
        <f t="shared" ca="1" si="0"/>
        <v>1528</v>
      </c>
      <c r="F27" s="15">
        <f t="shared" ca="1" si="1"/>
        <v>563</v>
      </c>
      <c r="G27" s="16">
        <f t="shared" ca="1" si="2"/>
        <v>0.36845549738219896</v>
      </c>
      <c r="H27" s="13">
        <v>41</v>
      </c>
      <c r="I27" s="13">
        <f t="shared" ca="1" si="3"/>
        <v>34</v>
      </c>
      <c r="J27" s="15">
        <f t="shared" ca="1" si="4"/>
        <v>7</v>
      </c>
      <c r="K27" s="16">
        <f t="shared" ca="1" si="5"/>
        <v>0.20588235294117646</v>
      </c>
      <c r="L27" s="13">
        <f t="shared" si="6"/>
        <v>209.1</v>
      </c>
      <c r="M27" s="13">
        <f t="shared" si="7"/>
        <v>19.607843137254903</v>
      </c>
      <c r="N27" s="13">
        <v>16722</v>
      </c>
      <c r="O27" s="15">
        <f t="shared" ca="1" si="8"/>
        <v>-3</v>
      </c>
      <c r="P27" s="2"/>
      <c r="Q27" s="2"/>
      <c r="R27" s="2"/>
      <c r="S27" s="18" t="str">
        <f t="shared" ca="1" si="9"/>
        <v/>
      </c>
      <c r="T27" s="20" t="str">
        <f t="shared" ca="1" si="10"/>
        <v/>
      </c>
      <c r="U27" s="18" t="str">
        <f t="shared" ca="1" si="11"/>
        <v/>
      </c>
      <c r="V27" s="20" t="str">
        <f t="shared" ca="1" si="12"/>
        <v/>
      </c>
      <c r="W27" s="21">
        <f t="shared" ca="1" si="13"/>
        <v>-33</v>
      </c>
      <c r="X27" s="21">
        <f t="shared" ca="1" si="14"/>
        <v>30</v>
      </c>
      <c r="Y27" s="2"/>
      <c r="Z27" s="2"/>
    </row>
    <row r="28" spans="1:26" ht="14.25" customHeight="1" x14ac:dyDescent="0.45">
      <c r="A28" s="12" t="s">
        <v>22</v>
      </c>
      <c r="B28" s="12" t="s">
        <v>64</v>
      </c>
      <c r="C28" s="13">
        <v>20</v>
      </c>
      <c r="D28" s="13">
        <v>7279</v>
      </c>
      <c r="E28" s="13">
        <f t="shared" ca="1" si="0"/>
        <v>10798</v>
      </c>
      <c r="F28" s="15">
        <f t="shared" ca="1" si="1"/>
        <v>-3519</v>
      </c>
      <c r="G28" s="16">
        <f t="shared" ca="1" si="2"/>
        <v>-0.32589368401555846</v>
      </c>
      <c r="H28" s="13">
        <v>35</v>
      </c>
      <c r="I28" s="13">
        <f t="shared" ca="1" si="3"/>
        <v>31</v>
      </c>
      <c r="J28" s="15">
        <f t="shared" ca="1" si="4"/>
        <v>4</v>
      </c>
      <c r="K28" s="16">
        <f t="shared" ca="1" si="5"/>
        <v>0.12903225806451613</v>
      </c>
      <c r="L28" s="13">
        <f t="shared" si="6"/>
        <v>363.95</v>
      </c>
      <c r="M28" s="13">
        <f t="shared" si="7"/>
        <v>4.8083527957136969</v>
      </c>
      <c r="N28" s="13">
        <v>21908</v>
      </c>
      <c r="O28" s="15">
        <f t="shared" ca="1" si="8"/>
        <v>3</v>
      </c>
      <c r="P28" s="2"/>
      <c r="Q28" s="2"/>
      <c r="R28" s="2"/>
      <c r="S28" s="18" t="str">
        <f t="shared" ca="1" si="9"/>
        <v/>
      </c>
      <c r="T28" s="20" t="str">
        <f t="shared" ca="1" si="10"/>
        <v/>
      </c>
      <c r="U28" s="18" t="str">
        <f t="shared" ca="1" si="11"/>
        <v/>
      </c>
      <c r="V28" s="20" t="str">
        <f t="shared" ca="1" si="12"/>
        <v/>
      </c>
      <c r="W28" s="21">
        <f t="shared" ca="1" si="13"/>
        <v>51</v>
      </c>
      <c r="X28" s="21">
        <f t="shared" ca="1" si="14"/>
        <v>-48</v>
      </c>
      <c r="Y28" s="2"/>
      <c r="Z28" s="2"/>
    </row>
    <row r="29" spans="1:26" ht="14.25" customHeight="1" x14ac:dyDescent="0.45">
      <c r="A29" s="12" t="s">
        <v>22</v>
      </c>
      <c r="B29" s="12" t="s">
        <v>65</v>
      </c>
      <c r="C29" s="13">
        <v>8</v>
      </c>
      <c r="D29" s="13">
        <v>14353</v>
      </c>
      <c r="E29" s="13">
        <f t="shared" ca="1" si="0"/>
        <v>10975</v>
      </c>
      <c r="F29" s="15">
        <f t="shared" ca="1" si="1"/>
        <v>3378</v>
      </c>
      <c r="G29" s="16">
        <f t="shared" ca="1" si="2"/>
        <v>0.30779043280182233</v>
      </c>
      <c r="H29" s="13">
        <v>353</v>
      </c>
      <c r="I29" s="13">
        <f t="shared" ca="1" si="3"/>
        <v>243</v>
      </c>
      <c r="J29" s="15">
        <f t="shared" ca="1" si="4"/>
        <v>110</v>
      </c>
      <c r="K29" s="16">
        <f t="shared" ca="1" si="5"/>
        <v>0.45267489711934156</v>
      </c>
      <c r="L29" s="13">
        <f t="shared" si="6"/>
        <v>1794.125</v>
      </c>
      <c r="M29" s="13">
        <f t="shared" si="7"/>
        <v>24.594161499338117</v>
      </c>
      <c r="N29" s="13">
        <v>9538</v>
      </c>
      <c r="O29" s="15">
        <f t="shared" ca="1" si="8"/>
        <v>87</v>
      </c>
      <c r="P29" s="2"/>
      <c r="Q29" s="2"/>
      <c r="R29" s="2"/>
      <c r="S29" s="18" t="str">
        <f t="shared" ca="1" si="9"/>
        <v/>
      </c>
      <c r="T29" s="20" t="str">
        <f t="shared" ca="1" si="10"/>
        <v/>
      </c>
      <c r="U29" s="18" t="str">
        <f t="shared" ca="1" si="11"/>
        <v/>
      </c>
      <c r="V29" s="20" t="str">
        <f t="shared" ca="1" si="12"/>
        <v/>
      </c>
      <c r="W29" s="21" t="str">
        <f t="shared" ca="1" si="13"/>
        <v/>
      </c>
      <c r="X29" s="21" t="str">
        <f t="shared" ca="1" si="14"/>
        <v/>
      </c>
      <c r="Y29" s="2"/>
      <c r="Z29" s="2"/>
    </row>
    <row r="30" spans="1:26" ht="14.25" customHeight="1" x14ac:dyDescent="0.45">
      <c r="A30" s="25"/>
      <c r="B30" s="25" t="s">
        <v>66</v>
      </c>
      <c r="C30" s="26">
        <f>SUM(C3:C29)</f>
        <v>1932</v>
      </c>
      <c r="D30" s="26">
        <f>SUM(D3:D29)</f>
        <v>3278814</v>
      </c>
      <c r="E30" s="26">
        <f ca="1">SUM(E3:E29)</f>
        <v>3115718</v>
      </c>
      <c r="F30" s="27">
        <f ca="1">SUM(F3:F29)</f>
        <v>163096</v>
      </c>
      <c r="G30" s="28">
        <f ca="1">IF(C30=0,"",IFERROR(F30/E30,""))</f>
        <v>5.2346200779403017E-2</v>
      </c>
      <c r="H30" s="26">
        <f>SUM(H3:H29)</f>
        <v>36042</v>
      </c>
      <c r="I30" s="26">
        <f ca="1">SUM(I3:I29)</f>
        <v>33666</v>
      </c>
      <c r="J30" s="27">
        <f ca="1">SUM(J3:J29)</f>
        <v>2376</v>
      </c>
      <c r="K30" s="28">
        <f ca="1">IF(C30=0,"",IFERROR(J30/I30,""))</f>
        <v>7.0575654963464629E-2</v>
      </c>
      <c r="L30" s="26">
        <f t="shared" si="6"/>
        <v>1697.108695652174</v>
      </c>
      <c r="M30" s="26">
        <f t="shared" si="7"/>
        <v>10.992389321260676</v>
      </c>
      <c r="N30" s="26">
        <f>SUM(N3:N29)</f>
        <v>460461</v>
      </c>
      <c r="O30" s="27">
        <f ca="1">SUM(O3:O29)</f>
        <v>1042</v>
      </c>
      <c r="P30" s="2"/>
      <c r="Q30" s="2"/>
      <c r="R30" s="2"/>
      <c r="S30" s="29" t="str">
        <f t="shared" ca="1" si="9"/>
        <v/>
      </c>
      <c r="T30" s="30" t="str">
        <f t="shared" ca="1" si="10"/>
        <v/>
      </c>
      <c r="U30" s="29" t="str">
        <f t="shared" ca="1" si="11"/>
        <v/>
      </c>
      <c r="V30" s="30" t="str">
        <f t="shared" ca="1" si="12"/>
        <v/>
      </c>
      <c r="W30" s="31">
        <f t="shared" ca="1" si="13"/>
        <v>5683</v>
      </c>
      <c r="X30" s="31">
        <f ca="1">IF(OR(C30=0,$O30="",$W30=""),"",$O30-$W30)</f>
        <v>-4641</v>
      </c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3">
        <v>164</v>
      </c>
      <c r="D31" s="13">
        <v>24426</v>
      </c>
      <c r="E31" s="13">
        <f t="shared" ref="E31:E50" ca="1" si="15">IF($D31="","",IFERROR(IF(ISBLANK(INDIRECT("'"&amp;$Q$2&amp;"'!D"&amp;ROW())),"",INDIRECT("'"&amp;$Q$2&amp;"'!D"&amp;ROW())),""))</f>
        <v>27808</v>
      </c>
      <c r="F31" s="15">
        <f t="shared" ref="F31:F50" ca="1" si="16">IF(OR(D31="",E31=""),"",D31-E31)</f>
        <v>-3382</v>
      </c>
      <c r="G31" s="16">
        <f t="shared" ref="G31:G50" ca="1" si="17">IFERROR(F31/E31,"")</f>
        <v>-0.12161967779056386</v>
      </c>
      <c r="H31" s="13">
        <v>79</v>
      </c>
      <c r="I31" s="13">
        <f t="shared" ref="I31:I50" ca="1" si="18">IF($H31="","",IFERROR(IF(ISBLANK(INDIRECT("'"&amp;$Q$2&amp;"'!H"&amp;ROW())),"",INDIRECT("'"&amp;$Q$2&amp;"'!H"&amp;ROW())),""))</f>
        <v>61</v>
      </c>
      <c r="J31" s="15">
        <f t="shared" ref="J31:J50" ca="1" si="19">IF(OR(H31="",I31=""),"",H31-I31)</f>
        <v>18</v>
      </c>
      <c r="K31" s="16">
        <f t="shared" ref="K31:K50" ca="1" si="20">IFERROR(J31/I31,"")</f>
        <v>0.29508196721311475</v>
      </c>
      <c r="L31" s="13">
        <f t="shared" si="6"/>
        <v>148.9390243902439</v>
      </c>
      <c r="M31" s="13">
        <f t="shared" si="7"/>
        <v>3.2342585769262264</v>
      </c>
      <c r="N31" s="13">
        <v>32463</v>
      </c>
      <c r="O31" s="15">
        <f t="shared" ref="O31:O50" ca="1" si="21">IFERROR(IF(OR(N31="",ISBLANK(INDIRECT("'"&amp;$Q$2&amp;"'!N"&amp;ROW()))),"",N31-INDIRECT("'"&amp;$Q$2&amp;"'!N"&amp;ROW())),"")</f>
        <v>3</v>
      </c>
      <c r="P31" s="2"/>
      <c r="Q31" s="2"/>
      <c r="R31" s="2"/>
      <c r="S31" s="18" t="str">
        <f t="shared" ca="1" si="9"/>
        <v/>
      </c>
      <c r="T31" s="20" t="str">
        <f t="shared" ca="1" si="10"/>
        <v/>
      </c>
      <c r="U31" s="18" t="str">
        <f t="shared" ca="1" si="11"/>
        <v/>
      </c>
      <c r="V31" s="20" t="str">
        <f t="shared" ca="1" si="12"/>
        <v/>
      </c>
      <c r="W31" s="21">
        <f t="shared" ca="1" si="13"/>
        <v>9</v>
      </c>
      <c r="X31" s="21">
        <f t="shared" ref="X31:X50" ca="1" si="22">IF(OR($O31="",$W31=""),"",$O31-$W31)</f>
        <v>-6</v>
      </c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3">
        <v>121</v>
      </c>
      <c r="D32" s="13">
        <v>35622</v>
      </c>
      <c r="E32" s="13">
        <f t="shared" ca="1" si="15"/>
        <v>34589</v>
      </c>
      <c r="F32" s="15">
        <f t="shared" ca="1" si="16"/>
        <v>1033</v>
      </c>
      <c r="G32" s="16">
        <f t="shared" ca="1" si="17"/>
        <v>2.9864985978201163E-2</v>
      </c>
      <c r="H32" s="13">
        <v>41</v>
      </c>
      <c r="I32" s="13">
        <f t="shared" ca="1" si="18"/>
        <v>45</v>
      </c>
      <c r="J32" s="15">
        <f t="shared" ca="1" si="19"/>
        <v>-4</v>
      </c>
      <c r="K32" s="16">
        <f t="shared" ca="1" si="20"/>
        <v>-8.8888888888888892E-2</v>
      </c>
      <c r="L32" s="13">
        <f t="shared" si="6"/>
        <v>294.39669421487605</v>
      </c>
      <c r="M32" s="13">
        <f t="shared" si="7"/>
        <v>1.1509741171186345</v>
      </c>
      <c r="N32" s="13">
        <v>21732</v>
      </c>
      <c r="O32" s="15">
        <f t="shared" ca="1" si="21"/>
        <v>0</v>
      </c>
      <c r="P32" s="2"/>
      <c r="Q32" s="2"/>
      <c r="R32" s="2"/>
      <c r="S32" s="18" t="str">
        <f t="shared" ca="1" si="9"/>
        <v/>
      </c>
      <c r="T32" s="20" t="str">
        <f t="shared" ca="1" si="10"/>
        <v/>
      </c>
      <c r="U32" s="18" t="str">
        <f t="shared" ca="1" si="11"/>
        <v/>
      </c>
      <c r="V32" s="20" t="str">
        <f t="shared" ca="1" si="12"/>
        <v/>
      </c>
      <c r="W32" s="21">
        <f t="shared" ca="1" si="13"/>
        <v>4</v>
      </c>
      <c r="X32" s="21">
        <f t="shared" ca="1" si="22"/>
        <v>-4</v>
      </c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3">
        <v>85</v>
      </c>
      <c r="D33" s="13">
        <v>25717</v>
      </c>
      <c r="E33" s="13">
        <f t="shared" ca="1" si="15"/>
        <v>22158</v>
      </c>
      <c r="F33" s="15">
        <f t="shared" ca="1" si="16"/>
        <v>3559</v>
      </c>
      <c r="G33" s="16">
        <f t="shared" ca="1" si="17"/>
        <v>0.16061918945753226</v>
      </c>
      <c r="H33" s="13">
        <v>6</v>
      </c>
      <c r="I33" s="13">
        <f t="shared" ca="1" si="18"/>
        <v>5</v>
      </c>
      <c r="J33" s="15">
        <f t="shared" ca="1" si="19"/>
        <v>1</v>
      </c>
      <c r="K33" s="16">
        <f t="shared" ca="1" si="20"/>
        <v>0.2</v>
      </c>
      <c r="L33" s="13">
        <f t="shared" si="6"/>
        <v>302.5529411764706</v>
      </c>
      <c r="M33" s="13">
        <f t="shared" si="7"/>
        <v>0.23330870630322356</v>
      </c>
      <c r="N33" s="13">
        <v>8962</v>
      </c>
      <c r="O33" s="15">
        <f t="shared" ca="1" si="21"/>
        <v>-1</v>
      </c>
      <c r="P33" s="2"/>
      <c r="Q33" s="2"/>
      <c r="R33" s="2"/>
      <c r="S33" s="18" t="str">
        <f t="shared" ca="1" si="9"/>
        <v/>
      </c>
      <c r="T33" s="20" t="str">
        <f t="shared" ca="1" si="10"/>
        <v/>
      </c>
      <c r="U33" s="18" t="str">
        <f t="shared" ca="1" si="11"/>
        <v/>
      </c>
      <c r="V33" s="20" t="str">
        <f t="shared" ca="1" si="12"/>
        <v/>
      </c>
      <c r="W33" s="21">
        <f t="shared" ca="1" si="13"/>
        <v>3</v>
      </c>
      <c r="X33" s="21">
        <f t="shared" ca="1" si="22"/>
        <v>-4</v>
      </c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3">
        <v>107</v>
      </c>
      <c r="D34" s="13">
        <v>1655</v>
      </c>
      <c r="E34" s="13">
        <f t="shared" ca="1" si="15"/>
        <v>1088</v>
      </c>
      <c r="F34" s="15">
        <f t="shared" ca="1" si="16"/>
        <v>567</v>
      </c>
      <c r="G34" s="16">
        <f t="shared" ca="1" si="17"/>
        <v>0.52113970588235292</v>
      </c>
      <c r="H34" s="13">
        <v>0</v>
      </c>
      <c r="I34" s="13">
        <f t="shared" ca="1" si="18"/>
        <v>0</v>
      </c>
      <c r="J34" s="15">
        <f t="shared" ca="1" si="19"/>
        <v>0</v>
      </c>
      <c r="K34" s="16" t="str">
        <f t="shared" ca="1" si="20"/>
        <v/>
      </c>
      <c r="L34" s="13">
        <f t="shared" si="6"/>
        <v>15.467289719626168</v>
      </c>
      <c r="M34" s="13">
        <f t="shared" si="7"/>
        <v>0</v>
      </c>
      <c r="N34" s="13">
        <v>6</v>
      </c>
      <c r="O34" s="15">
        <f t="shared" ca="1" si="21"/>
        <v>1</v>
      </c>
      <c r="P34" s="2"/>
      <c r="Q34" s="2"/>
      <c r="R34" s="2"/>
      <c r="S34" s="18" t="str">
        <f t="shared" ca="1" si="9"/>
        <v/>
      </c>
      <c r="T34" s="20" t="str">
        <f t="shared" ca="1" si="10"/>
        <v/>
      </c>
      <c r="U34" s="18" t="str">
        <f t="shared" ca="1" si="11"/>
        <v/>
      </c>
      <c r="V34" s="20" t="str">
        <f t="shared" ca="1" si="12"/>
        <v/>
      </c>
      <c r="W34" s="21">
        <f t="shared" ca="1" si="13"/>
        <v>2</v>
      </c>
      <c r="X34" s="21">
        <f t="shared" ca="1" si="22"/>
        <v>-1</v>
      </c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3">
        <v>97</v>
      </c>
      <c r="D35" s="13">
        <v>10205</v>
      </c>
      <c r="E35" s="13">
        <f t="shared" ca="1" si="15"/>
        <v>12768</v>
      </c>
      <c r="F35" s="15">
        <f t="shared" ca="1" si="16"/>
        <v>-2563</v>
      </c>
      <c r="G35" s="16">
        <f t="shared" ca="1" si="17"/>
        <v>-0.20073621553884713</v>
      </c>
      <c r="H35" s="13">
        <v>158</v>
      </c>
      <c r="I35" s="13">
        <f t="shared" ca="1" si="18"/>
        <v>146</v>
      </c>
      <c r="J35" s="15">
        <f t="shared" ca="1" si="19"/>
        <v>12</v>
      </c>
      <c r="K35" s="16">
        <f t="shared" ca="1" si="20"/>
        <v>8.2191780821917804E-2</v>
      </c>
      <c r="L35" s="13">
        <f t="shared" ref="L35:L66" si="23">IFERROR(D35/C35,"")</f>
        <v>105.20618556701031</v>
      </c>
      <c r="M35" s="13">
        <f t="shared" ref="M35:M66" si="24">IFERROR(H35/D35*1000,"")</f>
        <v>15.482606565409114</v>
      </c>
      <c r="N35" s="13">
        <v>1936</v>
      </c>
      <c r="O35" s="15">
        <f t="shared" ca="1" si="21"/>
        <v>2</v>
      </c>
      <c r="P35" s="2"/>
      <c r="Q35" s="2"/>
      <c r="R35" s="2"/>
      <c r="S35" s="18" t="str">
        <f t="shared" ref="S35:S66" ca="1" si="25">IFERROR(IF(ISBLANK(INDIRECT("'"&amp;$Q$2&amp;"'!G"&amp;ROW())),"",INDIRECT("'"&amp;$Q$2&amp;"'!G"&amp;ROW())),"")</f>
        <v/>
      </c>
      <c r="T35" s="20" t="str">
        <f t="shared" ref="T35:T66" ca="1" si="26">IF(OR($G35="",$S35=""),"",$G35-$S35)</f>
        <v/>
      </c>
      <c r="U35" s="18" t="str">
        <f t="shared" ref="U35:U66" ca="1" si="27">IFERROR(IF(ISBLANK(INDIRECT("'"&amp;$Q$2&amp;"'!K"&amp;ROW())),"",INDIRECT("'"&amp;$Q$2&amp;"'!K"&amp;ROW())),"")</f>
        <v/>
      </c>
      <c r="V35" s="20" t="str">
        <f t="shared" ref="V35:V66" ca="1" si="28">IF(OR($K35="",$U35=""),"",$K35-$U35)</f>
        <v/>
      </c>
      <c r="W35" s="21">
        <f t="shared" ref="W35:W66" ca="1" si="29">IFERROR(IF(ISBLANK(INDIRECT("'"&amp;$Q$2&amp;"'!O"&amp;ROW())),"",INDIRECT("'"&amp;$Q$2&amp;"'!O"&amp;ROW())),"")</f>
        <v>4</v>
      </c>
      <c r="X35" s="21">
        <f t="shared" ca="1" si="22"/>
        <v>-2</v>
      </c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3">
        <v>104</v>
      </c>
      <c r="D36" s="13">
        <v>43443</v>
      </c>
      <c r="E36" s="13">
        <f t="shared" ca="1" si="15"/>
        <v>37402</v>
      </c>
      <c r="F36" s="15">
        <f t="shared" ca="1" si="16"/>
        <v>6041</v>
      </c>
      <c r="G36" s="16">
        <f t="shared" ca="1" si="17"/>
        <v>0.16151542698251431</v>
      </c>
      <c r="H36" s="13">
        <v>922</v>
      </c>
      <c r="I36" s="13">
        <f t="shared" ca="1" si="18"/>
        <v>608</v>
      </c>
      <c r="J36" s="15">
        <f t="shared" ca="1" si="19"/>
        <v>314</v>
      </c>
      <c r="K36" s="16">
        <f t="shared" ca="1" si="20"/>
        <v>0.51644736842105265</v>
      </c>
      <c r="L36" s="13">
        <f t="shared" si="23"/>
        <v>417.72115384615387</v>
      </c>
      <c r="M36" s="13">
        <f t="shared" si="24"/>
        <v>21.223212024952236</v>
      </c>
      <c r="N36" s="13">
        <v>5879</v>
      </c>
      <c r="O36" s="15">
        <f t="shared" ca="1" si="21"/>
        <v>4</v>
      </c>
      <c r="P36" s="2"/>
      <c r="Q36" s="2"/>
      <c r="R36" s="2"/>
      <c r="S36" s="18" t="str">
        <f t="shared" ca="1" si="25"/>
        <v/>
      </c>
      <c r="T36" s="20" t="str">
        <f t="shared" ca="1" si="26"/>
        <v/>
      </c>
      <c r="U36" s="18" t="str">
        <f t="shared" ca="1" si="27"/>
        <v/>
      </c>
      <c r="V36" s="20" t="str">
        <f t="shared" ca="1" si="28"/>
        <v/>
      </c>
      <c r="W36" s="21">
        <f t="shared" ca="1" si="29"/>
        <v>3</v>
      </c>
      <c r="X36" s="21">
        <f t="shared" ca="1" si="22"/>
        <v>1</v>
      </c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3">
        <v>101</v>
      </c>
      <c r="D37" s="13">
        <v>5494</v>
      </c>
      <c r="E37" s="13">
        <f t="shared" ca="1" si="15"/>
        <v>6619</v>
      </c>
      <c r="F37" s="15">
        <f t="shared" ca="1" si="16"/>
        <v>-1125</v>
      </c>
      <c r="G37" s="16">
        <f t="shared" ca="1" si="17"/>
        <v>-0.16996525154857228</v>
      </c>
      <c r="H37" s="13">
        <v>23</v>
      </c>
      <c r="I37" s="13">
        <f t="shared" ca="1" si="18"/>
        <v>31</v>
      </c>
      <c r="J37" s="15">
        <f t="shared" ca="1" si="19"/>
        <v>-8</v>
      </c>
      <c r="K37" s="16">
        <f t="shared" ca="1" si="20"/>
        <v>-0.25806451612903225</v>
      </c>
      <c r="L37" s="13">
        <f t="shared" si="23"/>
        <v>54.396039603960396</v>
      </c>
      <c r="M37" s="13">
        <f t="shared" si="24"/>
        <v>4.1863851474335636</v>
      </c>
      <c r="N37" s="13">
        <v>3234</v>
      </c>
      <c r="O37" s="15">
        <f t="shared" ca="1" si="21"/>
        <v>1</v>
      </c>
      <c r="P37" s="2"/>
      <c r="Q37" s="2"/>
      <c r="R37" s="2"/>
      <c r="S37" s="18" t="str">
        <f t="shared" ca="1" si="25"/>
        <v/>
      </c>
      <c r="T37" s="20" t="str">
        <f t="shared" ca="1" si="26"/>
        <v/>
      </c>
      <c r="U37" s="18" t="str">
        <f t="shared" ca="1" si="27"/>
        <v/>
      </c>
      <c r="V37" s="20" t="str">
        <f t="shared" ca="1" si="28"/>
        <v/>
      </c>
      <c r="W37" s="21">
        <f t="shared" ca="1" si="29"/>
        <v>1</v>
      </c>
      <c r="X37" s="21">
        <f t="shared" ca="1" si="22"/>
        <v>0</v>
      </c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3">
        <v>90</v>
      </c>
      <c r="D38" s="13">
        <v>7276</v>
      </c>
      <c r="E38" s="13">
        <f t="shared" ca="1" si="15"/>
        <v>5396</v>
      </c>
      <c r="F38" s="15">
        <f t="shared" ca="1" si="16"/>
        <v>1880</v>
      </c>
      <c r="G38" s="16">
        <f t="shared" ca="1" si="17"/>
        <v>0.34840622683469236</v>
      </c>
      <c r="H38" s="13">
        <v>85</v>
      </c>
      <c r="I38" s="13">
        <f t="shared" ca="1" si="18"/>
        <v>18</v>
      </c>
      <c r="J38" s="15">
        <f t="shared" ca="1" si="19"/>
        <v>67</v>
      </c>
      <c r="K38" s="16">
        <f t="shared" ca="1" si="20"/>
        <v>3.7222222222222223</v>
      </c>
      <c r="L38" s="13">
        <f t="shared" si="23"/>
        <v>80.844444444444449</v>
      </c>
      <c r="M38" s="13">
        <f t="shared" si="24"/>
        <v>11.682242990654204</v>
      </c>
      <c r="N38" s="13">
        <v>1695</v>
      </c>
      <c r="O38" s="15">
        <f t="shared" ca="1" si="21"/>
        <v>2</v>
      </c>
      <c r="P38" s="2"/>
      <c r="Q38" s="2"/>
      <c r="R38" s="2"/>
      <c r="S38" s="18" t="str">
        <f t="shared" ca="1" si="25"/>
        <v/>
      </c>
      <c r="T38" s="20" t="str">
        <f t="shared" ca="1" si="26"/>
        <v/>
      </c>
      <c r="U38" s="18" t="str">
        <f t="shared" ca="1" si="27"/>
        <v/>
      </c>
      <c r="V38" s="20" t="str">
        <f t="shared" ca="1" si="28"/>
        <v/>
      </c>
      <c r="W38" s="21">
        <f t="shared" ca="1" si="29"/>
        <v>3</v>
      </c>
      <c r="X38" s="21">
        <f t="shared" ca="1" si="22"/>
        <v>-1</v>
      </c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3">
        <v>67</v>
      </c>
      <c r="D39" s="13">
        <v>3006</v>
      </c>
      <c r="E39" s="13">
        <f t="shared" ca="1" si="15"/>
        <v>2787</v>
      </c>
      <c r="F39" s="15">
        <f t="shared" ca="1" si="16"/>
        <v>219</v>
      </c>
      <c r="G39" s="16">
        <f t="shared" ca="1" si="17"/>
        <v>7.8579117330462869E-2</v>
      </c>
      <c r="H39" s="13">
        <v>46</v>
      </c>
      <c r="I39" s="13">
        <f t="shared" ca="1" si="18"/>
        <v>3</v>
      </c>
      <c r="J39" s="15">
        <f t="shared" ca="1" si="19"/>
        <v>43</v>
      </c>
      <c r="K39" s="16">
        <f t="shared" ca="1" si="20"/>
        <v>14.333333333333334</v>
      </c>
      <c r="L39" s="13">
        <f t="shared" si="23"/>
        <v>44.865671641791046</v>
      </c>
      <c r="M39" s="13">
        <f t="shared" si="24"/>
        <v>15.302727877578176</v>
      </c>
      <c r="N39" s="13">
        <v>224</v>
      </c>
      <c r="O39" s="15">
        <f t="shared" ca="1" si="21"/>
        <v>0</v>
      </c>
      <c r="P39" s="2"/>
      <c r="Q39" s="2"/>
      <c r="R39" s="2"/>
      <c r="S39" s="18" t="str">
        <f t="shared" ca="1" si="25"/>
        <v/>
      </c>
      <c r="T39" s="20" t="str">
        <f t="shared" ca="1" si="26"/>
        <v/>
      </c>
      <c r="U39" s="18" t="str">
        <f t="shared" ca="1" si="27"/>
        <v/>
      </c>
      <c r="V39" s="20" t="str">
        <f t="shared" ca="1" si="28"/>
        <v/>
      </c>
      <c r="W39" s="21">
        <f t="shared" ca="1" si="29"/>
        <v>2</v>
      </c>
      <c r="X39" s="21">
        <f t="shared" ca="1" si="22"/>
        <v>-2</v>
      </c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3">
        <v>66</v>
      </c>
      <c r="D40" s="13">
        <v>8243</v>
      </c>
      <c r="E40" s="13">
        <f t="shared" ca="1" si="15"/>
        <v>4257</v>
      </c>
      <c r="F40" s="15">
        <f t="shared" ca="1" si="16"/>
        <v>3986</v>
      </c>
      <c r="G40" s="16">
        <f t="shared" ca="1" si="17"/>
        <v>0.93634014564247126</v>
      </c>
      <c r="H40" s="13">
        <v>132</v>
      </c>
      <c r="I40" s="13">
        <f t="shared" ca="1" si="18"/>
        <v>15</v>
      </c>
      <c r="J40" s="15">
        <f t="shared" ca="1" si="19"/>
        <v>117</v>
      </c>
      <c r="K40" s="16">
        <f t="shared" ca="1" si="20"/>
        <v>7.8</v>
      </c>
      <c r="L40" s="13">
        <f t="shared" si="23"/>
        <v>124.89393939393939</v>
      </c>
      <c r="M40" s="13">
        <f t="shared" si="24"/>
        <v>16.013587286182215</v>
      </c>
      <c r="N40" s="13">
        <v>4953</v>
      </c>
      <c r="O40" s="15">
        <f t="shared" ca="1" si="21"/>
        <v>4</v>
      </c>
      <c r="P40" s="2"/>
      <c r="Q40" s="2"/>
      <c r="R40" s="2"/>
      <c r="S40" s="18" t="str">
        <f t="shared" ca="1" si="25"/>
        <v/>
      </c>
      <c r="T40" s="20" t="str">
        <f t="shared" ca="1" si="26"/>
        <v/>
      </c>
      <c r="U40" s="18" t="str">
        <f t="shared" ca="1" si="27"/>
        <v/>
      </c>
      <c r="V40" s="20" t="str">
        <f t="shared" ca="1" si="28"/>
        <v/>
      </c>
      <c r="W40" s="21">
        <f t="shared" ca="1" si="29"/>
        <v>3</v>
      </c>
      <c r="X40" s="21">
        <f t="shared" ca="1" si="22"/>
        <v>1</v>
      </c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3">
        <v>44</v>
      </c>
      <c r="D41" s="13">
        <v>7631</v>
      </c>
      <c r="E41" s="13">
        <f t="shared" ca="1" si="15"/>
        <v>7132</v>
      </c>
      <c r="F41" s="15">
        <f t="shared" ca="1" si="16"/>
        <v>499</v>
      </c>
      <c r="G41" s="16">
        <f t="shared" ca="1" si="17"/>
        <v>6.996634885025238E-2</v>
      </c>
      <c r="H41" s="13">
        <v>69</v>
      </c>
      <c r="I41" s="13">
        <f t="shared" ca="1" si="18"/>
        <v>57</v>
      </c>
      <c r="J41" s="15">
        <f t="shared" ca="1" si="19"/>
        <v>12</v>
      </c>
      <c r="K41" s="16">
        <f t="shared" ca="1" si="20"/>
        <v>0.21052631578947367</v>
      </c>
      <c r="L41" s="13">
        <f t="shared" si="23"/>
        <v>173.43181818181819</v>
      </c>
      <c r="M41" s="13">
        <f t="shared" si="24"/>
        <v>9.0420652601231826</v>
      </c>
      <c r="N41" s="13">
        <v>3530</v>
      </c>
      <c r="O41" s="15">
        <f t="shared" ca="1" si="21"/>
        <v>0</v>
      </c>
      <c r="P41" s="2"/>
      <c r="Q41" s="2"/>
      <c r="R41" s="2"/>
      <c r="S41" s="18" t="str">
        <f t="shared" ca="1" si="25"/>
        <v/>
      </c>
      <c r="T41" s="20" t="str">
        <f t="shared" ca="1" si="26"/>
        <v/>
      </c>
      <c r="U41" s="18" t="str">
        <f t="shared" ca="1" si="27"/>
        <v/>
      </c>
      <c r="V41" s="20" t="str">
        <f t="shared" ca="1" si="28"/>
        <v/>
      </c>
      <c r="W41" s="21">
        <f t="shared" ca="1" si="29"/>
        <v>3</v>
      </c>
      <c r="X41" s="21">
        <f t="shared" ca="1" si="22"/>
        <v>-3</v>
      </c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3">
        <v>34</v>
      </c>
      <c r="D42" s="13">
        <v>8146</v>
      </c>
      <c r="E42" s="13">
        <f t="shared" ca="1" si="15"/>
        <v>9378</v>
      </c>
      <c r="F42" s="15">
        <f t="shared" ca="1" si="16"/>
        <v>-1232</v>
      </c>
      <c r="G42" s="16">
        <f t="shared" ca="1" si="17"/>
        <v>-0.13137129451908722</v>
      </c>
      <c r="H42" s="13">
        <v>293</v>
      </c>
      <c r="I42" s="13">
        <f t="shared" ca="1" si="18"/>
        <v>186</v>
      </c>
      <c r="J42" s="15">
        <f t="shared" ca="1" si="19"/>
        <v>107</v>
      </c>
      <c r="K42" s="16">
        <f t="shared" ca="1" si="20"/>
        <v>0.57526881720430112</v>
      </c>
      <c r="L42" s="13">
        <f t="shared" si="23"/>
        <v>239.58823529411765</v>
      </c>
      <c r="M42" s="13">
        <f t="shared" si="24"/>
        <v>35.968573533022344</v>
      </c>
      <c r="N42" s="13">
        <v>648</v>
      </c>
      <c r="O42" s="15">
        <f t="shared" ca="1" si="21"/>
        <v>5</v>
      </c>
      <c r="P42" s="2"/>
      <c r="Q42" s="2"/>
      <c r="R42" s="2"/>
      <c r="S42" s="18" t="str">
        <f t="shared" ca="1" si="25"/>
        <v/>
      </c>
      <c r="T42" s="20" t="str">
        <f t="shared" ca="1" si="26"/>
        <v/>
      </c>
      <c r="U42" s="18" t="str">
        <f t="shared" ca="1" si="27"/>
        <v/>
      </c>
      <c r="V42" s="20" t="str">
        <f t="shared" ca="1" si="28"/>
        <v/>
      </c>
      <c r="W42" s="21">
        <f t="shared" ca="1" si="29"/>
        <v>9</v>
      </c>
      <c r="X42" s="21">
        <f t="shared" ca="1" si="22"/>
        <v>-4</v>
      </c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3">
        <v>47</v>
      </c>
      <c r="D43" s="13">
        <v>4493</v>
      </c>
      <c r="E43" s="13">
        <f t="shared" ca="1" si="15"/>
        <v>3692</v>
      </c>
      <c r="F43" s="15">
        <f t="shared" ca="1" si="16"/>
        <v>801</v>
      </c>
      <c r="G43" s="16">
        <f t="shared" ca="1" si="17"/>
        <v>0.21695557963163598</v>
      </c>
      <c r="H43" s="13">
        <v>53</v>
      </c>
      <c r="I43" s="13">
        <f t="shared" ca="1" si="18"/>
        <v>25</v>
      </c>
      <c r="J43" s="15">
        <f t="shared" ca="1" si="19"/>
        <v>28</v>
      </c>
      <c r="K43" s="16">
        <f t="shared" ca="1" si="20"/>
        <v>1.1200000000000001</v>
      </c>
      <c r="L43" s="13">
        <f t="shared" si="23"/>
        <v>95.59574468085107</v>
      </c>
      <c r="M43" s="13">
        <f t="shared" si="24"/>
        <v>11.796127309147563</v>
      </c>
      <c r="N43" s="13">
        <v>1951</v>
      </c>
      <c r="O43" s="15">
        <f t="shared" ca="1" si="21"/>
        <v>3</v>
      </c>
      <c r="P43" s="2"/>
      <c r="Q43" s="2"/>
      <c r="R43" s="2"/>
      <c r="S43" s="18" t="str">
        <f t="shared" ca="1" si="25"/>
        <v/>
      </c>
      <c r="T43" s="20" t="str">
        <f t="shared" ca="1" si="26"/>
        <v/>
      </c>
      <c r="U43" s="18" t="str">
        <f t="shared" ca="1" si="27"/>
        <v/>
      </c>
      <c r="V43" s="20" t="str">
        <f t="shared" ca="1" si="28"/>
        <v/>
      </c>
      <c r="W43" s="21">
        <f t="shared" ca="1" si="29"/>
        <v>3</v>
      </c>
      <c r="X43" s="21">
        <f t="shared" ca="1" si="22"/>
        <v>0</v>
      </c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3">
        <v>51</v>
      </c>
      <c r="D44" s="13">
        <v>13849</v>
      </c>
      <c r="E44" s="13">
        <f t="shared" ca="1" si="15"/>
        <v>9680</v>
      </c>
      <c r="F44" s="15">
        <f t="shared" ca="1" si="16"/>
        <v>4169</v>
      </c>
      <c r="G44" s="16">
        <f t="shared" ca="1" si="17"/>
        <v>0.43068181818181817</v>
      </c>
      <c r="H44" s="13">
        <v>374</v>
      </c>
      <c r="I44" s="13">
        <f t="shared" ca="1" si="18"/>
        <v>66</v>
      </c>
      <c r="J44" s="15">
        <f t="shared" ca="1" si="19"/>
        <v>308</v>
      </c>
      <c r="K44" s="16">
        <f t="shared" ca="1" si="20"/>
        <v>4.666666666666667</v>
      </c>
      <c r="L44" s="13">
        <f t="shared" si="23"/>
        <v>271.54901960784315</v>
      </c>
      <c r="M44" s="13">
        <f t="shared" si="24"/>
        <v>27.005559968228752</v>
      </c>
      <c r="N44" s="13">
        <v>4886</v>
      </c>
      <c r="O44" s="15">
        <f t="shared" ca="1" si="21"/>
        <v>2</v>
      </c>
      <c r="P44" s="2"/>
      <c r="Q44" s="2"/>
      <c r="R44" s="2"/>
      <c r="S44" s="18" t="str">
        <f t="shared" ca="1" si="25"/>
        <v/>
      </c>
      <c r="T44" s="20" t="str">
        <f t="shared" ca="1" si="26"/>
        <v/>
      </c>
      <c r="U44" s="18" t="str">
        <f t="shared" ca="1" si="27"/>
        <v/>
      </c>
      <c r="V44" s="20" t="str">
        <f t="shared" ca="1" si="28"/>
        <v/>
      </c>
      <c r="W44" s="21">
        <f t="shared" ca="1" si="29"/>
        <v>5</v>
      </c>
      <c r="X44" s="21">
        <f t="shared" ca="1" si="22"/>
        <v>-3</v>
      </c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3">
        <v>80</v>
      </c>
      <c r="D45" s="13">
        <v>33212</v>
      </c>
      <c r="E45" s="13">
        <f t="shared" ca="1" si="15"/>
        <v>19928</v>
      </c>
      <c r="F45" s="15">
        <f t="shared" ca="1" si="16"/>
        <v>13284</v>
      </c>
      <c r="G45" s="16">
        <f t="shared" ca="1" si="17"/>
        <v>0.66659975913287839</v>
      </c>
      <c r="H45" s="13">
        <v>566</v>
      </c>
      <c r="I45" s="13">
        <f t="shared" ca="1" si="18"/>
        <v>220</v>
      </c>
      <c r="J45" s="15">
        <f t="shared" ca="1" si="19"/>
        <v>346</v>
      </c>
      <c r="K45" s="16">
        <f t="shared" ca="1" si="20"/>
        <v>1.5727272727272728</v>
      </c>
      <c r="L45" s="13">
        <f t="shared" si="23"/>
        <v>415.15</v>
      </c>
      <c r="M45" s="13">
        <f t="shared" si="24"/>
        <v>17.042033000120441</v>
      </c>
      <c r="N45" s="13">
        <v>3737</v>
      </c>
      <c r="O45" s="15">
        <f t="shared" ca="1" si="21"/>
        <v>6</v>
      </c>
      <c r="P45" s="2"/>
      <c r="Q45" s="2"/>
      <c r="R45" s="2"/>
      <c r="S45" s="18" t="str">
        <f t="shared" ca="1" si="25"/>
        <v/>
      </c>
      <c r="T45" s="20" t="str">
        <f t="shared" ca="1" si="26"/>
        <v/>
      </c>
      <c r="U45" s="18" t="str">
        <f t="shared" ca="1" si="27"/>
        <v/>
      </c>
      <c r="V45" s="20" t="str">
        <f t="shared" ca="1" si="28"/>
        <v/>
      </c>
      <c r="W45" s="21">
        <f t="shared" ca="1" si="29"/>
        <v>12</v>
      </c>
      <c r="X45" s="21">
        <f t="shared" ca="1" si="22"/>
        <v>-6</v>
      </c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3">
        <v>67</v>
      </c>
      <c r="D46" s="13">
        <v>27413</v>
      </c>
      <c r="E46" s="13">
        <f t="shared" ca="1" si="15"/>
        <v>42572</v>
      </c>
      <c r="F46" s="15">
        <f t="shared" ca="1" si="16"/>
        <v>-15159</v>
      </c>
      <c r="G46" s="16">
        <f t="shared" ca="1" si="17"/>
        <v>-0.35607911303203982</v>
      </c>
      <c r="H46" s="13">
        <v>660</v>
      </c>
      <c r="I46" s="13">
        <f t="shared" ca="1" si="18"/>
        <v>694</v>
      </c>
      <c r="J46" s="15">
        <f t="shared" ca="1" si="19"/>
        <v>-34</v>
      </c>
      <c r="K46" s="16">
        <f t="shared" ca="1" si="20"/>
        <v>-4.8991354466858789E-2</v>
      </c>
      <c r="L46" s="13">
        <f t="shared" si="23"/>
        <v>409.14925373134326</v>
      </c>
      <c r="M46" s="13">
        <f t="shared" si="24"/>
        <v>24.07616824134535</v>
      </c>
      <c r="N46" s="13">
        <v>4502</v>
      </c>
      <c r="O46" s="15">
        <f t="shared" ca="1" si="21"/>
        <v>6</v>
      </c>
      <c r="P46" s="2"/>
      <c r="Q46" s="2"/>
      <c r="R46" s="2"/>
      <c r="S46" s="18" t="str">
        <f t="shared" ca="1" si="25"/>
        <v/>
      </c>
      <c r="T46" s="20" t="str">
        <f t="shared" ca="1" si="26"/>
        <v/>
      </c>
      <c r="U46" s="18" t="str">
        <f t="shared" ca="1" si="27"/>
        <v/>
      </c>
      <c r="V46" s="20" t="str">
        <f t="shared" ca="1" si="28"/>
        <v/>
      </c>
      <c r="W46" s="21">
        <f t="shared" ca="1" si="29"/>
        <v>9</v>
      </c>
      <c r="X46" s="21">
        <f t="shared" ca="1" si="22"/>
        <v>-3</v>
      </c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3">
        <v>3</v>
      </c>
      <c r="D47" s="13">
        <v>569</v>
      </c>
      <c r="E47" s="13">
        <f t="shared" ca="1" si="15"/>
        <v>769</v>
      </c>
      <c r="F47" s="15">
        <f t="shared" ca="1" si="16"/>
        <v>-200</v>
      </c>
      <c r="G47" s="16">
        <f t="shared" ca="1" si="17"/>
        <v>-0.26007802340702213</v>
      </c>
      <c r="H47" s="13">
        <v>99</v>
      </c>
      <c r="I47" s="13">
        <f t="shared" ca="1" si="18"/>
        <v>16</v>
      </c>
      <c r="J47" s="15">
        <f t="shared" ca="1" si="19"/>
        <v>83</v>
      </c>
      <c r="K47" s="16">
        <f t="shared" ca="1" si="20"/>
        <v>5.1875</v>
      </c>
      <c r="L47" s="13">
        <f t="shared" si="23"/>
        <v>189.66666666666666</v>
      </c>
      <c r="M47" s="13">
        <f t="shared" si="24"/>
        <v>173.98945518453425</v>
      </c>
      <c r="N47" s="13">
        <v>854</v>
      </c>
      <c r="O47" s="15">
        <f t="shared" ca="1" si="21"/>
        <v>-1</v>
      </c>
      <c r="P47" s="2"/>
      <c r="Q47" s="2"/>
      <c r="R47" s="2"/>
      <c r="S47" s="18" t="str">
        <f t="shared" ca="1" si="25"/>
        <v/>
      </c>
      <c r="T47" s="20" t="str">
        <f t="shared" ca="1" si="26"/>
        <v/>
      </c>
      <c r="U47" s="18" t="str">
        <f t="shared" ca="1" si="27"/>
        <v/>
      </c>
      <c r="V47" s="20" t="str">
        <f t="shared" ca="1" si="28"/>
        <v/>
      </c>
      <c r="W47" s="21">
        <f t="shared" ca="1" si="29"/>
        <v>5</v>
      </c>
      <c r="X47" s="21">
        <f t="shared" ca="1" si="22"/>
        <v>-6</v>
      </c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3">
        <v>6</v>
      </c>
      <c r="D48" s="13">
        <v>998</v>
      </c>
      <c r="E48" s="13">
        <f t="shared" ca="1" si="15"/>
        <v>336</v>
      </c>
      <c r="F48" s="15">
        <f t="shared" ca="1" si="16"/>
        <v>662</v>
      </c>
      <c r="G48" s="16">
        <f t="shared" ca="1" si="17"/>
        <v>1.9702380952380953</v>
      </c>
      <c r="H48" s="13">
        <v>138</v>
      </c>
      <c r="I48" s="13">
        <f t="shared" ca="1" si="18"/>
        <v>13</v>
      </c>
      <c r="J48" s="15">
        <f t="shared" ca="1" si="19"/>
        <v>125</v>
      </c>
      <c r="K48" s="16">
        <f t="shared" ca="1" si="20"/>
        <v>9.615384615384615</v>
      </c>
      <c r="L48" s="13">
        <f t="shared" si="23"/>
        <v>166.33333333333334</v>
      </c>
      <c r="M48" s="13">
        <f t="shared" si="24"/>
        <v>138.27655310621242</v>
      </c>
      <c r="N48" s="13">
        <v>858</v>
      </c>
      <c r="O48" s="15">
        <f t="shared" ca="1" si="21"/>
        <v>5</v>
      </c>
      <c r="P48" s="2"/>
      <c r="Q48" s="2"/>
      <c r="R48" s="2"/>
      <c r="S48" s="18" t="str">
        <f t="shared" ca="1" si="25"/>
        <v/>
      </c>
      <c r="T48" s="20" t="str">
        <f t="shared" ca="1" si="26"/>
        <v/>
      </c>
      <c r="U48" s="18" t="str">
        <f t="shared" ca="1" si="27"/>
        <v/>
      </c>
      <c r="V48" s="20" t="str">
        <f t="shared" ca="1" si="28"/>
        <v/>
      </c>
      <c r="W48" s="21">
        <f t="shared" ca="1" si="29"/>
        <v>2</v>
      </c>
      <c r="X48" s="21">
        <f t="shared" ca="1" si="22"/>
        <v>3</v>
      </c>
      <c r="Y48" s="2"/>
      <c r="Z48" s="2"/>
    </row>
    <row r="49" spans="1:26" ht="14.25" customHeight="1" x14ac:dyDescent="0.45">
      <c r="A49" s="12" t="s">
        <v>23</v>
      </c>
      <c r="B49" s="12" t="s">
        <v>62</v>
      </c>
      <c r="C49" s="13">
        <v>234</v>
      </c>
      <c r="D49" s="13">
        <v>6982</v>
      </c>
      <c r="E49" s="13" t="str">
        <f t="shared" ca="1" si="15"/>
        <v/>
      </c>
      <c r="F49" s="15" t="str">
        <f t="shared" ca="1" si="16"/>
        <v/>
      </c>
      <c r="G49" s="16" t="str">
        <f t="shared" ca="1" si="17"/>
        <v/>
      </c>
      <c r="H49" s="13">
        <v>1</v>
      </c>
      <c r="I49" s="13" t="str">
        <f t="shared" ca="1" si="18"/>
        <v/>
      </c>
      <c r="J49" s="15" t="str">
        <f t="shared" ca="1" si="19"/>
        <v/>
      </c>
      <c r="K49" s="16" t="str">
        <f t="shared" ca="1" si="20"/>
        <v/>
      </c>
      <c r="L49" s="13">
        <f t="shared" si="23"/>
        <v>29.837606837606838</v>
      </c>
      <c r="M49" s="13">
        <f t="shared" si="24"/>
        <v>0.14322543683758235</v>
      </c>
      <c r="N49" s="13">
        <v>4815</v>
      </c>
      <c r="O49" s="15" t="str">
        <f t="shared" ca="1" si="21"/>
        <v/>
      </c>
      <c r="P49" s="2"/>
      <c r="Q49" s="2"/>
      <c r="R49" s="2"/>
      <c r="S49" s="18" t="str">
        <f t="shared" ca="1" si="25"/>
        <v/>
      </c>
      <c r="T49" s="20" t="str">
        <f t="shared" ca="1" si="26"/>
        <v/>
      </c>
      <c r="U49" s="18" t="str">
        <f t="shared" ca="1" si="27"/>
        <v/>
      </c>
      <c r="V49" s="20" t="str">
        <f t="shared" ca="1" si="28"/>
        <v/>
      </c>
      <c r="W49" s="21" t="str">
        <f t="shared" ca="1" si="29"/>
        <v/>
      </c>
      <c r="X49" s="21" t="str">
        <f t="shared" ca="1" si="22"/>
        <v/>
      </c>
      <c r="Y49" s="2"/>
      <c r="Z49" s="2"/>
    </row>
    <row r="50" spans="1:26" ht="14.25" customHeight="1" x14ac:dyDescent="0.45">
      <c r="A50" s="12" t="s">
        <v>23</v>
      </c>
      <c r="B50" s="12" t="s">
        <v>65</v>
      </c>
      <c r="C50" s="13">
        <v>9</v>
      </c>
      <c r="D50" s="13">
        <v>269</v>
      </c>
      <c r="E50" s="13" t="str">
        <f t="shared" ca="1" si="15"/>
        <v/>
      </c>
      <c r="F50" s="15" t="str">
        <f t="shared" ca="1" si="16"/>
        <v/>
      </c>
      <c r="G50" s="16" t="str">
        <f t="shared" ca="1" si="17"/>
        <v/>
      </c>
      <c r="H50" s="13">
        <v>9</v>
      </c>
      <c r="I50" s="13" t="str">
        <f t="shared" ca="1" si="18"/>
        <v/>
      </c>
      <c r="J50" s="15" t="str">
        <f t="shared" ca="1" si="19"/>
        <v/>
      </c>
      <c r="K50" s="16" t="str">
        <f t="shared" ca="1" si="20"/>
        <v/>
      </c>
      <c r="L50" s="13">
        <f t="shared" si="23"/>
        <v>29.888888888888889</v>
      </c>
      <c r="M50" s="13">
        <f t="shared" si="24"/>
        <v>33.457249070631967</v>
      </c>
      <c r="N50" s="13">
        <v>42</v>
      </c>
      <c r="O50" s="15" t="str">
        <f t="shared" ca="1" si="21"/>
        <v/>
      </c>
      <c r="P50" s="2"/>
      <c r="Q50" s="2"/>
      <c r="R50" s="2"/>
      <c r="S50" s="18" t="str">
        <f t="shared" ca="1" si="25"/>
        <v/>
      </c>
      <c r="T50" s="20" t="str">
        <f t="shared" ca="1" si="26"/>
        <v/>
      </c>
      <c r="U50" s="18" t="str">
        <f t="shared" ca="1" si="27"/>
        <v/>
      </c>
      <c r="V50" s="20" t="str">
        <f t="shared" ca="1" si="28"/>
        <v/>
      </c>
      <c r="W50" s="21" t="str">
        <f t="shared" ca="1" si="29"/>
        <v/>
      </c>
      <c r="X50" s="21" t="str">
        <f t="shared" ca="1" si="22"/>
        <v/>
      </c>
      <c r="Y50" s="2"/>
      <c r="Z50" s="2"/>
    </row>
    <row r="51" spans="1:26" ht="14.25" customHeight="1" x14ac:dyDescent="0.45">
      <c r="A51" s="25"/>
      <c r="B51" s="25" t="s">
        <v>67</v>
      </c>
      <c r="C51" s="26">
        <f>SUM(C31:C50)</f>
        <v>1577</v>
      </c>
      <c r="D51" s="26">
        <f>SUM(D31:D50)</f>
        <v>268649</v>
      </c>
      <c r="E51" s="26">
        <f ca="1">SUM(E31:E50)</f>
        <v>248359</v>
      </c>
      <c r="F51" s="27">
        <f ca="1">SUM(F31:F50)</f>
        <v>13039</v>
      </c>
      <c r="G51" s="28">
        <f ca="1">IF(C51=0,"",IFERROR(F51/E51,""))</f>
        <v>5.2500614030496176E-2</v>
      </c>
      <c r="H51" s="26">
        <f>SUM(H31:H50)</f>
        <v>3754</v>
      </c>
      <c r="I51" s="26">
        <f ca="1">SUM(I31:I50)</f>
        <v>2209</v>
      </c>
      <c r="J51" s="27">
        <f ca="1">SUM(J31:J50)</f>
        <v>1535</v>
      </c>
      <c r="K51" s="28">
        <f ca="1">IF(C51=0,"",IFERROR(J51/I51,""))</f>
        <v>0.69488456315074698</v>
      </c>
      <c r="L51" s="26">
        <f t="shared" si="23"/>
        <v>170.35447051363349</v>
      </c>
      <c r="M51" s="26">
        <f t="shared" si="24"/>
        <v>13.973623575743815</v>
      </c>
      <c r="N51" s="26">
        <f>SUM(N31:N50)</f>
        <v>106907</v>
      </c>
      <c r="O51" s="27">
        <f ca="1">SUM(O31:O50)</f>
        <v>42</v>
      </c>
      <c r="P51" s="2"/>
      <c r="Q51" s="2"/>
      <c r="R51" s="2"/>
      <c r="S51" s="29" t="str">
        <f t="shared" ca="1" si="25"/>
        <v/>
      </c>
      <c r="T51" s="30" t="str">
        <f t="shared" ca="1" si="26"/>
        <v/>
      </c>
      <c r="U51" s="29" t="str">
        <f t="shared" ca="1" si="27"/>
        <v/>
      </c>
      <c r="V51" s="30" t="str">
        <f t="shared" ca="1" si="28"/>
        <v/>
      </c>
      <c r="W51" s="31">
        <f t="shared" ca="1" si="29"/>
        <v>82</v>
      </c>
      <c r="X51" s="31">
        <f ca="1">IF(OR(C51=0,$O51="",$W51=""),"",$O51-$W51)</f>
        <v>-40</v>
      </c>
      <c r="Y51" s="2"/>
      <c r="Z51" s="2"/>
    </row>
    <row r="52" spans="1:26" ht="14.25" customHeight="1" x14ac:dyDescent="0.45">
      <c r="A52" s="12" t="s">
        <v>24</v>
      </c>
      <c r="B52" s="12" t="s">
        <v>37</v>
      </c>
      <c r="C52" s="13">
        <v>141</v>
      </c>
      <c r="D52" s="13">
        <v>34890</v>
      </c>
      <c r="E52" s="13">
        <f t="shared" ref="E52:E73" ca="1" si="30">IF($D52="","",IFERROR(IF(ISBLANK(INDIRECT("'"&amp;$Q$2&amp;"'!D"&amp;ROW())),"",INDIRECT("'"&amp;$Q$2&amp;"'!D"&amp;ROW())),""))</f>
        <v>38993</v>
      </c>
      <c r="F52" s="15">
        <f t="shared" ref="F52:F73" ca="1" si="31">IF(OR(D52="",E52=""),"",D52-E52)</f>
        <v>-4103</v>
      </c>
      <c r="G52" s="16">
        <f t="shared" ref="G52:G73" ca="1" si="32">IFERROR(F52/E52,"")</f>
        <v>-0.10522401456671711</v>
      </c>
      <c r="H52" s="13">
        <v>229</v>
      </c>
      <c r="I52" s="13">
        <f t="shared" ref="I52:I73" ca="1" si="33">IF($H52="","",IFERROR(IF(ISBLANK(INDIRECT("'"&amp;$Q$2&amp;"'!H"&amp;ROW())),"",INDIRECT("'"&amp;$Q$2&amp;"'!H"&amp;ROW())),""))</f>
        <v>176</v>
      </c>
      <c r="J52" s="15">
        <f t="shared" ref="J52:J73" ca="1" si="34">IF(OR(H52="",I52=""),"",H52-I52)</f>
        <v>53</v>
      </c>
      <c r="K52" s="16">
        <f t="shared" ref="K52:K73" ca="1" si="35">IFERROR(J52/I52,"")</f>
        <v>0.30113636363636365</v>
      </c>
      <c r="L52" s="13">
        <f t="shared" si="23"/>
        <v>247.44680851063831</v>
      </c>
      <c r="M52" s="13">
        <f t="shared" si="24"/>
        <v>6.5634852393235885</v>
      </c>
      <c r="N52" s="13">
        <v>11821</v>
      </c>
      <c r="O52" s="15">
        <f t="shared" ref="O52:O73" ca="1" si="36">IFERROR(IF(OR(N52="",ISBLANK(INDIRECT("'"&amp;$Q$2&amp;"'!N"&amp;ROW()))),"",N52-INDIRECT("'"&amp;$Q$2&amp;"'!N"&amp;ROW())),"")</f>
        <v>-22</v>
      </c>
      <c r="P52" s="2"/>
      <c r="Q52" s="2"/>
      <c r="R52" s="2"/>
      <c r="S52" s="18" t="str">
        <f t="shared" ca="1" si="25"/>
        <v/>
      </c>
      <c r="T52" s="20" t="str">
        <f t="shared" ca="1" si="26"/>
        <v/>
      </c>
      <c r="U52" s="18" t="str">
        <f t="shared" ca="1" si="27"/>
        <v/>
      </c>
      <c r="V52" s="20" t="str">
        <f t="shared" ca="1" si="28"/>
        <v/>
      </c>
      <c r="W52" s="21">
        <f t="shared" ca="1" si="29"/>
        <v>8</v>
      </c>
      <c r="X52" s="21">
        <f t="shared" ref="X52:X73" ca="1" si="37">IF(OR($O52="",$W52=""),"",$O52-$W52)</f>
        <v>-30</v>
      </c>
      <c r="Y52" s="2"/>
      <c r="Z52" s="2"/>
    </row>
    <row r="53" spans="1:26" ht="14.25" customHeight="1" x14ac:dyDescent="0.45">
      <c r="A53" s="12" t="s">
        <v>24</v>
      </c>
      <c r="B53" s="12" t="s">
        <v>39</v>
      </c>
      <c r="C53" s="13">
        <v>138</v>
      </c>
      <c r="D53" s="13">
        <v>32854</v>
      </c>
      <c r="E53" s="13">
        <f t="shared" ca="1" si="30"/>
        <v>49251</v>
      </c>
      <c r="F53" s="15">
        <f t="shared" ca="1" si="31"/>
        <v>-16397</v>
      </c>
      <c r="G53" s="16">
        <f t="shared" ca="1" si="32"/>
        <v>-0.33292725020811759</v>
      </c>
      <c r="H53" s="13">
        <v>36</v>
      </c>
      <c r="I53" s="13">
        <f t="shared" ca="1" si="33"/>
        <v>30</v>
      </c>
      <c r="J53" s="15">
        <f t="shared" ca="1" si="34"/>
        <v>6</v>
      </c>
      <c r="K53" s="16">
        <f t="shared" ca="1" si="35"/>
        <v>0.2</v>
      </c>
      <c r="L53" s="13">
        <f t="shared" si="23"/>
        <v>238.07246376811594</v>
      </c>
      <c r="M53" s="13">
        <f t="shared" si="24"/>
        <v>1.0957569854507823</v>
      </c>
      <c r="N53" s="13">
        <v>4825</v>
      </c>
      <c r="O53" s="15">
        <f t="shared" ca="1" si="36"/>
        <v>-1</v>
      </c>
      <c r="P53" s="2"/>
      <c r="Q53" s="2"/>
      <c r="R53" s="2"/>
      <c r="S53" s="18" t="str">
        <f t="shared" ca="1" si="25"/>
        <v/>
      </c>
      <c r="T53" s="20" t="str">
        <f t="shared" ca="1" si="26"/>
        <v/>
      </c>
      <c r="U53" s="18" t="str">
        <f t="shared" ca="1" si="27"/>
        <v/>
      </c>
      <c r="V53" s="20" t="str">
        <f t="shared" ca="1" si="28"/>
        <v/>
      </c>
      <c r="W53" s="21">
        <f t="shared" ca="1" si="29"/>
        <v>-19</v>
      </c>
      <c r="X53" s="21">
        <f t="shared" ca="1" si="37"/>
        <v>18</v>
      </c>
      <c r="Y53" s="2"/>
      <c r="Z53" s="2"/>
    </row>
    <row r="54" spans="1:26" ht="14.25" customHeight="1" x14ac:dyDescent="0.45">
      <c r="A54" s="12" t="s">
        <v>24</v>
      </c>
      <c r="B54" s="12" t="s">
        <v>42</v>
      </c>
      <c r="C54" s="13">
        <v>82</v>
      </c>
      <c r="D54" s="13">
        <v>1527</v>
      </c>
      <c r="E54" s="13">
        <f t="shared" ca="1" si="30"/>
        <v>2006</v>
      </c>
      <c r="F54" s="15">
        <f t="shared" ca="1" si="31"/>
        <v>-479</v>
      </c>
      <c r="G54" s="16">
        <f t="shared" ca="1" si="32"/>
        <v>-0.23878364905284147</v>
      </c>
      <c r="H54" s="13">
        <v>4</v>
      </c>
      <c r="I54" s="13">
        <f t="shared" ca="1" si="33"/>
        <v>6</v>
      </c>
      <c r="J54" s="15">
        <f t="shared" ca="1" si="34"/>
        <v>-2</v>
      </c>
      <c r="K54" s="16">
        <f t="shared" ca="1" si="35"/>
        <v>-0.33333333333333331</v>
      </c>
      <c r="L54" s="13">
        <f t="shared" si="23"/>
        <v>18.621951219512194</v>
      </c>
      <c r="M54" s="13">
        <f t="shared" si="24"/>
        <v>2.6195153896529142</v>
      </c>
      <c r="N54" s="13">
        <v>873</v>
      </c>
      <c r="O54" s="15">
        <f t="shared" ca="1" si="36"/>
        <v>1</v>
      </c>
      <c r="P54" s="2"/>
      <c r="Q54" s="2"/>
      <c r="R54" s="2"/>
      <c r="S54" s="18" t="str">
        <f t="shared" ca="1" si="25"/>
        <v/>
      </c>
      <c r="T54" s="20" t="str">
        <f t="shared" ca="1" si="26"/>
        <v/>
      </c>
      <c r="U54" s="18" t="str">
        <f t="shared" ca="1" si="27"/>
        <v/>
      </c>
      <c r="V54" s="20" t="str">
        <f t="shared" ca="1" si="28"/>
        <v/>
      </c>
      <c r="W54" s="21">
        <f t="shared" ca="1" si="29"/>
        <v>-3</v>
      </c>
      <c r="X54" s="21">
        <f t="shared" ca="1" si="37"/>
        <v>4</v>
      </c>
      <c r="Y54" s="2"/>
      <c r="Z54" s="2"/>
    </row>
    <row r="55" spans="1:26" ht="14.25" customHeight="1" x14ac:dyDescent="0.45">
      <c r="A55" s="12" t="s">
        <v>24</v>
      </c>
      <c r="B55" s="12" t="s">
        <v>68</v>
      </c>
      <c r="C55" s="13">
        <v>7</v>
      </c>
      <c r="D55" s="13">
        <v>3759</v>
      </c>
      <c r="E55" s="13">
        <f t="shared" ca="1" si="30"/>
        <v>23655</v>
      </c>
      <c r="F55" s="15">
        <f t="shared" ca="1" si="31"/>
        <v>-19896</v>
      </c>
      <c r="G55" s="16">
        <f t="shared" ca="1" si="32"/>
        <v>-0.84109067850348762</v>
      </c>
      <c r="H55" s="13">
        <v>18</v>
      </c>
      <c r="I55" s="13">
        <f t="shared" ca="1" si="33"/>
        <v>22</v>
      </c>
      <c r="J55" s="15">
        <f t="shared" ca="1" si="34"/>
        <v>-4</v>
      </c>
      <c r="K55" s="16">
        <f t="shared" ca="1" si="35"/>
        <v>-0.18181818181818182</v>
      </c>
      <c r="L55" s="13">
        <f t="shared" si="23"/>
        <v>537</v>
      </c>
      <c r="M55" s="13">
        <f t="shared" si="24"/>
        <v>4.7885075818036711</v>
      </c>
      <c r="N55" s="13">
        <v>13857</v>
      </c>
      <c r="O55" s="15">
        <f t="shared" ca="1" si="36"/>
        <v>-29</v>
      </c>
      <c r="P55" s="2"/>
      <c r="Q55" s="2"/>
      <c r="R55" s="2"/>
      <c r="S55" s="18" t="str">
        <f t="shared" ca="1" si="25"/>
        <v/>
      </c>
      <c r="T55" s="20" t="str">
        <f t="shared" ca="1" si="26"/>
        <v/>
      </c>
      <c r="U55" s="18" t="str">
        <f t="shared" ca="1" si="27"/>
        <v/>
      </c>
      <c r="V55" s="20" t="str">
        <f t="shared" ca="1" si="28"/>
        <v/>
      </c>
      <c r="W55" s="21">
        <f t="shared" ca="1" si="29"/>
        <v>-175</v>
      </c>
      <c r="X55" s="21">
        <f t="shared" ca="1" si="37"/>
        <v>146</v>
      </c>
      <c r="Y55" s="2"/>
      <c r="Z55" s="2"/>
    </row>
    <row r="56" spans="1:26" ht="14.25" customHeight="1" x14ac:dyDescent="0.45">
      <c r="A56" s="12" t="s">
        <v>24</v>
      </c>
      <c r="B56" s="12" t="s">
        <v>69</v>
      </c>
      <c r="C56" s="13">
        <v>7</v>
      </c>
      <c r="D56" s="13">
        <v>2886</v>
      </c>
      <c r="E56" s="13">
        <f t="shared" ca="1" si="30"/>
        <v>400</v>
      </c>
      <c r="F56" s="15">
        <f t="shared" ca="1" si="31"/>
        <v>2486</v>
      </c>
      <c r="G56" s="16">
        <f t="shared" ca="1" si="32"/>
        <v>6.2149999999999999</v>
      </c>
      <c r="H56" s="13">
        <v>9</v>
      </c>
      <c r="I56" s="13">
        <f t="shared" ca="1" si="33"/>
        <v>3</v>
      </c>
      <c r="J56" s="15">
        <f t="shared" ca="1" si="34"/>
        <v>6</v>
      </c>
      <c r="K56" s="16">
        <f t="shared" ca="1" si="35"/>
        <v>2</v>
      </c>
      <c r="L56" s="13">
        <f t="shared" si="23"/>
        <v>412.28571428571428</v>
      </c>
      <c r="M56" s="13">
        <f t="shared" si="24"/>
        <v>3.1185031185031189</v>
      </c>
      <c r="N56" s="13">
        <v>8678</v>
      </c>
      <c r="O56" s="15">
        <f t="shared" ca="1" si="36"/>
        <v>-7</v>
      </c>
      <c r="P56" s="2"/>
      <c r="Q56" s="2"/>
      <c r="R56" s="2"/>
      <c r="S56" s="18" t="str">
        <f t="shared" ca="1" si="25"/>
        <v/>
      </c>
      <c r="T56" s="20" t="str">
        <f t="shared" ca="1" si="26"/>
        <v/>
      </c>
      <c r="U56" s="18" t="str">
        <f t="shared" ca="1" si="27"/>
        <v/>
      </c>
      <c r="V56" s="20" t="str">
        <f t="shared" ca="1" si="28"/>
        <v/>
      </c>
      <c r="W56" s="21">
        <f t="shared" ca="1" si="29"/>
        <v>-83</v>
      </c>
      <c r="X56" s="21">
        <f t="shared" ca="1" si="37"/>
        <v>76</v>
      </c>
      <c r="Y56" s="2"/>
      <c r="Z56" s="2"/>
    </row>
    <row r="57" spans="1:26" ht="14.25" customHeight="1" x14ac:dyDescent="0.45">
      <c r="A57" s="12" t="s">
        <v>24</v>
      </c>
      <c r="B57" s="12" t="s">
        <v>43</v>
      </c>
      <c r="C57" s="13">
        <v>131</v>
      </c>
      <c r="D57" s="13">
        <v>87361</v>
      </c>
      <c r="E57" s="13">
        <f t="shared" ca="1" si="30"/>
        <v>64144</v>
      </c>
      <c r="F57" s="15">
        <f t="shared" ca="1" si="31"/>
        <v>23217</v>
      </c>
      <c r="G57" s="16">
        <f t="shared" ca="1" si="32"/>
        <v>0.36195123472187579</v>
      </c>
      <c r="H57" s="13">
        <v>359</v>
      </c>
      <c r="I57" s="13">
        <f t="shared" ca="1" si="33"/>
        <v>273</v>
      </c>
      <c r="J57" s="15">
        <f t="shared" ca="1" si="34"/>
        <v>86</v>
      </c>
      <c r="K57" s="16">
        <f t="shared" ca="1" si="35"/>
        <v>0.31501831501831501</v>
      </c>
      <c r="L57" s="13">
        <f t="shared" si="23"/>
        <v>666.87786259541986</v>
      </c>
      <c r="M57" s="13">
        <f t="shared" si="24"/>
        <v>4.109385194766543</v>
      </c>
      <c r="N57" s="13">
        <v>10875</v>
      </c>
      <c r="O57" s="15">
        <f t="shared" ca="1" si="36"/>
        <v>12</v>
      </c>
      <c r="P57" s="2"/>
      <c r="Q57" s="2"/>
      <c r="R57" s="2"/>
      <c r="S57" s="18" t="str">
        <f t="shared" ca="1" si="25"/>
        <v/>
      </c>
      <c r="T57" s="20" t="str">
        <f t="shared" ca="1" si="26"/>
        <v/>
      </c>
      <c r="U57" s="18" t="str">
        <f t="shared" ca="1" si="27"/>
        <v/>
      </c>
      <c r="V57" s="20" t="str">
        <f t="shared" ca="1" si="28"/>
        <v/>
      </c>
      <c r="W57" s="21">
        <f t="shared" ca="1" si="29"/>
        <v>-35</v>
      </c>
      <c r="X57" s="21">
        <f t="shared" ca="1" si="37"/>
        <v>47</v>
      </c>
      <c r="Y57" s="2"/>
      <c r="Z57" s="2"/>
    </row>
    <row r="58" spans="1:26" ht="14.25" customHeight="1" x14ac:dyDescent="0.45">
      <c r="A58" s="12" t="s">
        <v>24</v>
      </c>
      <c r="B58" s="12" t="s">
        <v>44</v>
      </c>
      <c r="C58" s="13">
        <v>111</v>
      </c>
      <c r="D58" s="13">
        <v>25697</v>
      </c>
      <c r="E58" s="13">
        <f t="shared" ca="1" si="30"/>
        <v>22193</v>
      </c>
      <c r="F58" s="15">
        <f t="shared" ca="1" si="31"/>
        <v>3504</v>
      </c>
      <c r="G58" s="16">
        <f t="shared" ca="1" si="32"/>
        <v>0.15788762222322353</v>
      </c>
      <c r="H58" s="13">
        <v>274</v>
      </c>
      <c r="I58" s="13">
        <f t="shared" ca="1" si="33"/>
        <v>271</v>
      </c>
      <c r="J58" s="15">
        <f t="shared" ca="1" si="34"/>
        <v>3</v>
      </c>
      <c r="K58" s="16">
        <f t="shared" ca="1" si="35"/>
        <v>1.107011070110701E-2</v>
      </c>
      <c r="L58" s="13">
        <f t="shared" si="23"/>
        <v>231.5045045045045</v>
      </c>
      <c r="M58" s="13">
        <f t="shared" si="24"/>
        <v>10.662723275090476</v>
      </c>
      <c r="N58" s="13">
        <v>4132</v>
      </c>
      <c r="O58" s="15">
        <f t="shared" ca="1" si="36"/>
        <v>-17</v>
      </c>
      <c r="P58" s="2"/>
      <c r="Q58" s="2"/>
      <c r="R58" s="2"/>
      <c r="S58" s="18" t="str">
        <f t="shared" ca="1" si="25"/>
        <v/>
      </c>
      <c r="T58" s="20" t="str">
        <f t="shared" ca="1" si="26"/>
        <v/>
      </c>
      <c r="U58" s="18" t="str">
        <f t="shared" ca="1" si="27"/>
        <v/>
      </c>
      <c r="V58" s="20" t="str">
        <f t="shared" ca="1" si="28"/>
        <v/>
      </c>
      <c r="W58" s="21">
        <f t="shared" ca="1" si="29"/>
        <v>-33</v>
      </c>
      <c r="X58" s="21">
        <f t="shared" ca="1" si="37"/>
        <v>16</v>
      </c>
      <c r="Y58" s="2"/>
      <c r="Z58" s="2"/>
    </row>
    <row r="59" spans="1:26" ht="14.25" customHeight="1" x14ac:dyDescent="0.45">
      <c r="A59" s="12" t="s">
        <v>24</v>
      </c>
      <c r="B59" s="12" t="s">
        <v>45</v>
      </c>
      <c r="C59" s="13">
        <v>111</v>
      </c>
      <c r="D59" s="13">
        <v>39791</v>
      </c>
      <c r="E59" s="13">
        <f t="shared" ca="1" si="30"/>
        <v>30533</v>
      </c>
      <c r="F59" s="15">
        <f t="shared" ca="1" si="31"/>
        <v>9258</v>
      </c>
      <c r="G59" s="16">
        <f t="shared" ca="1" si="32"/>
        <v>0.30321291717158483</v>
      </c>
      <c r="H59" s="13">
        <v>421</v>
      </c>
      <c r="I59" s="13">
        <f t="shared" ca="1" si="33"/>
        <v>190</v>
      </c>
      <c r="J59" s="15">
        <f t="shared" ca="1" si="34"/>
        <v>231</v>
      </c>
      <c r="K59" s="16">
        <f t="shared" ca="1" si="35"/>
        <v>1.2157894736842105</v>
      </c>
      <c r="L59" s="13">
        <f t="shared" si="23"/>
        <v>358.47747747747746</v>
      </c>
      <c r="M59" s="13">
        <f t="shared" si="24"/>
        <v>10.580281973310548</v>
      </c>
      <c r="N59" s="13">
        <v>5549</v>
      </c>
      <c r="O59" s="15">
        <f t="shared" ca="1" si="36"/>
        <v>-2</v>
      </c>
      <c r="P59" s="2"/>
      <c r="Q59" s="2"/>
      <c r="R59" s="2"/>
      <c r="S59" s="18" t="str">
        <f t="shared" ca="1" si="25"/>
        <v/>
      </c>
      <c r="T59" s="20" t="str">
        <f t="shared" ca="1" si="26"/>
        <v/>
      </c>
      <c r="U59" s="18" t="str">
        <f t="shared" ca="1" si="27"/>
        <v/>
      </c>
      <c r="V59" s="20" t="str">
        <f t="shared" ca="1" si="28"/>
        <v/>
      </c>
      <c r="W59" s="21">
        <f t="shared" ca="1" si="29"/>
        <v>-42</v>
      </c>
      <c r="X59" s="21">
        <f t="shared" ca="1" si="37"/>
        <v>40</v>
      </c>
      <c r="Y59" s="2"/>
      <c r="Z59" s="2"/>
    </row>
    <row r="60" spans="1:26" ht="14.25" customHeight="1" x14ac:dyDescent="0.45">
      <c r="A60" s="12" t="s">
        <v>24</v>
      </c>
      <c r="B60" s="12" t="s">
        <v>46</v>
      </c>
      <c r="C60" s="13">
        <v>102</v>
      </c>
      <c r="D60" s="13">
        <v>51592</v>
      </c>
      <c r="E60" s="13">
        <f t="shared" ca="1" si="30"/>
        <v>48843</v>
      </c>
      <c r="F60" s="15">
        <f t="shared" ca="1" si="31"/>
        <v>2749</v>
      </c>
      <c r="G60" s="16">
        <f t="shared" ca="1" si="32"/>
        <v>5.6282374137542737E-2</v>
      </c>
      <c r="H60" s="13">
        <v>226</v>
      </c>
      <c r="I60" s="13">
        <f t="shared" ca="1" si="33"/>
        <v>202</v>
      </c>
      <c r="J60" s="15">
        <f t="shared" ca="1" si="34"/>
        <v>24</v>
      </c>
      <c r="K60" s="16">
        <f t="shared" ca="1" si="35"/>
        <v>0.11881188118811881</v>
      </c>
      <c r="L60" s="13">
        <f t="shared" si="23"/>
        <v>505.80392156862746</v>
      </c>
      <c r="M60" s="13">
        <f t="shared" si="24"/>
        <v>4.3805241122654675</v>
      </c>
      <c r="N60" s="13">
        <v>10459</v>
      </c>
      <c r="O60" s="15">
        <f t="shared" ca="1" si="36"/>
        <v>-27</v>
      </c>
      <c r="P60" s="2"/>
      <c r="Q60" s="2"/>
      <c r="R60" s="2"/>
      <c r="S60" s="18" t="str">
        <f t="shared" ca="1" si="25"/>
        <v/>
      </c>
      <c r="T60" s="20" t="str">
        <f t="shared" ca="1" si="26"/>
        <v/>
      </c>
      <c r="U60" s="18" t="str">
        <f t="shared" ca="1" si="27"/>
        <v/>
      </c>
      <c r="V60" s="20" t="str">
        <f t="shared" ca="1" si="28"/>
        <v/>
      </c>
      <c r="W60" s="21">
        <f t="shared" ca="1" si="29"/>
        <v>-42</v>
      </c>
      <c r="X60" s="21">
        <f t="shared" ca="1" si="37"/>
        <v>15</v>
      </c>
      <c r="Y60" s="2"/>
      <c r="Z60" s="2"/>
    </row>
    <row r="61" spans="1:26" ht="14.25" customHeight="1" x14ac:dyDescent="0.45">
      <c r="A61" s="12" t="s">
        <v>24</v>
      </c>
      <c r="B61" s="12" t="s">
        <v>47</v>
      </c>
      <c r="C61" s="13">
        <v>69</v>
      </c>
      <c r="D61" s="13">
        <v>8127</v>
      </c>
      <c r="E61" s="13">
        <f t="shared" ca="1" si="30"/>
        <v>13697</v>
      </c>
      <c r="F61" s="15">
        <f t="shared" ca="1" si="31"/>
        <v>-5570</v>
      </c>
      <c r="G61" s="16">
        <f t="shared" ca="1" si="32"/>
        <v>-0.4066583923486895</v>
      </c>
      <c r="H61" s="13">
        <v>13</v>
      </c>
      <c r="I61" s="13">
        <f t="shared" ca="1" si="33"/>
        <v>21</v>
      </c>
      <c r="J61" s="15">
        <f t="shared" ca="1" si="34"/>
        <v>-8</v>
      </c>
      <c r="K61" s="16">
        <f t="shared" ca="1" si="35"/>
        <v>-0.38095238095238093</v>
      </c>
      <c r="L61" s="13">
        <f t="shared" si="23"/>
        <v>117.78260869565217</v>
      </c>
      <c r="M61" s="13">
        <f t="shared" si="24"/>
        <v>1.5996062507690416</v>
      </c>
      <c r="N61" s="13">
        <v>2318</v>
      </c>
      <c r="O61" s="15">
        <f t="shared" ca="1" si="36"/>
        <v>-1</v>
      </c>
      <c r="P61" s="2"/>
      <c r="Q61" s="2"/>
      <c r="R61" s="2"/>
      <c r="S61" s="18" t="str">
        <f t="shared" ca="1" si="25"/>
        <v/>
      </c>
      <c r="T61" s="20" t="str">
        <f t="shared" ca="1" si="26"/>
        <v/>
      </c>
      <c r="U61" s="18" t="str">
        <f t="shared" ca="1" si="27"/>
        <v/>
      </c>
      <c r="V61" s="20" t="str">
        <f t="shared" ca="1" si="28"/>
        <v/>
      </c>
      <c r="W61" s="21">
        <f t="shared" ca="1" si="29"/>
        <v>-22</v>
      </c>
      <c r="X61" s="21">
        <f t="shared" ca="1" si="37"/>
        <v>21</v>
      </c>
      <c r="Y61" s="2"/>
      <c r="Z61" s="2"/>
    </row>
    <row r="62" spans="1:26" ht="14.25" customHeight="1" x14ac:dyDescent="0.45">
      <c r="A62" s="12" t="s">
        <v>24</v>
      </c>
      <c r="B62" s="12" t="s">
        <v>48</v>
      </c>
      <c r="C62" s="13">
        <v>46</v>
      </c>
      <c r="D62" s="13">
        <v>3697</v>
      </c>
      <c r="E62" s="13">
        <f t="shared" ca="1" si="30"/>
        <v>4841</v>
      </c>
      <c r="F62" s="15">
        <f t="shared" ca="1" si="31"/>
        <v>-1144</v>
      </c>
      <c r="G62" s="16">
        <f t="shared" ca="1" si="32"/>
        <v>-0.236314810989465</v>
      </c>
      <c r="H62" s="13">
        <v>31</v>
      </c>
      <c r="I62" s="13">
        <f t="shared" ca="1" si="33"/>
        <v>42</v>
      </c>
      <c r="J62" s="15">
        <f t="shared" ca="1" si="34"/>
        <v>-11</v>
      </c>
      <c r="K62" s="16">
        <f t="shared" ca="1" si="35"/>
        <v>-0.26190476190476192</v>
      </c>
      <c r="L62" s="13">
        <f t="shared" si="23"/>
        <v>80.369565217391298</v>
      </c>
      <c r="M62" s="13">
        <f t="shared" si="24"/>
        <v>8.3851771706789275</v>
      </c>
      <c r="N62" s="13">
        <v>1378</v>
      </c>
      <c r="O62" s="15">
        <f t="shared" ca="1" si="36"/>
        <v>-3</v>
      </c>
      <c r="P62" s="2"/>
      <c r="Q62" s="2"/>
      <c r="R62" s="2"/>
      <c r="S62" s="18" t="str">
        <f t="shared" ca="1" si="25"/>
        <v/>
      </c>
      <c r="T62" s="20" t="str">
        <f t="shared" ca="1" si="26"/>
        <v/>
      </c>
      <c r="U62" s="18" t="str">
        <f t="shared" ca="1" si="27"/>
        <v/>
      </c>
      <c r="V62" s="20" t="str">
        <f t="shared" ca="1" si="28"/>
        <v/>
      </c>
      <c r="W62" s="21">
        <f t="shared" ca="1" si="29"/>
        <v>-9</v>
      </c>
      <c r="X62" s="21">
        <f t="shared" ca="1" si="37"/>
        <v>6</v>
      </c>
      <c r="Y62" s="2"/>
      <c r="Z62" s="2"/>
    </row>
    <row r="63" spans="1:26" ht="14.25" customHeight="1" x14ac:dyDescent="0.45">
      <c r="A63" s="12" t="s">
        <v>24</v>
      </c>
      <c r="B63" s="12" t="s">
        <v>49</v>
      </c>
      <c r="C63" s="13">
        <v>87</v>
      </c>
      <c r="D63" s="13">
        <v>31198</v>
      </c>
      <c r="E63" s="13">
        <f t="shared" ca="1" si="30"/>
        <v>19888</v>
      </c>
      <c r="F63" s="15">
        <f t="shared" ca="1" si="31"/>
        <v>11310</v>
      </c>
      <c r="G63" s="16">
        <f t="shared" ca="1" si="32"/>
        <v>0.5686846339501207</v>
      </c>
      <c r="H63" s="13">
        <v>146</v>
      </c>
      <c r="I63" s="13">
        <f t="shared" ca="1" si="33"/>
        <v>82</v>
      </c>
      <c r="J63" s="15">
        <f t="shared" ca="1" si="34"/>
        <v>64</v>
      </c>
      <c r="K63" s="16">
        <f t="shared" ca="1" si="35"/>
        <v>0.78048780487804881</v>
      </c>
      <c r="L63" s="13">
        <f t="shared" si="23"/>
        <v>358.59770114942529</v>
      </c>
      <c r="M63" s="13">
        <f t="shared" si="24"/>
        <v>4.6797871658439645</v>
      </c>
      <c r="N63" s="13">
        <v>5687</v>
      </c>
      <c r="O63" s="15">
        <f t="shared" ca="1" si="36"/>
        <v>1</v>
      </c>
      <c r="P63" s="2"/>
      <c r="Q63" s="2"/>
      <c r="R63" s="2"/>
      <c r="S63" s="18" t="str">
        <f t="shared" ca="1" si="25"/>
        <v/>
      </c>
      <c r="T63" s="20" t="str">
        <f t="shared" ca="1" si="26"/>
        <v/>
      </c>
      <c r="U63" s="18" t="str">
        <f t="shared" ca="1" si="27"/>
        <v/>
      </c>
      <c r="V63" s="20" t="str">
        <f t="shared" ca="1" si="28"/>
        <v/>
      </c>
      <c r="W63" s="21">
        <f t="shared" ca="1" si="29"/>
        <v>-75</v>
      </c>
      <c r="X63" s="21">
        <f t="shared" ca="1" si="37"/>
        <v>76</v>
      </c>
      <c r="Y63" s="2"/>
      <c r="Z63" s="2"/>
    </row>
    <row r="64" spans="1:26" ht="14.25" customHeight="1" x14ac:dyDescent="0.45">
      <c r="A64" s="12" t="s">
        <v>24</v>
      </c>
      <c r="B64" s="12" t="s">
        <v>50</v>
      </c>
      <c r="C64" s="13">
        <v>29</v>
      </c>
      <c r="D64" s="13">
        <v>3175</v>
      </c>
      <c r="E64" s="13">
        <f t="shared" ca="1" si="30"/>
        <v>4988</v>
      </c>
      <c r="F64" s="15">
        <f t="shared" ca="1" si="31"/>
        <v>-1813</v>
      </c>
      <c r="G64" s="16">
        <f t="shared" ca="1" si="32"/>
        <v>-0.36347233360064152</v>
      </c>
      <c r="H64" s="13">
        <v>2</v>
      </c>
      <c r="I64" s="13">
        <f t="shared" ca="1" si="33"/>
        <v>11</v>
      </c>
      <c r="J64" s="15">
        <f t="shared" ca="1" si="34"/>
        <v>-9</v>
      </c>
      <c r="K64" s="16">
        <f t="shared" ca="1" si="35"/>
        <v>-0.81818181818181823</v>
      </c>
      <c r="L64" s="13">
        <f t="shared" si="23"/>
        <v>109.48275862068965</v>
      </c>
      <c r="M64" s="13">
        <f t="shared" si="24"/>
        <v>0.62992125984251968</v>
      </c>
      <c r="N64" s="13">
        <v>1825</v>
      </c>
      <c r="O64" s="15">
        <f t="shared" ca="1" si="36"/>
        <v>-3</v>
      </c>
      <c r="P64" s="2"/>
      <c r="Q64" s="2"/>
      <c r="R64" s="2"/>
      <c r="S64" s="18" t="str">
        <f t="shared" ca="1" si="25"/>
        <v/>
      </c>
      <c r="T64" s="20" t="str">
        <f t="shared" ca="1" si="26"/>
        <v/>
      </c>
      <c r="U64" s="18" t="str">
        <f t="shared" ca="1" si="27"/>
        <v/>
      </c>
      <c r="V64" s="20" t="str">
        <f t="shared" ca="1" si="28"/>
        <v/>
      </c>
      <c r="W64" s="21">
        <f t="shared" ca="1" si="29"/>
        <v>-22</v>
      </c>
      <c r="X64" s="21">
        <f t="shared" ca="1" si="37"/>
        <v>19</v>
      </c>
      <c r="Y64" s="2"/>
      <c r="Z64" s="2"/>
    </row>
    <row r="65" spans="1:26" ht="14.25" customHeight="1" x14ac:dyDescent="0.45">
      <c r="A65" s="12" t="s">
        <v>24</v>
      </c>
      <c r="B65" s="12" t="s">
        <v>51</v>
      </c>
      <c r="C65" s="13">
        <v>35</v>
      </c>
      <c r="D65" s="13">
        <v>2954</v>
      </c>
      <c r="E65" s="13">
        <f t="shared" ca="1" si="30"/>
        <v>2643</v>
      </c>
      <c r="F65" s="15">
        <f t="shared" ca="1" si="31"/>
        <v>311</v>
      </c>
      <c r="G65" s="16">
        <f t="shared" ca="1" si="32"/>
        <v>0.11766931517215286</v>
      </c>
      <c r="H65" s="13">
        <v>2</v>
      </c>
      <c r="I65" s="13">
        <f t="shared" ca="1" si="33"/>
        <v>17</v>
      </c>
      <c r="J65" s="15">
        <f t="shared" ca="1" si="34"/>
        <v>-15</v>
      </c>
      <c r="K65" s="16">
        <f t="shared" ca="1" si="35"/>
        <v>-0.88235294117647056</v>
      </c>
      <c r="L65" s="13">
        <f t="shared" si="23"/>
        <v>84.4</v>
      </c>
      <c r="M65" s="13">
        <f t="shared" si="24"/>
        <v>0.6770480704129993</v>
      </c>
      <c r="N65" s="13">
        <v>875</v>
      </c>
      <c r="O65" s="15">
        <f t="shared" ca="1" si="36"/>
        <v>0</v>
      </c>
      <c r="P65" s="2"/>
      <c r="Q65" s="2"/>
      <c r="R65" s="2"/>
      <c r="S65" s="18" t="str">
        <f t="shared" ca="1" si="25"/>
        <v/>
      </c>
      <c r="T65" s="20" t="str">
        <f t="shared" ca="1" si="26"/>
        <v/>
      </c>
      <c r="U65" s="18" t="str">
        <f t="shared" ca="1" si="27"/>
        <v/>
      </c>
      <c r="V65" s="20" t="str">
        <f t="shared" ca="1" si="28"/>
        <v/>
      </c>
      <c r="W65" s="21">
        <f t="shared" ca="1" si="29"/>
        <v>-8</v>
      </c>
      <c r="X65" s="21">
        <f t="shared" ca="1" si="37"/>
        <v>8</v>
      </c>
      <c r="Y65" s="2"/>
      <c r="Z65" s="2"/>
    </row>
    <row r="66" spans="1:26" ht="14.25" customHeight="1" x14ac:dyDescent="0.45">
      <c r="A66" s="12" t="s">
        <v>24</v>
      </c>
      <c r="B66" s="12" t="s">
        <v>52</v>
      </c>
      <c r="C66" s="13">
        <v>31</v>
      </c>
      <c r="D66" s="13">
        <v>2452</v>
      </c>
      <c r="E66" s="13">
        <f t="shared" ca="1" si="30"/>
        <v>3485</v>
      </c>
      <c r="F66" s="15">
        <f t="shared" ca="1" si="31"/>
        <v>-1033</v>
      </c>
      <c r="G66" s="16">
        <f t="shared" ca="1" si="32"/>
        <v>-0.29641319942611188</v>
      </c>
      <c r="H66" s="13">
        <v>1</v>
      </c>
      <c r="I66" s="13">
        <f t="shared" ca="1" si="33"/>
        <v>5</v>
      </c>
      <c r="J66" s="15">
        <f t="shared" ca="1" si="34"/>
        <v>-4</v>
      </c>
      <c r="K66" s="16">
        <f t="shared" ca="1" si="35"/>
        <v>-0.8</v>
      </c>
      <c r="L66" s="13">
        <f t="shared" si="23"/>
        <v>79.096774193548384</v>
      </c>
      <c r="M66" s="13">
        <f t="shared" si="24"/>
        <v>0.40783034257748779</v>
      </c>
      <c r="N66" s="13">
        <v>855</v>
      </c>
      <c r="O66" s="15">
        <f t="shared" ca="1" si="36"/>
        <v>-8</v>
      </c>
      <c r="P66" s="2"/>
      <c r="Q66" s="2"/>
      <c r="R66" s="2"/>
      <c r="S66" s="18" t="str">
        <f t="shared" ca="1" si="25"/>
        <v/>
      </c>
      <c r="T66" s="20" t="str">
        <f t="shared" ca="1" si="26"/>
        <v/>
      </c>
      <c r="U66" s="18" t="str">
        <f t="shared" ca="1" si="27"/>
        <v/>
      </c>
      <c r="V66" s="20" t="str">
        <f t="shared" ca="1" si="28"/>
        <v/>
      </c>
      <c r="W66" s="21">
        <f t="shared" ca="1" si="29"/>
        <v>-17</v>
      </c>
      <c r="X66" s="21">
        <f t="shared" ca="1" si="37"/>
        <v>9</v>
      </c>
      <c r="Y66" s="2"/>
      <c r="Z66" s="2"/>
    </row>
    <row r="67" spans="1:26" ht="14.25" customHeight="1" x14ac:dyDescent="0.45">
      <c r="A67" s="12" t="s">
        <v>24</v>
      </c>
      <c r="B67" s="12" t="s">
        <v>53</v>
      </c>
      <c r="C67" s="13">
        <v>37</v>
      </c>
      <c r="D67" s="13">
        <v>31476</v>
      </c>
      <c r="E67" s="13">
        <f t="shared" ca="1" si="30"/>
        <v>6149</v>
      </c>
      <c r="F67" s="15">
        <f t="shared" ca="1" si="31"/>
        <v>25327</v>
      </c>
      <c r="G67" s="16">
        <f t="shared" ca="1" si="32"/>
        <v>4.1188811188811192</v>
      </c>
      <c r="H67" s="13">
        <v>26</v>
      </c>
      <c r="I67" s="13">
        <f t="shared" ca="1" si="33"/>
        <v>34</v>
      </c>
      <c r="J67" s="15">
        <f t="shared" ca="1" si="34"/>
        <v>-8</v>
      </c>
      <c r="K67" s="16">
        <f t="shared" ca="1" si="35"/>
        <v>-0.23529411764705882</v>
      </c>
      <c r="L67" s="13">
        <f t="shared" ref="L67:L97" si="38">IFERROR(D67/C67,"")</f>
        <v>850.70270270270271</v>
      </c>
      <c r="M67" s="13">
        <f t="shared" ref="M67:M97" si="39">IFERROR(H67/D67*1000,"")</f>
        <v>0.82602617867581651</v>
      </c>
      <c r="N67" s="13">
        <v>1177</v>
      </c>
      <c r="O67" s="15">
        <f t="shared" ca="1" si="36"/>
        <v>-2</v>
      </c>
      <c r="P67" s="2"/>
      <c r="Q67" s="2"/>
      <c r="R67" s="2"/>
      <c r="S67" s="18" t="str">
        <f t="shared" ref="S67:S97" ca="1" si="40">IFERROR(IF(ISBLANK(INDIRECT("'"&amp;$Q$2&amp;"'!G"&amp;ROW())),"",INDIRECT("'"&amp;$Q$2&amp;"'!G"&amp;ROW())),"")</f>
        <v/>
      </c>
      <c r="T67" s="20" t="str">
        <f t="shared" ref="T67:T97" ca="1" si="41">IF(OR($G67="",$S67=""),"",$G67-$S67)</f>
        <v/>
      </c>
      <c r="U67" s="18" t="str">
        <f t="shared" ref="U67:U97" ca="1" si="42">IFERROR(IF(ISBLANK(INDIRECT("'"&amp;$Q$2&amp;"'!K"&amp;ROW())),"",INDIRECT("'"&amp;$Q$2&amp;"'!K"&amp;ROW())),"")</f>
        <v/>
      </c>
      <c r="V67" s="20" t="str">
        <f t="shared" ref="V67:V97" ca="1" si="43">IF(OR($K67="",$U67=""),"",$K67-$U67)</f>
        <v/>
      </c>
      <c r="W67" s="21" t="str">
        <f t="shared" ref="W67:W97" ca="1" si="44">IFERROR(IF(ISBLANK(INDIRECT("'"&amp;$Q$2&amp;"'!O"&amp;ROW())),"",INDIRECT("'"&amp;$Q$2&amp;"'!O"&amp;ROW())),"")</f>
        <v/>
      </c>
      <c r="X67" s="21" t="str">
        <f t="shared" ca="1" si="37"/>
        <v/>
      </c>
      <c r="Y67" s="2"/>
      <c r="Z67" s="2"/>
    </row>
    <row r="68" spans="1:26" ht="14.25" customHeight="1" x14ac:dyDescent="0.45">
      <c r="A68" s="12" t="s">
        <v>24</v>
      </c>
      <c r="B68" s="12" t="s">
        <v>54</v>
      </c>
      <c r="C68" s="13">
        <v>73</v>
      </c>
      <c r="D68" s="13">
        <v>22747</v>
      </c>
      <c r="E68" s="13">
        <f t="shared" ca="1" si="30"/>
        <v>19814</v>
      </c>
      <c r="F68" s="15">
        <f t="shared" ca="1" si="31"/>
        <v>2933</v>
      </c>
      <c r="G68" s="16">
        <f t="shared" ca="1" si="32"/>
        <v>0.14802664782477037</v>
      </c>
      <c r="H68" s="13">
        <v>112</v>
      </c>
      <c r="I68" s="13">
        <f t="shared" ca="1" si="33"/>
        <v>71</v>
      </c>
      <c r="J68" s="15">
        <f t="shared" ca="1" si="34"/>
        <v>41</v>
      </c>
      <c r="K68" s="16">
        <f t="shared" ca="1" si="35"/>
        <v>0.57746478873239437</v>
      </c>
      <c r="L68" s="13">
        <f t="shared" si="38"/>
        <v>311.60273972602738</v>
      </c>
      <c r="M68" s="13">
        <f t="shared" si="39"/>
        <v>4.9237262056534927</v>
      </c>
      <c r="N68" s="13">
        <v>4421</v>
      </c>
      <c r="O68" s="15">
        <f t="shared" ca="1" si="36"/>
        <v>-4</v>
      </c>
      <c r="P68" s="2"/>
      <c r="Q68" s="2"/>
      <c r="R68" s="2"/>
      <c r="S68" s="18" t="str">
        <f t="shared" ca="1" si="40"/>
        <v/>
      </c>
      <c r="T68" s="20" t="str">
        <f t="shared" ca="1" si="41"/>
        <v/>
      </c>
      <c r="U68" s="18" t="str">
        <f t="shared" ca="1" si="42"/>
        <v/>
      </c>
      <c r="V68" s="20" t="str">
        <f t="shared" ca="1" si="43"/>
        <v/>
      </c>
      <c r="W68" s="21">
        <f t="shared" ca="1" si="44"/>
        <v>-46</v>
      </c>
      <c r="X68" s="21">
        <f t="shared" ca="1" si="37"/>
        <v>42</v>
      </c>
      <c r="Y68" s="2"/>
      <c r="Z68" s="2"/>
    </row>
    <row r="69" spans="1:26" ht="14.25" customHeight="1" x14ac:dyDescent="0.45">
      <c r="A69" s="12" t="s">
        <v>24</v>
      </c>
      <c r="B69" s="12" t="s">
        <v>55</v>
      </c>
      <c r="C69" s="13">
        <v>66</v>
      </c>
      <c r="D69" s="13">
        <v>30498</v>
      </c>
      <c r="E69" s="13">
        <f t="shared" ca="1" si="30"/>
        <v>55540</v>
      </c>
      <c r="F69" s="15">
        <f t="shared" ca="1" si="31"/>
        <v>-25042</v>
      </c>
      <c r="G69" s="16">
        <f t="shared" ca="1" si="32"/>
        <v>-0.45088224702916818</v>
      </c>
      <c r="H69" s="13">
        <v>282</v>
      </c>
      <c r="I69" s="13">
        <f t="shared" ca="1" si="33"/>
        <v>432</v>
      </c>
      <c r="J69" s="15">
        <f t="shared" ca="1" si="34"/>
        <v>-150</v>
      </c>
      <c r="K69" s="16">
        <f t="shared" ca="1" si="35"/>
        <v>-0.34722222222222221</v>
      </c>
      <c r="L69" s="13">
        <f t="shared" si="38"/>
        <v>462.09090909090907</v>
      </c>
      <c r="M69" s="13">
        <f t="shared" si="39"/>
        <v>9.2465079677355888</v>
      </c>
      <c r="N69" s="13">
        <v>5550</v>
      </c>
      <c r="O69" s="15">
        <f t="shared" ca="1" si="36"/>
        <v>-20</v>
      </c>
      <c r="P69" s="2"/>
      <c r="Q69" s="2"/>
      <c r="R69" s="2"/>
      <c r="S69" s="18" t="str">
        <f t="shared" ca="1" si="40"/>
        <v/>
      </c>
      <c r="T69" s="20" t="str">
        <f t="shared" ca="1" si="41"/>
        <v/>
      </c>
      <c r="U69" s="18" t="str">
        <f t="shared" ca="1" si="42"/>
        <v/>
      </c>
      <c r="V69" s="20" t="str">
        <f t="shared" ca="1" si="43"/>
        <v/>
      </c>
      <c r="W69" s="21">
        <f t="shared" ca="1" si="44"/>
        <v>-122</v>
      </c>
      <c r="X69" s="21">
        <f t="shared" ca="1" si="37"/>
        <v>102</v>
      </c>
      <c r="Y69" s="2"/>
      <c r="Z69" s="2"/>
    </row>
    <row r="70" spans="1:26" ht="14.25" customHeight="1" x14ac:dyDescent="0.45">
      <c r="A70" s="12" t="s">
        <v>24</v>
      </c>
      <c r="B70" s="12" t="s">
        <v>62</v>
      </c>
      <c r="C70" s="13">
        <v>224</v>
      </c>
      <c r="D70" s="13">
        <v>3812</v>
      </c>
      <c r="E70" s="13">
        <f t="shared" ca="1" si="30"/>
        <v>3586</v>
      </c>
      <c r="F70" s="15">
        <f t="shared" ca="1" si="31"/>
        <v>226</v>
      </c>
      <c r="G70" s="16">
        <f t="shared" ca="1" si="32"/>
        <v>6.3022866703848296E-2</v>
      </c>
      <c r="H70" s="13">
        <v>0</v>
      </c>
      <c r="I70" s="13">
        <f t="shared" ca="1" si="33"/>
        <v>2</v>
      </c>
      <c r="J70" s="15">
        <f t="shared" ca="1" si="34"/>
        <v>-2</v>
      </c>
      <c r="K70" s="16">
        <f t="shared" ca="1" si="35"/>
        <v>-1</v>
      </c>
      <c r="L70" s="13">
        <f t="shared" si="38"/>
        <v>17.017857142857142</v>
      </c>
      <c r="M70" s="13">
        <f t="shared" si="39"/>
        <v>0</v>
      </c>
      <c r="N70" s="13">
        <v>693</v>
      </c>
      <c r="O70" s="15">
        <f t="shared" ca="1" si="36"/>
        <v>-1</v>
      </c>
      <c r="P70" s="2"/>
      <c r="Q70" s="2"/>
      <c r="R70" s="2"/>
      <c r="S70" s="18" t="str">
        <f t="shared" ca="1" si="40"/>
        <v/>
      </c>
      <c r="T70" s="20" t="str">
        <f t="shared" ca="1" si="41"/>
        <v/>
      </c>
      <c r="U70" s="18" t="str">
        <f t="shared" ca="1" si="42"/>
        <v/>
      </c>
      <c r="V70" s="20" t="str">
        <f t="shared" ca="1" si="43"/>
        <v/>
      </c>
      <c r="W70" s="21">
        <f t="shared" ca="1" si="44"/>
        <v>-3</v>
      </c>
      <c r="X70" s="21">
        <f t="shared" ca="1" si="37"/>
        <v>2</v>
      </c>
      <c r="Y70" s="2"/>
      <c r="Z70" s="2"/>
    </row>
    <row r="71" spans="1:26" ht="14.25" customHeight="1" x14ac:dyDescent="0.45">
      <c r="A71" s="12" t="s">
        <v>24</v>
      </c>
      <c r="B71" s="12" t="s">
        <v>56</v>
      </c>
      <c r="C71" s="13">
        <v>30</v>
      </c>
      <c r="D71" s="13">
        <v>7786</v>
      </c>
      <c r="E71" s="13">
        <f t="shared" ca="1" si="30"/>
        <v>7230</v>
      </c>
      <c r="F71" s="15">
        <f t="shared" ca="1" si="31"/>
        <v>556</v>
      </c>
      <c r="G71" s="16">
        <f t="shared" ca="1" si="32"/>
        <v>7.6901798063623794E-2</v>
      </c>
      <c r="H71" s="13">
        <v>704</v>
      </c>
      <c r="I71" s="13">
        <f t="shared" ca="1" si="33"/>
        <v>540</v>
      </c>
      <c r="J71" s="15">
        <f t="shared" ca="1" si="34"/>
        <v>164</v>
      </c>
      <c r="K71" s="16">
        <f t="shared" ca="1" si="35"/>
        <v>0.3037037037037037</v>
      </c>
      <c r="L71" s="13">
        <f t="shared" si="38"/>
        <v>259.53333333333336</v>
      </c>
      <c r="M71" s="13">
        <f t="shared" si="39"/>
        <v>90.418700231184175</v>
      </c>
      <c r="N71" s="13">
        <v>2505</v>
      </c>
      <c r="O71" s="15">
        <f t="shared" ca="1" si="36"/>
        <v>-1</v>
      </c>
      <c r="P71" s="2"/>
      <c r="Q71" s="2"/>
      <c r="R71" s="2"/>
      <c r="S71" s="18" t="str">
        <f t="shared" ca="1" si="40"/>
        <v/>
      </c>
      <c r="T71" s="20" t="str">
        <f t="shared" ca="1" si="41"/>
        <v/>
      </c>
      <c r="U71" s="18" t="str">
        <f t="shared" ca="1" si="42"/>
        <v/>
      </c>
      <c r="V71" s="20" t="str">
        <f t="shared" ca="1" si="43"/>
        <v/>
      </c>
      <c r="W71" s="21">
        <f t="shared" ca="1" si="44"/>
        <v>2</v>
      </c>
      <c r="X71" s="21">
        <f t="shared" ca="1" si="37"/>
        <v>-3</v>
      </c>
      <c r="Y71" s="2"/>
      <c r="Z71" s="2"/>
    </row>
    <row r="72" spans="1:26" ht="14.25" customHeight="1" x14ac:dyDescent="0.45">
      <c r="A72" s="12" t="s">
        <v>24</v>
      </c>
      <c r="B72" s="12" t="s">
        <v>61</v>
      </c>
      <c r="C72" s="13">
        <v>9</v>
      </c>
      <c r="D72" s="13">
        <v>175</v>
      </c>
      <c r="E72" s="13">
        <f t="shared" ca="1" si="30"/>
        <v>164</v>
      </c>
      <c r="F72" s="15">
        <f t="shared" ca="1" si="31"/>
        <v>11</v>
      </c>
      <c r="G72" s="16">
        <f t="shared" ca="1" si="32"/>
        <v>6.7073170731707321E-2</v>
      </c>
      <c r="H72" s="13">
        <v>20</v>
      </c>
      <c r="I72" s="13">
        <f t="shared" ca="1" si="33"/>
        <v>24</v>
      </c>
      <c r="J72" s="15">
        <f t="shared" ca="1" si="34"/>
        <v>-4</v>
      </c>
      <c r="K72" s="16">
        <f t="shared" ca="1" si="35"/>
        <v>-0.16666666666666666</v>
      </c>
      <c r="L72" s="13">
        <f t="shared" si="38"/>
        <v>19.444444444444443</v>
      </c>
      <c r="M72" s="13">
        <f t="shared" si="39"/>
        <v>114.28571428571428</v>
      </c>
      <c r="N72" s="13">
        <v>173</v>
      </c>
      <c r="O72" s="15">
        <f t="shared" ca="1" si="36"/>
        <v>1</v>
      </c>
      <c r="P72" s="2"/>
      <c r="Q72" s="2"/>
      <c r="R72" s="2"/>
      <c r="S72" s="18" t="str">
        <f t="shared" ca="1" si="40"/>
        <v/>
      </c>
      <c r="T72" s="20" t="str">
        <f t="shared" ca="1" si="41"/>
        <v/>
      </c>
      <c r="U72" s="18" t="str">
        <f t="shared" ca="1" si="42"/>
        <v/>
      </c>
      <c r="V72" s="20" t="str">
        <f t="shared" ca="1" si="43"/>
        <v/>
      </c>
      <c r="W72" s="21">
        <f t="shared" ca="1" si="44"/>
        <v>2</v>
      </c>
      <c r="X72" s="21">
        <f t="shared" ca="1" si="37"/>
        <v>-1</v>
      </c>
      <c r="Y72" s="2"/>
      <c r="Z72" s="2"/>
    </row>
    <row r="73" spans="1:26" ht="14.25" customHeight="1" x14ac:dyDescent="0.45">
      <c r="A73" s="12" t="s">
        <v>24</v>
      </c>
      <c r="B73" s="12" t="s">
        <v>65</v>
      </c>
      <c r="C73" s="13">
        <v>8</v>
      </c>
      <c r="D73" s="13">
        <v>2841</v>
      </c>
      <c r="E73" s="13">
        <f t="shared" ca="1" si="30"/>
        <v>1147</v>
      </c>
      <c r="F73" s="15">
        <f t="shared" ca="1" si="31"/>
        <v>1694</v>
      </c>
      <c r="G73" s="16">
        <f t="shared" ca="1" si="32"/>
        <v>1.4768962510897994</v>
      </c>
      <c r="H73" s="13">
        <v>44</v>
      </c>
      <c r="I73" s="13">
        <f t="shared" ca="1" si="33"/>
        <v>36</v>
      </c>
      <c r="J73" s="15">
        <f t="shared" ca="1" si="34"/>
        <v>8</v>
      </c>
      <c r="K73" s="16">
        <f t="shared" ca="1" si="35"/>
        <v>0.22222222222222221</v>
      </c>
      <c r="L73" s="13">
        <f t="shared" si="38"/>
        <v>355.125</v>
      </c>
      <c r="M73" s="13">
        <f t="shared" si="39"/>
        <v>15.487504399859205</v>
      </c>
      <c r="N73" s="13">
        <v>53</v>
      </c>
      <c r="O73" s="15">
        <f t="shared" ca="1" si="36"/>
        <v>4</v>
      </c>
      <c r="P73" s="2"/>
      <c r="Q73" s="2"/>
      <c r="R73" s="2"/>
      <c r="S73" s="18" t="str">
        <f t="shared" ca="1" si="40"/>
        <v/>
      </c>
      <c r="T73" s="20" t="str">
        <f t="shared" ca="1" si="41"/>
        <v/>
      </c>
      <c r="U73" s="18" t="str">
        <f t="shared" ca="1" si="42"/>
        <v/>
      </c>
      <c r="V73" s="20" t="str">
        <f t="shared" ca="1" si="43"/>
        <v/>
      </c>
      <c r="W73" s="21" t="str">
        <f t="shared" ca="1" si="44"/>
        <v/>
      </c>
      <c r="X73" s="21" t="str">
        <f t="shared" ca="1" si="37"/>
        <v/>
      </c>
      <c r="Y73" s="2"/>
      <c r="Z73" s="2"/>
    </row>
    <row r="74" spans="1:26" ht="14.25" customHeight="1" x14ac:dyDescent="0.45">
      <c r="A74" s="25"/>
      <c r="B74" s="25" t="s">
        <v>70</v>
      </c>
      <c r="C74" s="26">
        <f>SUM(C52:C73)</f>
        <v>1574</v>
      </c>
      <c r="D74" s="26">
        <f>SUM(D52:D73)</f>
        <v>431295</v>
      </c>
      <c r="E74" s="26">
        <f ca="1">SUM(E52:E73)</f>
        <v>423190</v>
      </c>
      <c r="F74" s="27">
        <f ca="1">SUM(F52:F73)</f>
        <v>8105</v>
      </c>
      <c r="G74" s="28">
        <f ca="1">IF(C74=0,"",IFERROR(F74/E74,""))</f>
        <v>1.9152153878872376E-2</v>
      </c>
      <c r="H74" s="26">
        <f>SUM(H52:H73)</f>
        <v>2959</v>
      </c>
      <c r="I74" s="26">
        <f ca="1">SUM(I52:I73)</f>
        <v>2490</v>
      </c>
      <c r="J74" s="27">
        <f ca="1">SUM(J52:J73)</f>
        <v>469</v>
      </c>
      <c r="K74" s="28">
        <f ca="1">IF(C74=0,"",IFERROR(J74/I74,""))</f>
        <v>0.18835341365461847</v>
      </c>
      <c r="L74" s="26">
        <f t="shared" si="38"/>
        <v>274.01207115628972</v>
      </c>
      <c r="M74" s="26">
        <f t="shared" si="39"/>
        <v>6.8607333727495101</v>
      </c>
      <c r="N74" s="26">
        <f>SUM(N52:N73)</f>
        <v>98579</v>
      </c>
      <c r="O74" s="27">
        <f ca="1">SUM(O52:O73)</f>
        <v>-129</v>
      </c>
      <c r="P74" s="2"/>
      <c r="Q74" s="2"/>
      <c r="R74" s="2"/>
      <c r="S74" s="29" t="str">
        <f t="shared" ca="1" si="40"/>
        <v/>
      </c>
      <c r="T74" s="30" t="str">
        <f t="shared" ca="1" si="41"/>
        <v/>
      </c>
      <c r="U74" s="29" t="str">
        <f t="shared" ca="1" si="42"/>
        <v/>
      </c>
      <c r="V74" s="30" t="str">
        <f t="shared" ca="1" si="43"/>
        <v/>
      </c>
      <c r="W74" s="31">
        <f t="shared" ca="1" si="44"/>
        <v>-744</v>
      </c>
      <c r="X74" s="31">
        <f ca="1">IF(OR(C74=0,$O74="",$W74=""),"",$O74-$W74)</f>
        <v>615</v>
      </c>
      <c r="Y74" s="2"/>
      <c r="Z74" s="2"/>
    </row>
    <row r="75" spans="1:26" ht="14.25" customHeight="1" x14ac:dyDescent="0.45">
      <c r="A75" s="12" t="s">
        <v>25</v>
      </c>
      <c r="B75" s="12" t="s">
        <v>37</v>
      </c>
      <c r="C75" s="13">
        <v>143</v>
      </c>
      <c r="D75" s="13">
        <v>135695</v>
      </c>
      <c r="E75" s="13">
        <f t="shared" ref="E75:E95" ca="1" si="45">IF($D75="","",IFERROR(IF(ISBLANK(INDIRECT("'"&amp;$Q$2&amp;"'!D"&amp;ROW())),"",INDIRECT("'"&amp;$Q$2&amp;"'!D"&amp;ROW())),""))</f>
        <v>141488</v>
      </c>
      <c r="F75" s="15">
        <f t="shared" ref="F75:F95" ca="1" si="46">IF(OR(D75="",E75=""),"",D75-E75)</f>
        <v>-5793</v>
      </c>
      <c r="G75" s="16">
        <f t="shared" ref="G75:G95" ca="1" si="47">IFERROR(F75/E75,"")</f>
        <v>-4.0943401560556369E-2</v>
      </c>
      <c r="H75" s="13">
        <v>1301</v>
      </c>
      <c r="I75" s="13" t="str">
        <f t="shared" ref="I75:I95" ca="1" si="48">IF($H75="","",IFERROR(IF(ISBLANK(INDIRECT("'"&amp;$Q$2&amp;"'!H"&amp;ROW())),"",INDIRECT("'"&amp;$Q$2&amp;"'!H"&amp;ROW())),""))</f>
        <v/>
      </c>
      <c r="J75" s="15" t="str">
        <f t="shared" ref="J75:J95" ca="1" si="49">IF(OR(H75="",I75=""),"",H75-I75)</f>
        <v/>
      </c>
      <c r="K75" s="16" t="str">
        <f t="shared" ref="K75:K95" ca="1" si="50">IFERROR(J75/I75,"")</f>
        <v/>
      </c>
      <c r="L75" s="13">
        <f t="shared" si="38"/>
        <v>948.91608391608395</v>
      </c>
      <c r="M75" s="13">
        <f t="shared" si="39"/>
        <v>9.5876782490143349</v>
      </c>
      <c r="N75" s="13">
        <v>4188</v>
      </c>
      <c r="O75" s="15">
        <f t="shared" ref="O75:O95" ca="1" si="51">IFERROR(IF(OR(N75="",ISBLANK(INDIRECT("'"&amp;$Q$2&amp;"'!N"&amp;ROW()))),"",N75-INDIRECT("'"&amp;$Q$2&amp;"'!N"&amp;ROW())),"")</f>
        <v>53</v>
      </c>
      <c r="P75" s="2"/>
      <c r="Q75" s="2"/>
      <c r="R75" s="2"/>
      <c r="S75" s="18" t="str">
        <f t="shared" ca="1" si="40"/>
        <v/>
      </c>
      <c r="T75" s="20" t="str">
        <f t="shared" ca="1" si="41"/>
        <v/>
      </c>
      <c r="U75" s="18" t="str">
        <f t="shared" ca="1" si="42"/>
        <v/>
      </c>
      <c r="V75" s="20" t="str">
        <f t="shared" ca="1" si="43"/>
        <v/>
      </c>
      <c r="W75" s="21">
        <f t="shared" ca="1" si="44"/>
        <v>18</v>
      </c>
      <c r="X75" s="21">
        <f t="shared" ref="X75:X95" ca="1" si="52">IF(OR($O75="",$W75=""),"",$O75-$W75)</f>
        <v>35</v>
      </c>
      <c r="Y75" s="2"/>
      <c r="Z75" s="2"/>
    </row>
    <row r="76" spans="1:26" ht="14.25" customHeight="1" x14ac:dyDescent="0.45">
      <c r="A76" s="12" t="s">
        <v>25</v>
      </c>
      <c r="B76" s="12" t="s">
        <v>39</v>
      </c>
      <c r="C76" s="13">
        <v>141</v>
      </c>
      <c r="D76" s="13">
        <v>60348</v>
      </c>
      <c r="E76" s="13">
        <f t="shared" ca="1" si="45"/>
        <v>68887</v>
      </c>
      <c r="F76" s="15">
        <f t="shared" ca="1" si="46"/>
        <v>-8539</v>
      </c>
      <c r="G76" s="16">
        <f t="shared" ca="1" si="47"/>
        <v>-0.1239566246171266</v>
      </c>
      <c r="H76" s="13">
        <v>235</v>
      </c>
      <c r="I76" s="13" t="str">
        <f t="shared" ca="1" si="48"/>
        <v/>
      </c>
      <c r="J76" s="15" t="str">
        <f t="shared" ca="1" si="49"/>
        <v/>
      </c>
      <c r="K76" s="16" t="str">
        <f t="shared" ca="1" si="50"/>
        <v/>
      </c>
      <c r="L76" s="13">
        <f t="shared" si="38"/>
        <v>428</v>
      </c>
      <c r="M76" s="13">
        <f t="shared" si="39"/>
        <v>3.8940809968847354</v>
      </c>
      <c r="N76" s="13">
        <v>2207</v>
      </c>
      <c r="O76" s="15">
        <f t="shared" ca="1" si="51"/>
        <v>8</v>
      </c>
      <c r="P76" s="2"/>
      <c r="Q76" s="2"/>
      <c r="R76" s="2"/>
      <c r="S76" s="18" t="str">
        <f t="shared" ca="1" si="40"/>
        <v/>
      </c>
      <c r="T76" s="20" t="str">
        <f t="shared" ca="1" si="41"/>
        <v/>
      </c>
      <c r="U76" s="18" t="str">
        <f t="shared" ca="1" si="42"/>
        <v/>
      </c>
      <c r="V76" s="20" t="str">
        <f t="shared" ca="1" si="43"/>
        <v/>
      </c>
      <c r="W76" s="21">
        <f t="shared" ca="1" si="44"/>
        <v>-1</v>
      </c>
      <c r="X76" s="21">
        <f t="shared" ca="1" si="52"/>
        <v>9</v>
      </c>
      <c r="Y76" s="2"/>
      <c r="Z76" s="2"/>
    </row>
    <row r="77" spans="1:26" ht="14.25" customHeight="1" x14ac:dyDescent="0.45">
      <c r="A77" s="12" t="s">
        <v>25</v>
      </c>
      <c r="B77" s="12" t="s">
        <v>42</v>
      </c>
      <c r="C77" s="13">
        <v>81</v>
      </c>
      <c r="D77" s="13">
        <v>4997</v>
      </c>
      <c r="E77" s="13">
        <f t="shared" ca="1" si="45"/>
        <v>6444</v>
      </c>
      <c r="F77" s="15">
        <f t="shared" ca="1" si="46"/>
        <v>-1447</v>
      </c>
      <c r="G77" s="16">
        <f t="shared" ca="1" si="47"/>
        <v>-0.22454996896337678</v>
      </c>
      <c r="H77" s="13">
        <v>9</v>
      </c>
      <c r="I77" s="13" t="str">
        <f t="shared" ca="1" si="48"/>
        <v/>
      </c>
      <c r="J77" s="15" t="str">
        <f t="shared" ca="1" si="49"/>
        <v/>
      </c>
      <c r="K77" s="16" t="str">
        <f t="shared" ca="1" si="50"/>
        <v/>
      </c>
      <c r="L77" s="13">
        <f t="shared" si="38"/>
        <v>61.691358024691361</v>
      </c>
      <c r="M77" s="13">
        <f t="shared" si="39"/>
        <v>1.8010806483890334</v>
      </c>
      <c r="N77" s="13">
        <v>267</v>
      </c>
      <c r="O77" s="15">
        <f t="shared" ca="1" si="51"/>
        <v>4</v>
      </c>
      <c r="P77" s="2"/>
      <c r="Q77" s="2"/>
      <c r="R77" s="2"/>
      <c r="S77" s="18" t="str">
        <f t="shared" ca="1" si="40"/>
        <v/>
      </c>
      <c r="T77" s="20" t="str">
        <f t="shared" ca="1" si="41"/>
        <v/>
      </c>
      <c r="U77" s="18" t="str">
        <f t="shared" ca="1" si="42"/>
        <v/>
      </c>
      <c r="V77" s="20" t="str">
        <f t="shared" ca="1" si="43"/>
        <v/>
      </c>
      <c r="W77" s="21">
        <f t="shared" ca="1" si="44"/>
        <v>5</v>
      </c>
      <c r="X77" s="21">
        <f t="shared" ca="1" si="52"/>
        <v>-1</v>
      </c>
      <c r="Y77" s="2"/>
      <c r="Z77" s="2"/>
    </row>
    <row r="78" spans="1:26" ht="14.25" customHeight="1" x14ac:dyDescent="0.45">
      <c r="A78" s="12" t="s">
        <v>25</v>
      </c>
      <c r="B78" s="12" t="s">
        <v>68</v>
      </c>
      <c r="C78" s="13">
        <v>7</v>
      </c>
      <c r="D78" s="13">
        <v>984</v>
      </c>
      <c r="E78" s="13">
        <f t="shared" ca="1" si="45"/>
        <v>810</v>
      </c>
      <c r="F78" s="15">
        <f t="shared" ca="1" si="46"/>
        <v>174</v>
      </c>
      <c r="G78" s="16">
        <f t="shared" ca="1" si="47"/>
        <v>0.21481481481481482</v>
      </c>
      <c r="H78" s="13">
        <v>17</v>
      </c>
      <c r="I78" s="13" t="str">
        <f t="shared" ca="1" si="48"/>
        <v/>
      </c>
      <c r="J78" s="15" t="str">
        <f t="shared" ca="1" si="49"/>
        <v/>
      </c>
      <c r="K78" s="16" t="str">
        <f t="shared" ca="1" si="50"/>
        <v/>
      </c>
      <c r="L78" s="13">
        <f t="shared" si="38"/>
        <v>140.57142857142858</v>
      </c>
      <c r="M78" s="13">
        <f t="shared" si="39"/>
        <v>17.276422764227643</v>
      </c>
      <c r="N78" s="13">
        <v>194</v>
      </c>
      <c r="O78" s="15">
        <f t="shared" ca="1" si="51"/>
        <v>9</v>
      </c>
      <c r="P78" s="2"/>
      <c r="Q78" s="2"/>
      <c r="R78" s="2"/>
      <c r="S78" s="18" t="str">
        <f t="shared" ca="1" si="40"/>
        <v/>
      </c>
      <c r="T78" s="20" t="str">
        <f t="shared" ca="1" si="41"/>
        <v/>
      </c>
      <c r="U78" s="18" t="str">
        <f t="shared" ca="1" si="42"/>
        <v/>
      </c>
      <c r="V78" s="20" t="str">
        <f t="shared" ca="1" si="43"/>
        <v/>
      </c>
      <c r="W78" s="21">
        <f t="shared" ca="1" si="44"/>
        <v>4</v>
      </c>
      <c r="X78" s="21">
        <f t="shared" ca="1" si="52"/>
        <v>5</v>
      </c>
      <c r="Y78" s="2"/>
      <c r="Z78" s="2"/>
    </row>
    <row r="79" spans="1:26" ht="14.25" customHeight="1" x14ac:dyDescent="0.45">
      <c r="A79" s="12" t="s">
        <v>25</v>
      </c>
      <c r="B79" s="12" t="s">
        <v>69</v>
      </c>
      <c r="C79" s="13">
        <v>7</v>
      </c>
      <c r="D79" s="13">
        <v>102</v>
      </c>
      <c r="E79" s="13">
        <f t="shared" ca="1" si="45"/>
        <v>156</v>
      </c>
      <c r="F79" s="15">
        <f t="shared" ca="1" si="46"/>
        <v>-54</v>
      </c>
      <c r="G79" s="16">
        <f t="shared" ca="1" si="47"/>
        <v>-0.34615384615384615</v>
      </c>
      <c r="H79" s="13">
        <v>0</v>
      </c>
      <c r="I79" s="13" t="str">
        <f t="shared" ca="1" si="48"/>
        <v/>
      </c>
      <c r="J79" s="15" t="str">
        <f t="shared" ca="1" si="49"/>
        <v/>
      </c>
      <c r="K79" s="16" t="str">
        <f t="shared" ca="1" si="50"/>
        <v/>
      </c>
      <c r="L79" s="13">
        <f t="shared" si="38"/>
        <v>14.571428571428571</v>
      </c>
      <c r="M79" s="13">
        <f t="shared" si="39"/>
        <v>0</v>
      </c>
      <c r="N79" s="13">
        <v>36</v>
      </c>
      <c r="O79" s="15">
        <f t="shared" ca="1" si="51"/>
        <v>1</v>
      </c>
      <c r="P79" s="2"/>
      <c r="Q79" s="2"/>
      <c r="R79" s="2"/>
      <c r="S79" s="18" t="str">
        <f t="shared" ca="1" si="40"/>
        <v/>
      </c>
      <c r="T79" s="20" t="str">
        <f t="shared" ca="1" si="41"/>
        <v/>
      </c>
      <c r="U79" s="18" t="str">
        <f t="shared" ca="1" si="42"/>
        <v/>
      </c>
      <c r="V79" s="20" t="str">
        <f t="shared" ca="1" si="43"/>
        <v/>
      </c>
      <c r="W79" s="21">
        <f t="shared" ca="1" si="44"/>
        <v>2</v>
      </c>
      <c r="X79" s="21">
        <f t="shared" ca="1" si="52"/>
        <v>-1</v>
      </c>
      <c r="Y79" s="2"/>
      <c r="Z79" s="2"/>
    </row>
    <row r="80" spans="1:26" ht="14.25" customHeight="1" x14ac:dyDescent="0.45">
      <c r="A80" s="12" t="s">
        <v>25</v>
      </c>
      <c r="B80" s="12" t="s">
        <v>43</v>
      </c>
      <c r="C80" s="13">
        <v>136</v>
      </c>
      <c r="D80" s="13">
        <v>207073</v>
      </c>
      <c r="E80" s="13">
        <f t="shared" ca="1" si="45"/>
        <v>141883</v>
      </c>
      <c r="F80" s="15">
        <f t="shared" ca="1" si="46"/>
        <v>65190</v>
      </c>
      <c r="G80" s="16">
        <f t="shared" ca="1" si="47"/>
        <v>0.45946307873388637</v>
      </c>
      <c r="H80" s="13">
        <v>2041</v>
      </c>
      <c r="I80" s="13" t="str">
        <f t="shared" ca="1" si="48"/>
        <v/>
      </c>
      <c r="J80" s="15" t="str">
        <f t="shared" ca="1" si="49"/>
        <v/>
      </c>
      <c r="K80" s="16" t="str">
        <f t="shared" ca="1" si="50"/>
        <v/>
      </c>
      <c r="L80" s="13">
        <f t="shared" si="38"/>
        <v>1522.5955882352941</v>
      </c>
      <c r="M80" s="13">
        <f t="shared" si="39"/>
        <v>9.8564274434619676</v>
      </c>
      <c r="N80" s="13">
        <v>4089</v>
      </c>
      <c r="O80" s="15">
        <f t="shared" ca="1" si="51"/>
        <v>315</v>
      </c>
      <c r="P80" s="2"/>
      <c r="Q80" s="2"/>
      <c r="R80" s="2"/>
      <c r="S80" s="18" t="str">
        <f t="shared" ca="1" si="40"/>
        <v/>
      </c>
      <c r="T80" s="20" t="str">
        <f t="shared" ca="1" si="41"/>
        <v/>
      </c>
      <c r="U80" s="18" t="str">
        <f t="shared" ca="1" si="42"/>
        <v/>
      </c>
      <c r="V80" s="20" t="str">
        <f t="shared" ca="1" si="43"/>
        <v/>
      </c>
      <c r="W80" s="21">
        <f t="shared" ca="1" si="44"/>
        <v>51</v>
      </c>
      <c r="X80" s="21">
        <f t="shared" ca="1" si="52"/>
        <v>264</v>
      </c>
      <c r="Y80" s="2"/>
      <c r="Z80" s="2"/>
    </row>
    <row r="81" spans="1:26" ht="14.25" customHeight="1" x14ac:dyDescent="0.45">
      <c r="A81" s="12" t="s">
        <v>25</v>
      </c>
      <c r="B81" s="12" t="s">
        <v>44</v>
      </c>
      <c r="C81" s="13">
        <v>104</v>
      </c>
      <c r="D81" s="13">
        <v>88661</v>
      </c>
      <c r="E81" s="13">
        <f t="shared" ca="1" si="45"/>
        <v>70716</v>
      </c>
      <c r="F81" s="15">
        <f t="shared" ca="1" si="46"/>
        <v>17945</v>
      </c>
      <c r="G81" s="16">
        <f t="shared" ca="1" si="47"/>
        <v>0.25376152497313198</v>
      </c>
      <c r="H81" s="13">
        <v>2596</v>
      </c>
      <c r="I81" s="13" t="str">
        <f t="shared" ca="1" si="48"/>
        <v/>
      </c>
      <c r="J81" s="15" t="str">
        <f t="shared" ca="1" si="49"/>
        <v/>
      </c>
      <c r="K81" s="16" t="str">
        <f t="shared" ca="1" si="50"/>
        <v/>
      </c>
      <c r="L81" s="13">
        <f t="shared" si="38"/>
        <v>852.50961538461536</v>
      </c>
      <c r="M81" s="13">
        <f t="shared" si="39"/>
        <v>29.280066771184625</v>
      </c>
      <c r="N81" s="13">
        <v>2170</v>
      </c>
      <c r="O81" s="15">
        <f t="shared" ca="1" si="51"/>
        <v>217</v>
      </c>
      <c r="P81" s="2"/>
      <c r="Q81" s="2"/>
      <c r="R81" s="2"/>
      <c r="S81" s="18" t="str">
        <f t="shared" ca="1" si="40"/>
        <v/>
      </c>
      <c r="T81" s="20" t="str">
        <f t="shared" ca="1" si="41"/>
        <v/>
      </c>
      <c r="U81" s="18" t="str">
        <f t="shared" ca="1" si="42"/>
        <v/>
      </c>
      <c r="V81" s="20" t="str">
        <f t="shared" ca="1" si="43"/>
        <v/>
      </c>
      <c r="W81" s="21">
        <f t="shared" ca="1" si="44"/>
        <v>8</v>
      </c>
      <c r="X81" s="21">
        <f t="shared" ca="1" si="52"/>
        <v>209</v>
      </c>
      <c r="Y81" s="2"/>
      <c r="Z81" s="2"/>
    </row>
    <row r="82" spans="1:26" ht="14.25" customHeight="1" x14ac:dyDescent="0.45">
      <c r="A82" s="12" t="s">
        <v>25</v>
      </c>
      <c r="B82" s="12" t="s">
        <v>45</v>
      </c>
      <c r="C82" s="13">
        <v>118</v>
      </c>
      <c r="D82" s="13">
        <v>188707</v>
      </c>
      <c r="E82" s="13">
        <f t="shared" ca="1" si="45"/>
        <v>134691</v>
      </c>
      <c r="F82" s="15">
        <f t="shared" ca="1" si="46"/>
        <v>54016</v>
      </c>
      <c r="G82" s="16">
        <f t="shared" ca="1" si="47"/>
        <v>0.40103644638468794</v>
      </c>
      <c r="H82" s="13">
        <v>4640</v>
      </c>
      <c r="I82" s="13" t="str">
        <f t="shared" ca="1" si="48"/>
        <v/>
      </c>
      <c r="J82" s="15" t="str">
        <f t="shared" ca="1" si="49"/>
        <v/>
      </c>
      <c r="K82" s="16" t="str">
        <f t="shared" ca="1" si="50"/>
        <v/>
      </c>
      <c r="L82" s="13">
        <f t="shared" si="38"/>
        <v>1599.2118644067796</v>
      </c>
      <c r="M82" s="13">
        <f t="shared" si="39"/>
        <v>24.588383048853512</v>
      </c>
      <c r="N82" s="13">
        <v>3617</v>
      </c>
      <c r="O82" s="15">
        <f t="shared" ca="1" si="51"/>
        <v>108</v>
      </c>
      <c r="P82" s="2"/>
      <c r="Q82" s="2"/>
      <c r="R82" s="2"/>
      <c r="S82" s="18" t="str">
        <f t="shared" ca="1" si="40"/>
        <v/>
      </c>
      <c r="T82" s="20" t="str">
        <f t="shared" ca="1" si="41"/>
        <v/>
      </c>
      <c r="U82" s="18" t="str">
        <f t="shared" ca="1" si="42"/>
        <v/>
      </c>
      <c r="V82" s="20" t="str">
        <f t="shared" ca="1" si="43"/>
        <v/>
      </c>
      <c r="W82" s="21">
        <f t="shared" ca="1" si="44"/>
        <v>51</v>
      </c>
      <c r="X82" s="21">
        <f t="shared" ca="1" si="52"/>
        <v>57</v>
      </c>
      <c r="Y82" s="2"/>
      <c r="Z82" s="2"/>
    </row>
    <row r="83" spans="1:26" ht="14.25" customHeight="1" x14ac:dyDescent="0.45">
      <c r="A83" s="12" t="s">
        <v>25</v>
      </c>
      <c r="B83" s="12" t="s">
        <v>46</v>
      </c>
      <c r="C83" s="13">
        <v>103</v>
      </c>
      <c r="D83" s="13">
        <v>63728</v>
      </c>
      <c r="E83" s="13">
        <f t="shared" ca="1" si="45"/>
        <v>56512</v>
      </c>
      <c r="F83" s="15">
        <f t="shared" ca="1" si="46"/>
        <v>7216</v>
      </c>
      <c r="G83" s="16">
        <f t="shared" ca="1" si="47"/>
        <v>0.12768969422423557</v>
      </c>
      <c r="H83" s="13">
        <v>586</v>
      </c>
      <c r="I83" s="13" t="str">
        <f t="shared" ca="1" si="48"/>
        <v/>
      </c>
      <c r="J83" s="15" t="str">
        <f t="shared" ca="1" si="49"/>
        <v/>
      </c>
      <c r="K83" s="16" t="str">
        <f t="shared" ca="1" si="50"/>
        <v/>
      </c>
      <c r="L83" s="13">
        <f t="shared" si="38"/>
        <v>618.71844660194176</v>
      </c>
      <c r="M83" s="13">
        <f t="shared" si="39"/>
        <v>9.1953301531508913</v>
      </c>
      <c r="N83" s="13">
        <v>1596</v>
      </c>
      <c r="O83" s="15">
        <f t="shared" ca="1" si="51"/>
        <v>77</v>
      </c>
      <c r="P83" s="2"/>
      <c r="Q83" s="2"/>
      <c r="R83" s="2"/>
      <c r="S83" s="18" t="str">
        <f t="shared" ca="1" si="40"/>
        <v/>
      </c>
      <c r="T83" s="20" t="str">
        <f t="shared" ca="1" si="41"/>
        <v/>
      </c>
      <c r="U83" s="18" t="str">
        <f t="shared" ca="1" si="42"/>
        <v/>
      </c>
      <c r="V83" s="20" t="str">
        <f t="shared" ca="1" si="43"/>
        <v/>
      </c>
      <c r="W83" s="21">
        <f t="shared" ca="1" si="44"/>
        <v>28</v>
      </c>
      <c r="X83" s="21">
        <f t="shared" ca="1" si="52"/>
        <v>49</v>
      </c>
      <c r="Y83" s="2"/>
      <c r="Z83" s="2"/>
    </row>
    <row r="84" spans="1:26" ht="14.25" customHeight="1" x14ac:dyDescent="0.45">
      <c r="A84" s="12" t="s">
        <v>25</v>
      </c>
      <c r="B84" s="12" t="s">
        <v>47</v>
      </c>
      <c r="C84" s="13">
        <v>105</v>
      </c>
      <c r="D84" s="13">
        <v>25850</v>
      </c>
      <c r="E84" s="13">
        <f t="shared" ca="1" si="45"/>
        <v>24217</v>
      </c>
      <c r="F84" s="15">
        <f t="shared" ca="1" si="46"/>
        <v>1633</v>
      </c>
      <c r="G84" s="16">
        <f t="shared" ca="1" si="47"/>
        <v>6.7431969277780071E-2</v>
      </c>
      <c r="H84" s="13">
        <v>336</v>
      </c>
      <c r="I84" s="13" t="str">
        <f t="shared" ca="1" si="48"/>
        <v/>
      </c>
      <c r="J84" s="15" t="str">
        <f t="shared" ca="1" si="49"/>
        <v/>
      </c>
      <c r="K84" s="16" t="str">
        <f t="shared" ca="1" si="50"/>
        <v/>
      </c>
      <c r="L84" s="13">
        <f t="shared" si="38"/>
        <v>246.1904761904762</v>
      </c>
      <c r="M84" s="13">
        <f t="shared" si="39"/>
        <v>12.998065764023211</v>
      </c>
      <c r="N84" s="13">
        <v>729</v>
      </c>
      <c r="O84" s="15">
        <f t="shared" ca="1" si="51"/>
        <v>11</v>
      </c>
      <c r="P84" s="2"/>
      <c r="Q84" s="2"/>
      <c r="R84" s="2"/>
      <c r="S84" s="18" t="str">
        <f t="shared" ca="1" si="40"/>
        <v/>
      </c>
      <c r="T84" s="20" t="str">
        <f t="shared" ca="1" si="41"/>
        <v/>
      </c>
      <c r="U84" s="18" t="str">
        <f t="shared" ca="1" si="42"/>
        <v/>
      </c>
      <c r="V84" s="20" t="str">
        <f t="shared" ca="1" si="43"/>
        <v/>
      </c>
      <c r="W84" s="21">
        <f t="shared" ca="1" si="44"/>
        <v>9</v>
      </c>
      <c r="X84" s="21">
        <f t="shared" ca="1" si="52"/>
        <v>2</v>
      </c>
      <c r="Y84" s="2"/>
      <c r="Z84" s="2"/>
    </row>
    <row r="85" spans="1:26" ht="14.25" customHeight="1" x14ac:dyDescent="0.45">
      <c r="A85" s="12" t="s">
        <v>25</v>
      </c>
      <c r="B85" s="12" t="s">
        <v>48</v>
      </c>
      <c r="C85" s="13">
        <v>69</v>
      </c>
      <c r="D85" s="13">
        <v>8238</v>
      </c>
      <c r="E85" s="13">
        <f t="shared" ca="1" si="45"/>
        <v>7988</v>
      </c>
      <c r="F85" s="15">
        <f t="shared" ca="1" si="46"/>
        <v>250</v>
      </c>
      <c r="G85" s="16">
        <f t="shared" ca="1" si="47"/>
        <v>3.1296945418127192E-2</v>
      </c>
      <c r="H85" s="13">
        <v>705</v>
      </c>
      <c r="I85" s="13" t="str">
        <f t="shared" ca="1" si="48"/>
        <v/>
      </c>
      <c r="J85" s="15" t="str">
        <f t="shared" ca="1" si="49"/>
        <v/>
      </c>
      <c r="K85" s="16" t="str">
        <f t="shared" ca="1" si="50"/>
        <v/>
      </c>
      <c r="L85" s="13">
        <f t="shared" si="38"/>
        <v>119.39130434782609</v>
      </c>
      <c r="M85" s="13">
        <f t="shared" si="39"/>
        <v>85.579024034959943</v>
      </c>
      <c r="N85" s="13">
        <v>263</v>
      </c>
      <c r="O85" s="15">
        <f t="shared" ca="1" si="51"/>
        <v>6</v>
      </c>
      <c r="P85" s="2"/>
      <c r="Q85" s="2"/>
      <c r="R85" s="2"/>
      <c r="S85" s="18" t="str">
        <f t="shared" ca="1" si="40"/>
        <v/>
      </c>
      <c r="T85" s="20" t="str">
        <f t="shared" ca="1" si="41"/>
        <v/>
      </c>
      <c r="U85" s="18" t="str">
        <f t="shared" ca="1" si="42"/>
        <v/>
      </c>
      <c r="V85" s="20" t="str">
        <f t="shared" ca="1" si="43"/>
        <v/>
      </c>
      <c r="W85" s="21">
        <f t="shared" ca="1" si="44"/>
        <v>4</v>
      </c>
      <c r="X85" s="21">
        <f t="shared" ca="1" si="52"/>
        <v>2</v>
      </c>
      <c r="Y85" s="2"/>
      <c r="Z85" s="2"/>
    </row>
    <row r="86" spans="1:26" ht="14.25" customHeight="1" x14ac:dyDescent="0.45">
      <c r="A86" s="12" t="s">
        <v>25</v>
      </c>
      <c r="B86" s="12" t="s">
        <v>49</v>
      </c>
      <c r="C86" s="13">
        <v>87</v>
      </c>
      <c r="D86" s="13">
        <v>76602</v>
      </c>
      <c r="E86" s="13">
        <f t="shared" ca="1" si="45"/>
        <v>45339</v>
      </c>
      <c r="F86" s="15">
        <f t="shared" ca="1" si="46"/>
        <v>31263</v>
      </c>
      <c r="G86" s="16">
        <f t="shared" ca="1" si="47"/>
        <v>0.68953880764904385</v>
      </c>
      <c r="H86" s="13">
        <v>778</v>
      </c>
      <c r="I86" s="13" t="str">
        <f t="shared" ca="1" si="48"/>
        <v/>
      </c>
      <c r="J86" s="15" t="str">
        <f t="shared" ca="1" si="49"/>
        <v/>
      </c>
      <c r="K86" s="16" t="str">
        <f t="shared" ca="1" si="50"/>
        <v/>
      </c>
      <c r="L86" s="13">
        <f t="shared" si="38"/>
        <v>880.48275862068965</v>
      </c>
      <c r="M86" s="13">
        <f t="shared" si="39"/>
        <v>10.156392783478237</v>
      </c>
      <c r="N86" s="13">
        <v>1886</v>
      </c>
      <c r="O86" s="15">
        <f t="shared" ca="1" si="51"/>
        <v>48</v>
      </c>
      <c r="P86" s="2"/>
      <c r="Q86" s="2"/>
      <c r="R86" s="2"/>
      <c r="S86" s="18" t="str">
        <f t="shared" ca="1" si="40"/>
        <v/>
      </c>
      <c r="T86" s="20" t="str">
        <f t="shared" ca="1" si="41"/>
        <v/>
      </c>
      <c r="U86" s="18" t="str">
        <f t="shared" ca="1" si="42"/>
        <v/>
      </c>
      <c r="V86" s="20" t="str">
        <f t="shared" ca="1" si="43"/>
        <v/>
      </c>
      <c r="W86" s="21">
        <f t="shared" ca="1" si="44"/>
        <v>4</v>
      </c>
      <c r="X86" s="21">
        <f t="shared" ca="1" si="52"/>
        <v>44</v>
      </c>
      <c r="Y86" s="2"/>
      <c r="Z86" s="2"/>
    </row>
    <row r="87" spans="1:26" ht="14.25" customHeight="1" x14ac:dyDescent="0.45">
      <c r="A87" s="12" t="s">
        <v>25</v>
      </c>
      <c r="B87" s="12" t="s">
        <v>50</v>
      </c>
      <c r="C87" s="13">
        <v>48</v>
      </c>
      <c r="D87" s="13">
        <v>9916</v>
      </c>
      <c r="E87" s="13">
        <f t="shared" ca="1" si="45"/>
        <v>10293</v>
      </c>
      <c r="F87" s="15">
        <f t="shared" ca="1" si="46"/>
        <v>-377</v>
      </c>
      <c r="G87" s="16">
        <f t="shared" ca="1" si="47"/>
        <v>-3.6626833770523656E-2</v>
      </c>
      <c r="H87" s="13">
        <v>30</v>
      </c>
      <c r="I87" s="13" t="str">
        <f t="shared" ca="1" si="48"/>
        <v/>
      </c>
      <c r="J87" s="15" t="str">
        <f t="shared" ca="1" si="49"/>
        <v/>
      </c>
      <c r="K87" s="16" t="str">
        <f t="shared" ca="1" si="50"/>
        <v/>
      </c>
      <c r="L87" s="13">
        <f t="shared" si="38"/>
        <v>206.58333333333334</v>
      </c>
      <c r="M87" s="13">
        <f t="shared" si="39"/>
        <v>3.0254134731746674</v>
      </c>
      <c r="N87" s="13">
        <v>484</v>
      </c>
      <c r="O87" s="15">
        <f t="shared" ca="1" si="51"/>
        <v>9</v>
      </c>
      <c r="P87" s="2"/>
      <c r="Q87" s="2"/>
      <c r="R87" s="2"/>
      <c r="S87" s="18" t="str">
        <f t="shared" ca="1" si="40"/>
        <v/>
      </c>
      <c r="T87" s="20" t="str">
        <f t="shared" ca="1" si="41"/>
        <v/>
      </c>
      <c r="U87" s="18" t="str">
        <f t="shared" ca="1" si="42"/>
        <v/>
      </c>
      <c r="V87" s="20" t="str">
        <f t="shared" ca="1" si="43"/>
        <v/>
      </c>
      <c r="W87" s="21">
        <f t="shared" ca="1" si="44"/>
        <v>13</v>
      </c>
      <c r="X87" s="21">
        <f t="shared" ca="1" si="52"/>
        <v>-4</v>
      </c>
      <c r="Y87" s="2"/>
      <c r="Z87" s="2"/>
    </row>
    <row r="88" spans="1:26" ht="14.25" customHeight="1" x14ac:dyDescent="0.45">
      <c r="A88" s="12" t="s">
        <v>25</v>
      </c>
      <c r="B88" s="12" t="s">
        <v>51</v>
      </c>
      <c r="C88" s="13">
        <v>35</v>
      </c>
      <c r="D88" s="13">
        <v>6957</v>
      </c>
      <c r="E88" s="13">
        <f t="shared" ca="1" si="45"/>
        <v>6253</v>
      </c>
      <c r="F88" s="15">
        <f t="shared" ca="1" si="46"/>
        <v>704</v>
      </c>
      <c r="G88" s="16">
        <f t="shared" ca="1" si="47"/>
        <v>0.1125859587398049</v>
      </c>
      <c r="H88" s="13">
        <v>66</v>
      </c>
      <c r="I88" s="13" t="str">
        <f t="shared" ca="1" si="48"/>
        <v/>
      </c>
      <c r="J88" s="15" t="str">
        <f t="shared" ca="1" si="49"/>
        <v/>
      </c>
      <c r="K88" s="16" t="str">
        <f t="shared" ca="1" si="50"/>
        <v/>
      </c>
      <c r="L88" s="13">
        <f t="shared" si="38"/>
        <v>198.77142857142857</v>
      </c>
      <c r="M88" s="13">
        <f t="shared" si="39"/>
        <v>9.4868477792151786</v>
      </c>
      <c r="N88" s="13">
        <v>416</v>
      </c>
      <c r="O88" s="15">
        <f t="shared" ca="1" si="51"/>
        <v>14</v>
      </c>
      <c r="P88" s="2"/>
      <c r="Q88" s="2"/>
      <c r="R88" s="2"/>
      <c r="S88" s="18" t="str">
        <f t="shared" ca="1" si="40"/>
        <v/>
      </c>
      <c r="T88" s="20" t="str">
        <f t="shared" ca="1" si="41"/>
        <v/>
      </c>
      <c r="U88" s="18" t="str">
        <f t="shared" ca="1" si="42"/>
        <v/>
      </c>
      <c r="V88" s="20" t="str">
        <f t="shared" ca="1" si="43"/>
        <v/>
      </c>
      <c r="W88" s="21">
        <f t="shared" ca="1" si="44"/>
        <v>6</v>
      </c>
      <c r="X88" s="21">
        <f t="shared" ca="1" si="52"/>
        <v>8</v>
      </c>
      <c r="Y88" s="2"/>
      <c r="Z88" s="2"/>
    </row>
    <row r="89" spans="1:26" ht="14.25" customHeight="1" x14ac:dyDescent="0.45">
      <c r="A89" s="12" t="s">
        <v>25</v>
      </c>
      <c r="B89" s="12" t="s">
        <v>52</v>
      </c>
      <c r="C89" s="13">
        <v>47</v>
      </c>
      <c r="D89" s="13">
        <v>8025</v>
      </c>
      <c r="E89" s="13">
        <f t="shared" ca="1" si="45"/>
        <v>9659</v>
      </c>
      <c r="F89" s="15">
        <f t="shared" ca="1" si="46"/>
        <v>-1634</v>
      </c>
      <c r="G89" s="16">
        <f t="shared" ca="1" si="47"/>
        <v>-0.16916865099906822</v>
      </c>
      <c r="H89" s="13">
        <v>149</v>
      </c>
      <c r="I89" s="13" t="str">
        <f t="shared" ca="1" si="48"/>
        <v/>
      </c>
      <c r="J89" s="15" t="str">
        <f t="shared" ca="1" si="49"/>
        <v/>
      </c>
      <c r="K89" s="16" t="str">
        <f t="shared" ca="1" si="50"/>
        <v/>
      </c>
      <c r="L89" s="13">
        <f t="shared" si="38"/>
        <v>170.74468085106383</v>
      </c>
      <c r="M89" s="13">
        <f t="shared" si="39"/>
        <v>18.566978193146419</v>
      </c>
      <c r="N89" s="13">
        <v>442</v>
      </c>
      <c r="O89" s="15">
        <f t="shared" ca="1" si="51"/>
        <v>1</v>
      </c>
      <c r="P89" s="2"/>
      <c r="Q89" s="2"/>
      <c r="R89" s="2"/>
      <c r="S89" s="18" t="str">
        <f t="shared" ca="1" si="40"/>
        <v/>
      </c>
      <c r="T89" s="20" t="str">
        <f t="shared" ca="1" si="41"/>
        <v/>
      </c>
      <c r="U89" s="18" t="str">
        <f t="shared" ca="1" si="42"/>
        <v/>
      </c>
      <c r="V89" s="20" t="str">
        <f t="shared" ca="1" si="43"/>
        <v/>
      </c>
      <c r="W89" s="21">
        <f t="shared" ca="1" si="44"/>
        <v>2</v>
      </c>
      <c r="X89" s="21">
        <f t="shared" ca="1" si="52"/>
        <v>-1</v>
      </c>
      <c r="Y89" s="2"/>
      <c r="Z89" s="2"/>
    </row>
    <row r="90" spans="1:26" ht="14.25" customHeight="1" x14ac:dyDescent="0.45">
      <c r="A90" s="12" t="s">
        <v>25</v>
      </c>
      <c r="B90" s="12" t="s">
        <v>53</v>
      </c>
      <c r="C90" s="13">
        <v>53</v>
      </c>
      <c r="D90" s="13">
        <v>26834</v>
      </c>
      <c r="E90" s="13">
        <f t="shared" ca="1" si="45"/>
        <v>29380</v>
      </c>
      <c r="F90" s="15">
        <f t="shared" ca="1" si="46"/>
        <v>-2546</v>
      </c>
      <c r="G90" s="16">
        <f t="shared" ca="1" si="47"/>
        <v>-8.6657590197413203E-2</v>
      </c>
      <c r="H90" s="13">
        <v>578</v>
      </c>
      <c r="I90" s="13" t="str">
        <f t="shared" ca="1" si="48"/>
        <v/>
      </c>
      <c r="J90" s="15" t="str">
        <f t="shared" ca="1" si="49"/>
        <v/>
      </c>
      <c r="K90" s="16" t="str">
        <f t="shared" ca="1" si="50"/>
        <v/>
      </c>
      <c r="L90" s="13">
        <f t="shared" si="38"/>
        <v>506.30188679245282</v>
      </c>
      <c r="M90" s="13">
        <f t="shared" si="39"/>
        <v>21.539837519564731</v>
      </c>
      <c r="N90" s="13">
        <v>1446</v>
      </c>
      <c r="O90" s="15">
        <f t="shared" ca="1" si="51"/>
        <v>5</v>
      </c>
      <c r="P90" s="2"/>
      <c r="Q90" s="2"/>
      <c r="R90" s="2"/>
      <c r="S90" s="18" t="str">
        <f t="shared" ca="1" si="40"/>
        <v/>
      </c>
      <c r="T90" s="20" t="str">
        <f t="shared" ca="1" si="41"/>
        <v/>
      </c>
      <c r="U90" s="18" t="str">
        <f t="shared" ca="1" si="42"/>
        <v/>
      </c>
      <c r="V90" s="20" t="str">
        <f t="shared" ca="1" si="43"/>
        <v/>
      </c>
      <c r="W90" s="21">
        <f t="shared" ca="1" si="44"/>
        <v>6</v>
      </c>
      <c r="X90" s="21">
        <f t="shared" ca="1" si="52"/>
        <v>-1</v>
      </c>
      <c r="Y90" s="2"/>
      <c r="Z90" s="2"/>
    </row>
    <row r="91" spans="1:26" ht="14.25" customHeight="1" x14ac:dyDescent="0.45">
      <c r="A91" s="12" t="s">
        <v>25</v>
      </c>
      <c r="B91" s="12" t="s">
        <v>54</v>
      </c>
      <c r="C91" s="13">
        <v>82</v>
      </c>
      <c r="D91" s="13">
        <v>94449</v>
      </c>
      <c r="E91" s="13">
        <f t="shared" ca="1" si="45"/>
        <v>69350</v>
      </c>
      <c r="F91" s="15">
        <f t="shared" ca="1" si="46"/>
        <v>25099</v>
      </c>
      <c r="G91" s="16">
        <f t="shared" ca="1" si="47"/>
        <v>0.36191780821917807</v>
      </c>
      <c r="H91" s="13">
        <v>1355</v>
      </c>
      <c r="I91" s="13" t="str">
        <f t="shared" ca="1" si="48"/>
        <v/>
      </c>
      <c r="J91" s="15" t="str">
        <f t="shared" ca="1" si="49"/>
        <v/>
      </c>
      <c r="K91" s="16" t="str">
        <f t="shared" ca="1" si="50"/>
        <v/>
      </c>
      <c r="L91" s="13">
        <f t="shared" si="38"/>
        <v>1151.8170731707316</v>
      </c>
      <c r="M91" s="13">
        <f t="shared" si="39"/>
        <v>14.346366822306219</v>
      </c>
      <c r="N91" s="13">
        <v>2410</v>
      </c>
      <c r="O91" s="15">
        <f t="shared" ca="1" si="51"/>
        <v>201</v>
      </c>
      <c r="P91" s="2"/>
      <c r="Q91" s="2"/>
      <c r="R91" s="2"/>
      <c r="S91" s="18" t="str">
        <f t="shared" ca="1" si="40"/>
        <v/>
      </c>
      <c r="T91" s="20" t="str">
        <f t="shared" ca="1" si="41"/>
        <v/>
      </c>
      <c r="U91" s="18" t="str">
        <f t="shared" ca="1" si="42"/>
        <v/>
      </c>
      <c r="V91" s="20" t="str">
        <f t="shared" ca="1" si="43"/>
        <v/>
      </c>
      <c r="W91" s="21">
        <f t="shared" ca="1" si="44"/>
        <v>62</v>
      </c>
      <c r="X91" s="21">
        <f t="shared" ca="1" si="52"/>
        <v>139</v>
      </c>
      <c r="Y91" s="2"/>
      <c r="Z91" s="2"/>
    </row>
    <row r="92" spans="1:26" ht="14.25" customHeight="1" x14ac:dyDescent="0.45">
      <c r="A92" s="12" t="s">
        <v>25</v>
      </c>
      <c r="B92" s="12" t="s">
        <v>55</v>
      </c>
      <c r="C92" s="13">
        <v>72</v>
      </c>
      <c r="D92" s="13">
        <v>36268</v>
      </c>
      <c r="E92" s="13">
        <f t="shared" ca="1" si="45"/>
        <v>47993</v>
      </c>
      <c r="F92" s="15">
        <f t="shared" ca="1" si="46"/>
        <v>-11725</v>
      </c>
      <c r="G92" s="16">
        <f t="shared" ca="1" si="47"/>
        <v>-0.24430646135894818</v>
      </c>
      <c r="H92" s="13">
        <v>555</v>
      </c>
      <c r="I92" s="13" t="str">
        <f t="shared" ca="1" si="48"/>
        <v/>
      </c>
      <c r="J92" s="15" t="str">
        <f t="shared" ca="1" si="49"/>
        <v/>
      </c>
      <c r="K92" s="16" t="str">
        <f t="shared" ca="1" si="50"/>
        <v/>
      </c>
      <c r="L92" s="13">
        <f t="shared" si="38"/>
        <v>503.72222222222223</v>
      </c>
      <c r="M92" s="13">
        <f t="shared" si="39"/>
        <v>15.302746222565347</v>
      </c>
      <c r="N92" s="13">
        <v>1146</v>
      </c>
      <c r="O92" s="15">
        <f t="shared" ca="1" si="51"/>
        <v>136</v>
      </c>
      <c r="P92" s="2"/>
      <c r="Q92" s="2"/>
      <c r="R92" s="2"/>
      <c r="S92" s="18" t="str">
        <f t="shared" ca="1" si="40"/>
        <v/>
      </c>
      <c r="T92" s="20" t="str">
        <f t="shared" ca="1" si="41"/>
        <v/>
      </c>
      <c r="U92" s="18" t="str">
        <f t="shared" ca="1" si="42"/>
        <v/>
      </c>
      <c r="V92" s="20" t="str">
        <f t="shared" ca="1" si="43"/>
        <v/>
      </c>
      <c r="W92" s="21">
        <f t="shared" ca="1" si="44"/>
        <v>201</v>
      </c>
      <c r="X92" s="21">
        <f t="shared" ca="1" si="52"/>
        <v>-65</v>
      </c>
      <c r="Y92" s="2"/>
      <c r="Z92" s="2"/>
    </row>
    <row r="93" spans="1:26" ht="14.25" customHeight="1" x14ac:dyDescent="0.45">
      <c r="A93" s="12" t="s">
        <v>25</v>
      </c>
      <c r="B93" s="12" t="s">
        <v>56</v>
      </c>
      <c r="C93" s="13">
        <v>30</v>
      </c>
      <c r="D93" s="13">
        <v>17033</v>
      </c>
      <c r="E93" s="13">
        <f t="shared" ca="1" si="45"/>
        <v>10005</v>
      </c>
      <c r="F93" s="15">
        <f t="shared" ca="1" si="46"/>
        <v>7028</v>
      </c>
      <c r="G93" s="16">
        <f t="shared" ca="1" si="47"/>
        <v>0.70244877561219388</v>
      </c>
      <c r="H93" s="13">
        <v>1094</v>
      </c>
      <c r="I93" s="13" t="str">
        <f t="shared" ca="1" si="48"/>
        <v/>
      </c>
      <c r="J93" s="15" t="str">
        <f t="shared" ca="1" si="49"/>
        <v/>
      </c>
      <c r="K93" s="16" t="str">
        <f t="shared" ca="1" si="50"/>
        <v/>
      </c>
      <c r="L93" s="13">
        <f t="shared" si="38"/>
        <v>567.76666666666665</v>
      </c>
      <c r="M93" s="13">
        <f t="shared" si="39"/>
        <v>64.228262784007526</v>
      </c>
      <c r="N93" s="13">
        <v>1349</v>
      </c>
      <c r="O93" s="15">
        <f t="shared" ca="1" si="51"/>
        <v>18</v>
      </c>
      <c r="P93" s="2"/>
      <c r="Q93" s="2"/>
      <c r="R93" s="2"/>
      <c r="S93" s="18" t="str">
        <f t="shared" ca="1" si="40"/>
        <v/>
      </c>
      <c r="T93" s="20" t="str">
        <f t="shared" ca="1" si="41"/>
        <v/>
      </c>
      <c r="U93" s="18" t="str">
        <f t="shared" ca="1" si="42"/>
        <v/>
      </c>
      <c r="V93" s="20" t="str">
        <f t="shared" ca="1" si="43"/>
        <v/>
      </c>
      <c r="W93" s="21">
        <f t="shared" ca="1" si="44"/>
        <v>1</v>
      </c>
      <c r="X93" s="21">
        <f t="shared" ca="1" si="52"/>
        <v>17</v>
      </c>
      <c r="Y93" s="2"/>
      <c r="Z93" s="2"/>
    </row>
    <row r="94" spans="1:26" ht="14.25" customHeight="1" x14ac:dyDescent="0.45">
      <c r="A94" s="12" t="s">
        <v>25</v>
      </c>
      <c r="B94" s="12" t="s">
        <v>61</v>
      </c>
      <c r="C94" s="13">
        <v>8</v>
      </c>
      <c r="D94" s="13">
        <v>856</v>
      </c>
      <c r="E94" s="13">
        <f t="shared" ca="1" si="45"/>
        <v>794</v>
      </c>
      <c r="F94" s="15">
        <f t="shared" ca="1" si="46"/>
        <v>62</v>
      </c>
      <c r="G94" s="16">
        <f t="shared" ca="1" si="47"/>
        <v>7.8085642317380355E-2</v>
      </c>
      <c r="H94" s="13">
        <v>46</v>
      </c>
      <c r="I94" s="13" t="str">
        <f t="shared" ca="1" si="48"/>
        <v/>
      </c>
      <c r="J94" s="15" t="str">
        <f t="shared" ca="1" si="49"/>
        <v/>
      </c>
      <c r="K94" s="16" t="str">
        <f t="shared" ca="1" si="50"/>
        <v/>
      </c>
      <c r="L94" s="13">
        <f t="shared" si="38"/>
        <v>107</v>
      </c>
      <c r="M94" s="13">
        <f t="shared" si="39"/>
        <v>53.738317757009348</v>
      </c>
      <c r="N94" s="13">
        <v>224</v>
      </c>
      <c r="O94" s="15">
        <f t="shared" ca="1" si="51"/>
        <v>-2</v>
      </c>
      <c r="P94" s="2"/>
      <c r="Q94" s="2"/>
      <c r="R94" s="2"/>
      <c r="S94" s="18" t="str">
        <f t="shared" ca="1" si="40"/>
        <v/>
      </c>
      <c r="T94" s="20" t="str">
        <f t="shared" ca="1" si="41"/>
        <v/>
      </c>
      <c r="U94" s="18" t="str">
        <f t="shared" ca="1" si="42"/>
        <v/>
      </c>
      <c r="V94" s="20" t="str">
        <f t="shared" ca="1" si="43"/>
        <v/>
      </c>
      <c r="W94" s="21">
        <f t="shared" ca="1" si="44"/>
        <v>3</v>
      </c>
      <c r="X94" s="21">
        <f t="shared" ca="1" si="52"/>
        <v>-5</v>
      </c>
      <c r="Y94" s="2"/>
      <c r="Z94" s="2"/>
    </row>
    <row r="95" spans="1:26" ht="14.25" customHeight="1" x14ac:dyDescent="0.45">
      <c r="A95" s="12" t="s">
        <v>25</v>
      </c>
      <c r="B95" s="12" t="s">
        <v>65</v>
      </c>
      <c r="C95" s="13">
        <v>8</v>
      </c>
      <c r="D95" s="13">
        <v>6537</v>
      </c>
      <c r="E95" s="13">
        <f t="shared" ca="1" si="45"/>
        <v>1952</v>
      </c>
      <c r="F95" s="15">
        <f t="shared" ca="1" si="46"/>
        <v>4585</v>
      </c>
      <c r="G95" s="16">
        <f t="shared" ca="1" si="47"/>
        <v>2.348872950819672</v>
      </c>
      <c r="H95" s="13">
        <v>135</v>
      </c>
      <c r="I95" s="13" t="str">
        <f t="shared" ca="1" si="48"/>
        <v/>
      </c>
      <c r="J95" s="15" t="str">
        <f t="shared" ca="1" si="49"/>
        <v/>
      </c>
      <c r="K95" s="16" t="str">
        <f t="shared" ca="1" si="50"/>
        <v/>
      </c>
      <c r="L95" s="13">
        <f t="shared" si="38"/>
        <v>817.125</v>
      </c>
      <c r="M95" s="13">
        <f t="shared" si="39"/>
        <v>20.651675080312071</v>
      </c>
      <c r="N95" s="13">
        <v>278</v>
      </c>
      <c r="O95" s="15">
        <f t="shared" ca="1" si="51"/>
        <v>30</v>
      </c>
      <c r="P95" s="2"/>
      <c r="Q95" s="2"/>
      <c r="R95" s="2"/>
      <c r="S95" s="18" t="str">
        <f t="shared" ca="1" si="40"/>
        <v/>
      </c>
      <c r="T95" s="20" t="str">
        <f t="shared" ca="1" si="41"/>
        <v/>
      </c>
      <c r="U95" s="18" t="str">
        <f t="shared" ca="1" si="42"/>
        <v/>
      </c>
      <c r="V95" s="20" t="str">
        <f t="shared" ca="1" si="43"/>
        <v/>
      </c>
      <c r="W95" s="21">
        <f t="shared" ca="1" si="44"/>
        <v>5</v>
      </c>
      <c r="X95" s="21">
        <f t="shared" ca="1" si="52"/>
        <v>25</v>
      </c>
      <c r="Y95" s="2"/>
      <c r="Z95" s="2"/>
    </row>
    <row r="96" spans="1:26" ht="14.25" customHeight="1" x14ac:dyDescent="0.45">
      <c r="A96" s="25"/>
      <c r="B96" s="25" t="s">
        <v>71</v>
      </c>
      <c r="C96" s="26">
        <f>SUM(C75:C95)</f>
        <v>1484</v>
      </c>
      <c r="D96" s="26">
        <f>SUM(D75:D95)</f>
        <v>1067860</v>
      </c>
      <c r="E96" s="26">
        <f ca="1">SUM(E75:E95)</f>
        <v>884810</v>
      </c>
      <c r="F96" s="27">
        <f ca="1">SUM(F75:F95)</f>
        <v>183050</v>
      </c>
      <c r="G96" s="28">
        <f ca="1">IF(C96=0,"",IFERROR(F96/E96,""))</f>
        <v>0.20688057323041104</v>
      </c>
      <c r="H96" s="26">
        <f>SUM(H75:H95)</f>
        <v>17252</v>
      </c>
      <c r="I96" s="26">
        <f ca="1">SUM(I75:I95)</f>
        <v>0</v>
      </c>
      <c r="J96" s="27">
        <f ca="1">SUM(J75:J95)</f>
        <v>0</v>
      </c>
      <c r="K96" s="28" t="str">
        <f ca="1">IF(C96=0,"",IFERROR(J96/I96,""))</f>
        <v/>
      </c>
      <c r="L96" s="26">
        <f t="shared" si="38"/>
        <v>719.58221024258762</v>
      </c>
      <c r="M96" s="26">
        <f t="shared" si="39"/>
        <v>16.155675837656624</v>
      </c>
      <c r="N96" s="26">
        <f>SUM(N75:N95)</f>
        <v>29437</v>
      </c>
      <c r="O96" s="27">
        <f ca="1">SUM(O75:O95)</f>
        <v>1269</v>
      </c>
      <c r="P96" s="2"/>
      <c r="Q96" s="2"/>
      <c r="R96" s="2"/>
      <c r="S96" s="29" t="str">
        <f t="shared" ca="1" si="40"/>
        <v/>
      </c>
      <c r="T96" s="30" t="str">
        <f t="shared" ca="1" si="41"/>
        <v/>
      </c>
      <c r="U96" s="29" t="str">
        <f t="shared" ca="1" si="42"/>
        <v/>
      </c>
      <c r="V96" s="30" t="str">
        <f t="shared" ca="1" si="43"/>
        <v/>
      </c>
      <c r="W96" s="31">
        <f t="shared" ca="1" si="44"/>
        <v>482</v>
      </c>
      <c r="X96" s="31">
        <f ca="1">IF(OR(C96=0,$O96="",$W96=""),"",$O96-$W96)</f>
        <v>787</v>
      </c>
      <c r="Y96" s="2"/>
      <c r="Z96" s="2"/>
    </row>
    <row r="97" spans="1:26" ht="14.25" customHeight="1" x14ac:dyDescent="0.45">
      <c r="A97" s="39"/>
      <c r="B97" s="39" t="s">
        <v>72</v>
      </c>
      <c r="C97" s="40">
        <f>C30+C51+C74+C96</f>
        <v>6567</v>
      </c>
      <c r="D97" s="40">
        <f>D30+D51+D74+D96</f>
        <v>5046618</v>
      </c>
      <c r="E97" s="40">
        <f ca="1">E30+E51+E74+E96</f>
        <v>4672077</v>
      </c>
      <c r="F97" s="41">
        <f ca="1">F30+F51+F74+F96</f>
        <v>367290</v>
      </c>
      <c r="G97" s="42">
        <f ca="1">IF(OR(C30=0,C51=0,C74=0,C96=0),"",IFERROR(F97/E97,""))</f>
        <v>7.8613858461664909E-2</v>
      </c>
      <c r="H97" s="40">
        <f>H30+H51+H74+H96</f>
        <v>60007</v>
      </c>
      <c r="I97" s="40">
        <f ca="1">I30+I51+I74+I96</f>
        <v>38365</v>
      </c>
      <c r="J97" s="41">
        <f ca="1">J30+J51+J74+J96</f>
        <v>4380</v>
      </c>
      <c r="K97" s="42">
        <f ca="1">IF(OR(C30=0,C51=0,C74=0,C96=0),"",IFERROR(J97/I97,""))</f>
        <v>0.11416655806073243</v>
      </c>
      <c r="L97" s="40">
        <f t="shared" si="38"/>
        <v>768.48149840109636</v>
      </c>
      <c r="M97" s="40">
        <f t="shared" si="39"/>
        <v>11.890537385631328</v>
      </c>
      <c r="N97" s="40">
        <f>N30+N51+N74+N96</f>
        <v>695384</v>
      </c>
      <c r="O97" s="41">
        <f ca="1">O30+O51+O74+O96</f>
        <v>2224</v>
      </c>
      <c r="P97" s="2"/>
      <c r="Q97" s="2"/>
      <c r="R97" s="2"/>
      <c r="S97" s="29" t="str">
        <f t="shared" ca="1" si="40"/>
        <v/>
      </c>
      <c r="T97" s="30" t="str">
        <f t="shared" ca="1" si="41"/>
        <v/>
      </c>
      <c r="U97" s="29" t="str">
        <f t="shared" ca="1" si="42"/>
        <v/>
      </c>
      <c r="V97" s="30" t="str">
        <f t="shared" ca="1" si="43"/>
        <v/>
      </c>
      <c r="W97" s="31">
        <f t="shared" ca="1" si="44"/>
        <v>5503</v>
      </c>
      <c r="X97" s="31">
        <f ca="1">IF(OR(C30=0,C51=0,C74=0,C96=0),"",$O97-$W97)</f>
        <v>-3279</v>
      </c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O96" xr:uid="{00000000-0009-0000-0000-000004000000}"/>
  <conditionalFormatting sqref="G3:G97">
    <cfRule type="expression" dxfId="55" priority="1" stopIfTrue="1">
      <formula>AND(ISNUMBER(G3),G3&gt;=0.2)</formula>
    </cfRule>
    <cfRule type="expression" dxfId="54" priority="2" stopIfTrue="1">
      <formula>AND(ISNUMBER(G3),G3&lt;=-0.2)</formula>
    </cfRule>
    <cfRule type="expression" dxfId="53" priority="3" stopIfTrue="1">
      <formula>AND(ISNUMBER(G3),G3&gt;0)</formula>
    </cfRule>
    <cfRule type="expression" dxfId="52" priority="4" stopIfTrue="1">
      <formula>AND(ISNUMBER(G3),G3&lt;0)</formula>
    </cfRule>
  </conditionalFormatting>
  <conditionalFormatting sqref="K3:K97">
    <cfRule type="expression" dxfId="51" priority="5" stopIfTrue="1">
      <formula>AND(ISNUMBER(K3),K3&gt;=0.2)</formula>
    </cfRule>
    <cfRule type="expression" dxfId="50" priority="6" stopIfTrue="1">
      <formula>AND(ISNUMBER(K3),K3&lt;=-0.2)</formula>
    </cfRule>
    <cfRule type="expression" dxfId="49" priority="7" stopIfTrue="1">
      <formula>AND(ISNUMBER(K3),K3&gt;0)</formula>
    </cfRule>
    <cfRule type="expression" dxfId="48" priority="8" stopIfTrue="1">
      <formula>AND(ISNUMBER(K3),K3&lt;0)</formula>
    </cfRule>
  </conditionalFormatting>
  <conditionalFormatting sqref="T3:T97">
    <cfRule type="expression" dxfId="47" priority="9" stopIfTrue="1">
      <formula>AND(ISNUMBER(T3),T3&gt;=0.2)</formula>
    </cfRule>
    <cfRule type="expression" dxfId="46" priority="10" stopIfTrue="1">
      <formula>AND(ISNUMBER(T3),T3&lt;=-0.2)</formula>
    </cfRule>
    <cfRule type="expression" dxfId="45" priority="11" stopIfTrue="1">
      <formula>AND(ISNUMBER(T3),T3&gt;0)</formula>
    </cfRule>
    <cfRule type="expression" dxfId="44" priority="12" stopIfTrue="1">
      <formula>AND(ISNUMBER(T3),T3&lt;0)</formula>
    </cfRule>
  </conditionalFormatting>
  <conditionalFormatting sqref="V3:V97">
    <cfRule type="expression" dxfId="43" priority="13" stopIfTrue="1">
      <formula>AND(ISNUMBER(V3),V3&gt;=0.2)</formula>
    </cfRule>
    <cfRule type="expression" dxfId="42" priority="14" stopIfTrue="1">
      <formula>AND(ISNUMBER(V3),V3&lt;=-0.2)</formula>
    </cfRule>
    <cfRule type="expression" dxfId="41" priority="15" stopIfTrue="1">
      <formula>AND(ISNUMBER(V3),V3&gt;0)</formula>
    </cfRule>
    <cfRule type="expression" dxfId="40" priority="16" stopIfTrue="1">
      <formula>AND(ISNUMBER(V3),V3&lt;0)</formula>
    </cfRule>
  </conditionalFormatting>
  <conditionalFormatting sqref="F3:F97">
    <cfRule type="expression" dxfId="39" priority="17" stopIfTrue="1">
      <formula>AND(ISNUMBER(F3),F3&gt;0)</formula>
    </cfRule>
    <cfRule type="expression" dxfId="38" priority="18" stopIfTrue="1">
      <formula>AND(ISNUMBER(F3),F3&lt;0)</formula>
    </cfRule>
  </conditionalFormatting>
  <conditionalFormatting sqref="J3:J97">
    <cfRule type="expression" dxfId="37" priority="19" stopIfTrue="1">
      <formula>AND(ISNUMBER(J3),J3&gt;0)</formula>
    </cfRule>
    <cfRule type="expression" dxfId="36" priority="20" stopIfTrue="1">
      <formula>AND(ISNUMBER(J3),J3&lt;0)</formula>
    </cfRule>
  </conditionalFormatting>
  <conditionalFormatting sqref="O3:O97">
    <cfRule type="expression" dxfId="35" priority="21" stopIfTrue="1">
      <formula>AND(ISNUMBER(O3),O3&gt;0)</formula>
    </cfRule>
    <cfRule type="expression" dxfId="34" priority="22" stopIfTrue="1">
      <formula>AND(ISNUMBER(O3),O3&lt;0)</formula>
    </cfRule>
  </conditionalFormatting>
  <conditionalFormatting sqref="X3:X97">
    <cfRule type="expression" dxfId="33" priority="23" stopIfTrue="1">
      <formula>AND(ISNUMBER(X3),X3&gt;0)</formula>
    </cfRule>
    <cfRule type="expression" dxfId="32" priority="24" stopIfTrue="1">
      <formula>AND(ISNUMBER(X3),X3&lt;0)</formula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3984375" defaultRowHeight="15" customHeight="1" x14ac:dyDescent="0.45"/>
  <cols>
    <col min="1" max="1" width="15" style="56" customWidth="1"/>
    <col min="2" max="2" width="22" style="56" customWidth="1"/>
    <col min="3" max="3" width="11" style="56" customWidth="1"/>
    <col min="4" max="4" width="12" style="56" customWidth="1"/>
    <col min="5" max="6" width="13" style="56" customWidth="1"/>
    <col min="7" max="7" width="9" style="56" customWidth="1"/>
    <col min="8" max="8" width="10" style="56" customWidth="1"/>
    <col min="9" max="9" width="12" style="56" customWidth="1"/>
    <col min="10" max="10" width="11" style="56" customWidth="1"/>
    <col min="11" max="11" width="9" style="56" customWidth="1"/>
    <col min="12" max="13" width="14" style="56" customWidth="1"/>
    <col min="14" max="15" width="12" style="56" customWidth="1"/>
    <col min="16" max="16" width="8.73046875" style="56" customWidth="1"/>
    <col min="17" max="17" width="46" style="56" customWidth="1"/>
    <col min="18" max="18" width="8.73046875" style="56" customWidth="1"/>
    <col min="19" max="24" width="15" style="56" customWidth="1"/>
  </cols>
  <sheetData>
    <row r="1" spans="1:26" ht="17.25" customHeight="1" x14ac:dyDescent="0.5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 t="s">
        <v>30</v>
      </c>
      <c r="R1" s="2"/>
      <c r="S1" s="2"/>
      <c r="T1" s="2"/>
      <c r="U1" s="2"/>
      <c r="V1" s="2"/>
      <c r="W1" s="2"/>
      <c r="X1" s="2"/>
      <c r="Y1" s="2"/>
      <c r="Z1" s="2"/>
    </row>
    <row r="2" spans="1:26" ht="42" customHeight="1" x14ac:dyDescent="0.45">
      <c r="A2" s="5" t="s">
        <v>6</v>
      </c>
      <c r="B2" s="5" t="s">
        <v>31</v>
      </c>
      <c r="C2" s="5" t="s">
        <v>7</v>
      </c>
      <c r="D2" s="5" t="s">
        <v>8</v>
      </c>
      <c r="E2" s="5" t="s">
        <v>32</v>
      </c>
      <c r="F2" s="5" t="s">
        <v>33</v>
      </c>
      <c r="G2" s="5" t="s">
        <v>10</v>
      </c>
      <c r="H2" s="5" t="s">
        <v>11</v>
      </c>
      <c r="I2" s="5" t="s">
        <v>34</v>
      </c>
      <c r="J2" s="5" t="s">
        <v>35</v>
      </c>
      <c r="K2" s="5" t="s">
        <v>10</v>
      </c>
      <c r="L2" s="5" t="s">
        <v>36</v>
      </c>
      <c r="M2" s="5" t="s">
        <v>13</v>
      </c>
      <c r="N2" s="5" t="s">
        <v>14</v>
      </c>
      <c r="O2" s="5" t="s">
        <v>15</v>
      </c>
      <c r="P2" s="2"/>
      <c r="Q2" s="9"/>
      <c r="R2" s="2"/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2"/>
      <c r="Z2" s="2"/>
    </row>
    <row r="3" spans="1:26" ht="14.25" customHeight="1" x14ac:dyDescent="0.45">
      <c r="A3" s="12" t="s">
        <v>22</v>
      </c>
      <c r="B3" s="12" t="s">
        <v>37</v>
      </c>
      <c r="C3" s="13">
        <v>119</v>
      </c>
      <c r="D3" s="13">
        <v>420384</v>
      </c>
      <c r="E3" s="13" t="str">
        <f t="shared" ref="E3:E29" ca="1" si="0">IF($D3="","",IFERROR(IF(ISBLANK(INDIRECT("'"&amp;$Q$2&amp;"'!D"&amp;ROW())),"",INDIRECT("'"&amp;$Q$2&amp;"'!D"&amp;ROW())),""))</f>
        <v/>
      </c>
      <c r="F3" s="15"/>
      <c r="G3" s="16"/>
      <c r="H3" s="13">
        <v>1760</v>
      </c>
      <c r="I3" s="13" t="str">
        <f t="shared" ref="I3:I29" ca="1" si="1">IF($H3="","",IFERROR(IF(ISBLANK(INDIRECT("'"&amp;$Q$2&amp;"'!H"&amp;ROW())),"",INDIRECT("'"&amp;$Q$2&amp;"'!H"&amp;ROW())),""))</f>
        <v/>
      </c>
      <c r="J3" s="15"/>
      <c r="K3" s="16"/>
      <c r="L3" s="13">
        <f t="shared" ref="L3:L34" si="2">IFERROR(D3/C3,"")</f>
        <v>3532.6386554621849</v>
      </c>
      <c r="M3" s="13">
        <f t="shared" ref="M3:M34" si="3">IFERROR(H3/D3*1000,"")</f>
        <v>4.1866483976554765</v>
      </c>
      <c r="N3" s="13">
        <v>87657</v>
      </c>
      <c r="O3" s="15">
        <v>1107</v>
      </c>
      <c r="P3" s="2"/>
      <c r="Q3" s="8" t="s">
        <v>38</v>
      </c>
      <c r="R3" s="2"/>
      <c r="S3" s="18" t="str">
        <f t="shared" ref="S3:S34" ca="1" si="4">IFERROR(IF(ISBLANK(INDIRECT("'"&amp;$Q$2&amp;"'!G"&amp;ROW())),"",INDIRECT("'"&amp;$Q$2&amp;"'!G"&amp;ROW())),"")</f>
        <v/>
      </c>
      <c r="T3" s="20" t="str">
        <f t="shared" ref="T3:T34" ca="1" si="5">IF(OR($G3="",$S3=""),"",$G3-$S3)</f>
        <v/>
      </c>
      <c r="U3" s="18" t="str">
        <f t="shared" ref="U3:U34" ca="1" si="6">IFERROR(IF(ISBLANK(INDIRECT("'"&amp;$Q$2&amp;"'!K"&amp;ROW())),"",INDIRECT("'"&amp;$Q$2&amp;"'!K"&amp;ROW())),"")</f>
        <v/>
      </c>
      <c r="V3" s="20" t="str">
        <f t="shared" ref="V3:V34" ca="1" si="7">IF(OR($K3="",$U3=""),"",$K3-$U3)</f>
        <v/>
      </c>
      <c r="W3" s="21" t="str">
        <f t="shared" ref="W3:W34" ca="1" si="8">IFERROR(IF(ISBLANK(INDIRECT("'"&amp;$Q$2&amp;"'!O"&amp;ROW())),"",INDIRECT("'"&amp;$Q$2&amp;"'!O"&amp;ROW())),"")</f>
        <v/>
      </c>
      <c r="X3" s="21" t="str">
        <f t="shared" ref="X3:X29" ca="1" si="9">IF(OR($O3="",$W3=""),"",$O3-$W3)</f>
        <v/>
      </c>
      <c r="Y3" s="2"/>
      <c r="Z3" s="2"/>
    </row>
    <row r="4" spans="1:26" ht="14.25" customHeight="1" x14ac:dyDescent="0.45">
      <c r="A4" s="12" t="s">
        <v>22</v>
      </c>
      <c r="B4" s="12" t="s">
        <v>39</v>
      </c>
      <c r="C4" s="13">
        <v>127</v>
      </c>
      <c r="D4" s="13">
        <v>112305</v>
      </c>
      <c r="E4" s="13" t="str">
        <f t="shared" ca="1" si="0"/>
        <v/>
      </c>
      <c r="F4" s="15"/>
      <c r="G4" s="16"/>
      <c r="H4" s="13">
        <v>434</v>
      </c>
      <c r="I4" s="13" t="str">
        <f t="shared" ca="1" si="1"/>
        <v/>
      </c>
      <c r="J4" s="15"/>
      <c r="K4" s="16"/>
      <c r="L4" s="13">
        <f t="shared" si="2"/>
        <v>884.29133858267721</v>
      </c>
      <c r="M4" s="13">
        <f t="shared" si="3"/>
        <v>3.8644762031966522</v>
      </c>
      <c r="N4" s="13">
        <v>26181</v>
      </c>
      <c r="O4" s="15">
        <v>125</v>
      </c>
      <c r="P4" s="2"/>
      <c r="Q4" s="2"/>
      <c r="R4" s="2"/>
      <c r="S4" s="18" t="str">
        <f t="shared" ca="1" si="4"/>
        <v/>
      </c>
      <c r="T4" s="20" t="str">
        <f t="shared" ca="1" si="5"/>
        <v/>
      </c>
      <c r="U4" s="18" t="str">
        <f t="shared" ca="1" si="6"/>
        <v/>
      </c>
      <c r="V4" s="20" t="str">
        <f t="shared" ca="1" si="7"/>
        <v/>
      </c>
      <c r="W4" s="21" t="str">
        <f t="shared" ca="1" si="8"/>
        <v/>
      </c>
      <c r="X4" s="21" t="str">
        <f t="shared" ca="1" si="9"/>
        <v/>
      </c>
      <c r="Y4" s="2"/>
      <c r="Z4" s="2"/>
    </row>
    <row r="5" spans="1:26" ht="14.25" customHeight="1" x14ac:dyDescent="0.45">
      <c r="A5" s="12" t="s">
        <v>22</v>
      </c>
      <c r="B5" s="12" t="s">
        <v>41</v>
      </c>
      <c r="C5" s="13">
        <v>282</v>
      </c>
      <c r="D5" s="13">
        <v>4059</v>
      </c>
      <c r="E5" s="13" t="str">
        <f t="shared" ca="1" si="0"/>
        <v/>
      </c>
      <c r="F5" s="15"/>
      <c r="G5" s="16"/>
      <c r="H5" s="13">
        <v>6</v>
      </c>
      <c r="I5" s="13" t="str">
        <f t="shared" ca="1" si="1"/>
        <v/>
      </c>
      <c r="J5" s="15"/>
      <c r="K5" s="16"/>
      <c r="L5" s="13">
        <f t="shared" si="2"/>
        <v>14.393617021276595</v>
      </c>
      <c r="M5" s="13">
        <f t="shared" si="3"/>
        <v>1.4781966001478197</v>
      </c>
      <c r="N5" s="13">
        <v>3502</v>
      </c>
      <c r="O5" s="15">
        <v>-5</v>
      </c>
      <c r="P5" s="2"/>
      <c r="Q5" s="2"/>
      <c r="R5" s="2"/>
      <c r="S5" s="18" t="str">
        <f t="shared" ca="1" si="4"/>
        <v/>
      </c>
      <c r="T5" s="20" t="str">
        <f t="shared" ca="1" si="5"/>
        <v/>
      </c>
      <c r="U5" s="18" t="str">
        <f t="shared" ca="1" si="6"/>
        <v/>
      </c>
      <c r="V5" s="20" t="str">
        <f t="shared" ca="1" si="7"/>
        <v/>
      </c>
      <c r="W5" s="21" t="str">
        <f t="shared" ca="1" si="8"/>
        <v/>
      </c>
      <c r="X5" s="21" t="str">
        <f t="shared" ca="1" si="9"/>
        <v/>
      </c>
      <c r="Y5" s="2"/>
      <c r="Z5" s="2"/>
    </row>
    <row r="6" spans="1:26" ht="14.25" customHeight="1" x14ac:dyDescent="0.45">
      <c r="A6" s="12" t="s">
        <v>22</v>
      </c>
      <c r="B6" s="12" t="s">
        <v>42</v>
      </c>
      <c r="C6" s="13">
        <v>86</v>
      </c>
      <c r="D6" s="13">
        <v>79566</v>
      </c>
      <c r="E6" s="13" t="str">
        <f t="shared" ca="1" si="0"/>
        <v/>
      </c>
      <c r="F6" s="15"/>
      <c r="G6" s="16"/>
      <c r="H6" s="13">
        <v>290</v>
      </c>
      <c r="I6" s="13" t="str">
        <f t="shared" ca="1" si="1"/>
        <v/>
      </c>
      <c r="J6" s="15"/>
      <c r="K6" s="16"/>
      <c r="L6" s="13">
        <f t="shared" si="2"/>
        <v>925.18604651162786</v>
      </c>
      <c r="M6" s="13">
        <f t="shared" si="3"/>
        <v>3.6447728929442227</v>
      </c>
      <c r="N6" s="13">
        <v>22925</v>
      </c>
      <c r="O6" s="15">
        <v>70</v>
      </c>
      <c r="P6" s="2"/>
      <c r="Q6" s="2"/>
      <c r="R6" s="2"/>
      <c r="S6" s="18" t="str">
        <f t="shared" ca="1" si="4"/>
        <v/>
      </c>
      <c r="T6" s="20" t="str">
        <f t="shared" ca="1" si="5"/>
        <v/>
      </c>
      <c r="U6" s="18" t="str">
        <f t="shared" ca="1" si="6"/>
        <v/>
      </c>
      <c r="V6" s="20" t="str">
        <f t="shared" ca="1" si="7"/>
        <v/>
      </c>
      <c r="W6" s="21" t="str">
        <f t="shared" ca="1" si="8"/>
        <v/>
      </c>
      <c r="X6" s="21" t="str">
        <f t="shared" ca="1" si="9"/>
        <v/>
      </c>
      <c r="Y6" s="2"/>
      <c r="Z6" s="2"/>
    </row>
    <row r="7" spans="1:26" ht="14.25" customHeight="1" x14ac:dyDescent="0.45">
      <c r="A7" s="12" t="s">
        <v>22</v>
      </c>
      <c r="B7" s="12" t="s">
        <v>43</v>
      </c>
      <c r="C7" s="13">
        <v>87</v>
      </c>
      <c r="D7" s="13">
        <v>111876</v>
      </c>
      <c r="E7" s="13" t="str">
        <f t="shared" ca="1" si="0"/>
        <v/>
      </c>
      <c r="F7" s="15"/>
      <c r="G7" s="16"/>
      <c r="H7" s="13">
        <v>1128</v>
      </c>
      <c r="I7" s="13" t="str">
        <f t="shared" ca="1" si="1"/>
        <v/>
      </c>
      <c r="J7" s="15"/>
      <c r="K7" s="16"/>
      <c r="L7" s="13">
        <f t="shared" si="2"/>
        <v>1285.9310344827586</v>
      </c>
      <c r="M7" s="13">
        <f t="shared" si="3"/>
        <v>10.082591440523437</v>
      </c>
      <c r="N7" s="13">
        <v>24326</v>
      </c>
      <c r="O7" s="15">
        <v>328</v>
      </c>
      <c r="P7" s="2"/>
      <c r="Q7" s="2"/>
      <c r="R7" s="2"/>
      <c r="S7" s="18" t="str">
        <f t="shared" ca="1" si="4"/>
        <v/>
      </c>
      <c r="T7" s="20" t="str">
        <f t="shared" ca="1" si="5"/>
        <v/>
      </c>
      <c r="U7" s="18" t="str">
        <f t="shared" ca="1" si="6"/>
        <v/>
      </c>
      <c r="V7" s="20" t="str">
        <f t="shared" ca="1" si="7"/>
        <v/>
      </c>
      <c r="W7" s="21" t="str">
        <f t="shared" ca="1" si="8"/>
        <v/>
      </c>
      <c r="X7" s="21" t="str">
        <f t="shared" ca="1" si="9"/>
        <v/>
      </c>
      <c r="Y7" s="2"/>
      <c r="Z7" s="2"/>
    </row>
    <row r="8" spans="1:26" ht="14.25" customHeight="1" x14ac:dyDescent="0.45">
      <c r="A8" s="12" t="s">
        <v>22</v>
      </c>
      <c r="B8" s="12" t="s">
        <v>44</v>
      </c>
      <c r="C8" s="13">
        <v>90</v>
      </c>
      <c r="D8" s="13">
        <v>329208</v>
      </c>
      <c r="E8" s="13" t="str">
        <f t="shared" ca="1" si="0"/>
        <v/>
      </c>
      <c r="F8" s="15"/>
      <c r="G8" s="16"/>
      <c r="H8" s="13">
        <v>4811</v>
      </c>
      <c r="I8" s="13" t="str">
        <f t="shared" ca="1" si="1"/>
        <v/>
      </c>
      <c r="J8" s="15"/>
      <c r="K8" s="16"/>
      <c r="L8" s="13">
        <f t="shared" si="2"/>
        <v>3657.8666666666668</v>
      </c>
      <c r="M8" s="13">
        <f t="shared" si="3"/>
        <v>14.613861145537168</v>
      </c>
      <c r="N8" s="13">
        <v>21353</v>
      </c>
      <c r="O8" s="15">
        <v>296</v>
      </c>
      <c r="P8" s="2"/>
      <c r="Q8" s="2"/>
      <c r="R8" s="2"/>
      <c r="S8" s="18" t="str">
        <f t="shared" ca="1" si="4"/>
        <v/>
      </c>
      <c r="T8" s="20" t="str">
        <f t="shared" ca="1" si="5"/>
        <v/>
      </c>
      <c r="U8" s="18" t="str">
        <f t="shared" ca="1" si="6"/>
        <v/>
      </c>
      <c r="V8" s="20" t="str">
        <f t="shared" ca="1" si="7"/>
        <v/>
      </c>
      <c r="W8" s="21" t="str">
        <f t="shared" ca="1" si="8"/>
        <v/>
      </c>
      <c r="X8" s="21" t="str">
        <f t="shared" ca="1" si="9"/>
        <v/>
      </c>
      <c r="Y8" s="2"/>
      <c r="Z8" s="2"/>
    </row>
    <row r="9" spans="1:26" ht="14.25" customHeight="1" x14ac:dyDescent="0.45">
      <c r="A9" s="12" t="s">
        <v>22</v>
      </c>
      <c r="B9" s="12" t="s">
        <v>45</v>
      </c>
      <c r="C9" s="13">
        <v>86</v>
      </c>
      <c r="D9" s="13">
        <v>346152</v>
      </c>
      <c r="E9" s="13" t="str">
        <f t="shared" ca="1" si="0"/>
        <v/>
      </c>
      <c r="F9" s="15"/>
      <c r="G9" s="16"/>
      <c r="H9" s="13">
        <v>3872</v>
      </c>
      <c r="I9" s="13" t="str">
        <f t="shared" ca="1" si="1"/>
        <v/>
      </c>
      <c r="J9" s="15"/>
      <c r="K9" s="16"/>
      <c r="L9" s="13">
        <f t="shared" si="2"/>
        <v>4025.0232558139537</v>
      </c>
      <c r="M9" s="13">
        <f t="shared" si="3"/>
        <v>11.185837435577435</v>
      </c>
      <c r="N9" s="13">
        <v>30913</v>
      </c>
      <c r="O9" s="15">
        <v>297</v>
      </c>
      <c r="P9" s="2"/>
      <c r="Q9" s="2"/>
      <c r="R9" s="2"/>
      <c r="S9" s="18" t="str">
        <f t="shared" ca="1" si="4"/>
        <v/>
      </c>
      <c r="T9" s="20" t="str">
        <f t="shared" ca="1" si="5"/>
        <v/>
      </c>
      <c r="U9" s="18" t="str">
        <f t="shared" ca="1" si="6"/>
        <v/>
      </c>
      <c r="V9" s="20" t="str">
        <f t="shared" ca="1" si="7"/>
        <v/>
      </c>
      <c r="W9" s="21" t="str">
        <f t="shared" ca="1" si="8"/>
        <v/>
      </c>
      <c r="X9" s="21" t="str">
        <f t="shared" ca="1" si="9"/>
        <v/>
      </c>
      <c r="Y9" s="2"/>
      <c r="Z9" s="2"/>
    </row>
    <row r="10" spans="1:26" ht="14.25" customHeight="1" x14ac:dyDescent="0.45">
      <c r="A10" s="12" t="s">
        <v>22</v>
      </c>
      <c r="B10" s="12" t="s">
        <v>46</v>
      </c>
      <c r="C10" s="13">
        <v>96</v>
      </c>
      <c r="D10" s="13">
        <v>131412</v>
      </c>
      <c r="E10" s="13" t="str">
        <f t="shared" ca="1" si="0"/>
        <v/>
      </c>
      <c r="F10" s="15"/>
      <c r="G10" s="16"/>
      <c r="H10" s="13">
        <v>746</v>
      </c>
      <c r="I10" s="13" t="str">
        <f t="shared" ca="1" si="1"/>
        <v/>
      </c>
      <c r="J10" s="15"/>
      <c r="K10" s="16"/>
      <c r="L10" s="13">
        <f t="shared" si="2"/>
        <v>1368.875</v>
      </c>
      <c r="M10" s="13">
        <f t="shared" si="3"/>
        <v>5.6768027273003989</v>
      </c>
      <c r="N10" s="13">
        <v>21237</v>
      </c>
      <c r="O10" s="15">
        <v>-55</v>
      </c>
      <c r="P10" s="2"/>
      <c r="Q10" s="2"/>
      <c r="R10" s="2"/>
      <c r="S10" s="18" t="str">
        <f t="shared" ca="1" si="4"/>
        <v/>
      </c>
      <c r="T10" s="20" t="str">
        <f t="shared" ca="1" si="5"/>
        <v/>
      </c>
      <c r="U10" s="18" t="str">
        <f t="shared" ca="1" si="6"/>
        <v/>
      </c>
      <c r="V10" s="20" t="str">
        <f t="shared" ca="1" si="7"/>
        <v/>
      </c>
      <c r="W10" s="21" t="str">
        <f t="shared" ca="1" si="8"/>
        <v/>
      </c>
      <c r="X10" s="21" t="str">
        <f t="shared" ca="1" si="9"/>
        <v/>
      </c>
      <c r="Y10" s="2"/>
      <c r="Z10" s="2"/>
    </row>
    <row r="11" spans="1:26" ht="14.25" customHeight="1" x14ac:dyDescent="0.45">
      <c r="A11" s="12" t="s">
        <v>22</v>
      </c>
      <c r="B11" s="12" t="s">
        <v>47</v>
      </c>
      <c r="C11" s="13">
        <v>98</v>
      </c>
      <c r="D11" s="13">
        <v>332387</v>
      </c>
      <c r="E11" s="13" t="str">
        <f t="shared" ca="1" si="0"/>
        <v/>
      </c>
      <c r="F11" s="15"/>
      <c r="G11" s="16"/>
      <c r="H11" s="13">
        <v>2677</v>
      </c>
      <c r="I11" s="13" t="str">
        <f t="shared" ca="1" si="1"/>
        <v/>
      </c>
      <c r="J11" s="15"/>
      <c r="K11" s="16"/>
      <c r="L11" s="13">
        <f t="shared" si="2"/>
        <v>3391.704081632653</v>
      </c>
      <c r="M11" s="13">
        <f t="shared" si="3"/>
        <v>8.0538649225150198</v>
      </c>
      <c r="N11" s="13">
        <v>20536</v>
      </c>
      <c r="O11" s="15">
        <v>429</v>
      </c>
      <c r="P11" s="2"/>
      <c r="Q11" s="2"/>
      <c r="R11" s="2"/>
      <c r="S11" s="18" t="str">
        <f t="shared" ca="1" si="4"/>
        <v/>
      </c>
      <c r="T11" s="20" t="str">
        <f t="shared" ca="1" si="5"/>
        <v/>
      </c>
      <c r="U11" s="18" t="str">
        <f t="shared" ca="1" si="6"/>
        <v/>
      </c>
      <c r="V11" s="20" t="str">
        <f t="shared" ca="1" si="7"/>
        <v/>
      </c>
      <c r="W11" s="21" t="str">
        <f t="shared" ca="1" si="8"/>
        <v/>
      </c>
      <c r="X11" s="21" t="str">
        <f t="shared" ca="1" si="9"/>
        <v/>
      </c>
      <c r="Y11" s="2"/>
      <c r="Z11" s="2"/>
    </row>
    <row r="12" spans="1:26" ht="14.25" customHeight="1" x14ac:dyDescent="0.45">
      <c r="A12" s="12" t="s">
        <v>22</v>
      </c>
      <c r="B12" s="12" t="s">
        <v>48</v>
      </c>
      <c r="C12" s="13">
        <v>62</v>
      </c>
      <c r="D12" s="13">
        <v>88366</v>
      </c>
      <c r="E12" s="13" t="str">
        <f t="shared" ca="1" si="0"/>
        <v/>
      </c>
      <c r="F12" s="15"/>
      <c r="G12" s="16"/>
      <c r="H12" s="13">
        <v>6375</v>
      </c>
      <c r="I12" s="13" t="str">
        <f t="shared" ca="1" si="1"/>
        <v/>
      </c>
      <c r="J12" s="15"/>
      <c r="K12" s="16"/>
      <c r="L12" s="13">
        <f t="shared" si="2"/>
        <v>1425.258064516129</v>
      </c>
      <c r="M12" s="13">
        <f t="shared" si="3"/>
        <v>72.143131973836091</v>
      </c>
      <c r="N12" s="13">
        <v>15218</v>
      </c>
      <c r="O12" s="15">
        <v>679</v>
      </c>
      <c r="P12" s="2"/>
      <c r="Q12" s="2"/>
      <c r="R12" s="2"/>
      <c r="S12" s="18" t="str">
        <f t="shared" ca="1" si="4"/>
        <v/>
      </c>
      <c r="T12" s="20" t="str">
        <f t="shared" ca="1" si="5"/>
        <v/>
      </c>
      <c r="U12" s="18" t="str">
        <f t="shared" ca="1" si="6"/>
        <v/>
      </c>
      <c r="V12" s="20" t="str">
        <f t="shared" ca="1" si="7"/>
        <v/>
      </c>
      <c r="W12" s="21" t="str">
        <f t="shared" ca="1" si="8"/>
        <v/>
      </c>
      <c r="X12" s="21" t="str">
        <f t="shared" ca="1" si="9"/>
        <v/>
      </c>
      <c r="Y12" s="2"/>
      <c r="Z12" s="2"/>
    </row>
    <row r="13" spans="1:26" ht="14.25" customHeight="1" x14ac:dyDescent="0.45">
      <c r="A13" s="12" t="s">
        <v>22</v>
      </c>
      <c r="B13" s="12" t="s">
        <v>49</v>
      </c>
      <c r="C13" s="13">
        <v>45</v>
      </c>
      <c r="D13" s="13">
        <v>32472</v>
      </c>
      <c r="E13" s="13" t="str">
        <f t="shared" ca="1" si="0"/>
        <v/>
      </c>
      <c r="F13" s="15"/>
      <c r="G13" s="16"/>
      <c r="H13" s="13">
        <v>499</v>
      </c>
      <c r="I13" s="13" t="str">
        <f t="shared" ca="1" si="1"/>
        <v/>
      </c>
      <c r="J13" s="15"/>
      <c r="K13" s="16"/>
      <c r="L13" s="13">
        <f t="shared" si="2"/>
        <v>721.6</v>
      </c>
      <c r="M13" s="13">
        <f t="shared" si="3"/>
        <v>15.367085489036707</v>
      </c>
      <c r="N13" s="13">
        <v>16291</v>
      </c>
      <c r="O13" s="15">
        <v>211</v>
      </c>
      <c r="P13" s="2"/>
      <c r="Q13" s="2"/>
      <c r="R13" s="2"/>
      <c r="S13" s="18" t="str">
        <f t="shared" ca="1" si="4"/>
        <v/>
      </c>
      <c r="T13" s="20" t="str">
        <f t="shared" ca="1" si="5"/>
        <v/>
      </c>
      <c r="U13" s="18" t="str">
        <f t="shared" ca="1" si="6"/>
        <v/>
      </c>
      <c r="V13" s="20" t="str">
        <f t="shared" ca="1" si="7"/>
        <v/>
      </c>
      <c r="W13" s="21" t="str">
        <f t="shared" ca="1" si="8"/>
        <v/>
      </c>
      <c r="X13" s="21" t="str">
        <f t="shared" ca="1" si="9"/>
        <v/>
      </c>
      <c r="Y13" s="2"/>
      <c r="Z13" s="2"/>
    </row>
    <row r="14" spans="1:26" ht="14.25" customHeight="1" x14ac:dyDescent="0.45">
      <c r="A14" s="12" t="s">
        <v>22</v>
      </c>
      <c r="B14" s="12" t="s">
        <v>50</v>
      </c>
      <c r="C14" s="13">
        <v>47</v>
      </c>
      <c r="D14" s="13">
        <v>39481</v>
      </c>
      <c r="E14" s="13" t="str">
        <f t="shared" ca="1" si="0"/>
        <v/>
      </c>
      <c r="F14" s="15"/>
      <c r="G14" s="16"/>
      <c r="H14" s="13">
        <v>351</v>
      </c>
      <c r="I14" s="13" t="str">
        <f t="shared" ca="1" si="1"/>
        <v/>
      </c>
      <c r="J14" s="15"/>
      <c r="K14" s="16"/>
      <c r="L14" s="13">
        <f t="shared" si="2"/>
        <v>840.02127659574467</v>
      </c>
      <c r="M14" s="13">
        <f t="shared" si="3"/>
        <v>8.8903523213697735</v>
      </c>
      <c r="N14" s="13">
        <v>6273</v>
      </c>
      <c r="O14" s="15">
        <v>251</v>
      </c>
      <c r="P14" s="2"/>
      <c r="Q14" s="2"/>
      <c r="R14" s="2"/>
      <c r="S14" s="18" t="str">
        <f t="shared" ca="1" si="4"/>
        <v/>
      </c>
      <c r="T14" s="20" t="str">
        <f t="shared" ca="1" si="5"/>
        <v/>
      </c>
      <c r="U14" s="18" t="str">
        <f t="shared" ca="1" si="6"/>
        <v/>
      </c>
      <c r="V14" s="20" t="str">
        <f t="shared" ca="1" si="7"/>
        <v/>
      </c>
      <c r="W14" s="21" t="str">
        <f t="shared" ca="1" si="8"/>
        <v/>
      </c>
      <c r="X14" s="21" t="str">
        <f t="shared" ca="1" si="9"/>
        <v/>
      </c>
      <c r="Y14" s="2"/>
      <c r="Z14" s="2"/>
    </row>
    <row r="15" spans="1:26" ht="14.25" customHeight="1" x14ac:dyDescent="0.45">
      <c r="A15" s="12" t="s">
        <v>22</v>
      </c>
      <c r="B15" s="12" t="s">
        <v>51</v>
      </c>
      <c r="C15" s="13">
        <v>30</v>
      </c>
      <c r="D15" s="13">
        <v>32883</v>
      </c>
      <c r="E15" s="13" t="str">
        <f t="shared" ca="1" si="0"/>
        <v/>
      </c>
      <c r="F15" s="15"/>
      <c r="G15" s="16"/>
      <c r="H15" s="13">
        <v>502</v>
      </c>
      <c r="I15" s="13" t="str">
        <f t="shared" ca="1" si="1"/>
        <v/>
      </c>
      <c r="J15" s="15"/>
      <c r="K15" s="16"/>
      <c r="L15" s="13">
        <f t="shared" si="2"/>
        <v>1096.0999999999999</v>
      </c>
      <c r="M15" s="13">
        <f t="shared" si="3"/>
        <v>15.266246996928505</v>
      </c>
      <c r="N15" s="13">
        <v>3642</v>
      </c>
      <c r="O15" s="15">
        <v>35</v>
      </c>
      <c r="P15" s="2"/>
      <c r="Q15" s="2"/>
      <c r="R15" s="2"/>
      <c r="S15" s="18" t="str">
        <f t="shared" ca="1" si="4"/>
        <v/>
      </c>
      <c r="T15" s="20" t="str">
        <f t="shared" ca="1" si="5"/>
        <v/>
      </c>
      <c r="U15" s="18" t="str">
        <f t="shared" ca="1" si="6"/>
        <v/>
      </c>
      <c r="V15" s="20" t="str">
        <f t="shared" ca="1" si="7"/>
        <v/>
      </c>
      <c r="W15" s="21" t="str">
        <f t="shared" ca="1" si="8"/>
        <v/>
      </c>
      <c r="X15" s="21" t="str">
        <f t="shared" ca="1" si="9"/>
        <v/>
      </c>
      <c r="Y15" s="2"/>
      <c r="Z15" s="2"/>
    </row>
    <row r="16" spans="1:26" ht="14.25" customHeight="1" x14ac:dyDescent="0.45">
      <c r="A16" s="12" t="s">
        <v>22</v>
      </c>
      <c r="B16" s="12" t="s">
        <v>52</v>
      </c>
      <c r="C16" s="13">
        <v>52</v>
      </c>
      <c r="D16" s="13">
        <v>121485</v>
      </c>
      <c r="E16" s="13" t="str">
        <f t="shared" ca="1" si="0"/>
        <v/>
      </c>
      <c r="F16" s="15"/>
      <c r="G16" s="16"/>
      <c r="H16" s="13">
        <v>1065</v>
      </c>
      <c r="I16" s="13" t="str">
        <f t="shared" ca="1" si="1"/>
        <v/>
      </c>
      <c r="J16" s="15"/>
      <c r="K16" s="16"/>
      <c r="L16" s="13">
        <f t="shared" si="2"/>
        <v>2336.25</v>
      </c>
      <c r="M16" s="13">
        <f t="shared" si="3"/>
        <v>8.7665143844919111</v>
      </c>
      <c r="N16" s="13">
        <v>12217</v>
      </c>
      <c r="O16" s="15">
        <v>182</v>
      </c>
      <c r="P16" s="2"/>
      <c r="Q16" s="2"/>
      <c r="R16" s="2"/>
      <c r="S16" s="18" t="str">
        <f t="shared" ca="1" si="4"/>
        <v/>
      </c>
      <c r="T16" s="20" t="str">
        <f t="shared" ca="1" si="5"/>
        <v/>
      </c>
      <c r="U16" s="18" t="str">
        <f t="shared" ca="1" si="6"/>
        <v/>
      </c>
      <c r="V16" s="20" t="str">
        <f t="shared" ca="1" si="7"/>
        <v/>
      </c>
      <c r="W16" s="21" t="str">
        <f t="shared" ca="1" si="8"/>
        <v/>
      </c>
      <c r="X16" s="21" t="str">
        <f t="shared" ca="1" si="9"/>
        <v/>
      </c>
      <c r="Y16" s="2"/>
      <c r="Z16" s="2"/>
    </row>
    <row r="17" spans="1:26" ht="14.25" customHeight="1" x14ac:dyDescent="0.45">
      <c r="A17" s="12" t="s">
        <v>22</v>
      </c>
      <c r="B17" s="12" t="s">
        <v>53</v>
      </c>
      <c r="C17" s="13">
        <v>54</v>
      </c>
      <c r="D17" s="13">
        <v>118008</v>
      </c>
      <c r="E17" s="13" t="str">
        <f t="shared" ca="1" si="0"/>
        <v/>
      </c>
      <c r="F17" s="15"/>
      <c r="G17" s="16"/>
      <c r="H17" s="13">
        <v>1095</v>
      </c>
      <c r="I17" s="13" t="str">
        <f t="shared" ca="1" si="1"/>
        <v/>
      </c>
      <c r="J17" s="15"/>
      <c r="K17" s="16"/>
      <c r="L17" s="13">
        <f t="shared" si="2"/>
        <v>2185.3333333333335</v>
      </c>
      <c r="M17" s="13">
        <f t="shared" si="3"/>
        <v>9.2790319300386415</v>
      </c>
      <c r="N17" s="13">
        <v>7752</v>
      </c>
      <c r="O17" s="15">
        <v>62</v>
      </c>
      <c r="P17" s="2"/>
      <c r="Q17" s="2"/>
      <c r="R17" s="2"/>
      <c r="S17" s="18" t="str">
        <f t="shared" ca="1" si="4"/>
        <v/>
      </c>
      <c r="T17" s="20" t="str">
        <f t="shared" ca="1" si="5"/>
        <v/>
      </c>
      <c r="U17" s="18" t="str">
        <f t="shared" ca="1" si="6"/>
        <v/>
      </c>
      <c r="V17" s="20" t="str">
        <f t="shared" ca="1" si="7"/>
        <v/>
      </c>
      <c r="W17" s="21" t="str">
        <f t="shared" ca="1" si="8"/>
        <v/>
      </c>
      <c r="X17" s="21" t="str">
        <f t="shared" ca="1" si="9"/>
        <v/>
      </c>
      <c r="Y17" s="2"/>
      <c r="Z17" s="2"/>
    </row>
    <row r="18" spans="1:26" ht="14.25" customHeight="1" x14ac:dyDescent="0.45">
      <c r="A18" s="12" t="s">
        <v>22</v>
      </c>
      <c r="B18" s="12" t="s">
        <v>54</v>
      </c>
      <c r="C18" s="13">
        <v>64</v>
      </c>
      <c r="D18" s="13">
        <v>185614</v>
      </c>
      <c r="E18" s="13" t="str">
        <f t="shared" ca="1" si="0"/>
        <v/>
      </c>
      <c r="F18" s="15"/>
      <c r="G18" s="16"/>
      <c r="H18" s="13">
        <v>1382</v>
      </c>
      <c r="I18" s="13" t="str">
        <f t="shared" ca="1" si="1"/>
        <v/>
      </c>
      <c r="J18" s="15"/>
      <c r="K18" s="16"/>
      <c r="L18" s="13">
        <f t="shared" si="2"/>
        <v>2900.21875</v>
      </c>
      <c r="M18" s="13">
        <f t="shared" si="3"/>
        <v>7.4455590634327145</v>
      </c>
      <c r="N18" s="13">
        <v>18122</v>
      </c>
      <c r="O18" s="15">
        <v>97</v>
      </c>
      <c r="P18" s="2"/>
      <c r="Q18" s="2"/>
      <c r="R18" s="2"/>
      <c r="S18" s="18" t="str">
        <f t="shared" ca="1" si="4"/>
        <v/>
      </c>
      <c r="T18" s="20" t="str">
        <f t="shared" ca="1" si="5"/>
        <v/>
      </c>
      <c r="U18" s="18" t="str">
        <f t="shared" ca="1" si="6"/>
        <v/>
      </c>
      <c r="V18" s="20" t="str">
        <f t="shared" ca="1" si="7"/>
        <v/>
      </c>
      <c r="W18" s="21" t="str">
        <f t="shared" ca="1" si="8"/>
        <v/>
      </c>
      <c r="X18" s="21" t="str">
        <f t="shared" ca="1" si="9"/>
        <v/>
      </c>
      <c r="Y18" s="2"/>
      <c r="Z18" s="2"/>
    </row>
    <row r="19" spans="1:26" ht="14.25" customHeight="1" x14ac:dyDescent="0.45">
      <c r="A19" s="12" t="s">
        <v>22</v>
      </c>
      <c r="B19" s="12" t="s">
        <v>55</v>
      </c>
      <c r="C19" s="13">
        <v>108</v>
      </c>
      <c r="D19" s="13">
        <v>318015</v>
      </c>
      <c r="E19" s="13" t="str">
        <f t="shared" ca="1" si="0"/>
        <v/>
      </c>
      <c r="F19" s="15"/>
      <c r="G19" s="16"/>
      <c r="H19" s="13">
        <v>3679</v>
      </c>
      <c r="I19" s="13" t="str">
        <f t="shared" ca="1" si="1"/>
        <v/>
      </c>
      <c r="J19" s="15"/>
      <c r="K19" s="16"/>
      <c r="L19" s="13">
        <f t="shared" si="2"/>
        <v>2944.5833333333335</v>
      </c>
      <c r="M19" s="13">
        <f t="shared" si="3"/>
        <v>11.568636699526753</v>
      </c>
      <c r="N19" s="13">
        <v>18909</v>
      </c>
      <c r="O19" s="15">
        <v>138</v>
      </c>
      <c r="P19" s="2"/>
      <c r="Q19" s="2"/>
      <c r="R19" s="2"/>
      <c r="S19" s="18" t="str">
        <f t="shared" ca="1" si="4"/>
        <v/>
      </c>
      <c r="T19" s="20" t="str">
        <f t="shared" ca="1" si="5"/>
        <v/>
      </c>
      <c r="U19" s="18" t="str">
        <f t="shared" ca="1" si="6"/>
        <v/>
      </c>
      <c r="V19" s="20" t="str">
        <f t="shared" ca="1" si="7"/>
        <v/>
      </c>
      <c r="W19" s="21" t="str">
        <f t="shared" ca="1" si="8"/>
        <v/>
      </c>
      <c r="X19" s="21" t="str">
        <f t="shared" ca="1" si="9"/>
        <v/>
      </c>
      <c r="Y19" s="2"/>
      <c r="Z19" s="2"/>
    </row>
    <row r="20" spans="1:26" ht="14.25" customHeight="1" x14ac:dyDescent="0.45">
      <c r="A20" s="12" t="s">
        <v>22</v>
      </c>
      <c r="B20" s="12" t="s">
        <v>56</v>
      </c>
      <c r="C20" s="13">
        <v>21</v>
      </c>
      <c r="D20" s="13">
        <v>198157</v>
      </c>
      <c r="E20" s="13" t="str">
        <f t="shared" ca="1" si="0"/>
        <v/>
      </c>
      <c r="F20" s="15"/>
      <c r="G20" s="16"/>
      <c r="H20" s="13">
        <v>1889</v>
      </c>
      <c r="I20" s="13" t="str">
        <f t="shared" ca="1" si="1"/>
        <v/>
      </c>
      <c r="J20" s="15"/>
      <c r="K20" s="16"/>
      <c r="L20" s="13">
        <f t="shared" si="2"/>
        <v>9436.0476190476184</v>
      </c>
      <c r="M20" s="13">
        <f t="shared" si="3"/>
        <v>9.5328451682251956</v>
      </c>
      <c r="N20" s="13">
        <v>14368</v>
      </c>
      <c r="O20" s="15">
        <v>1019</v>
      </c>
      <c r="P20" s="2"/>
      <c r="Q20" s="2"/>
      <c r="R20" s="2"/>
      <c r="S20" s="18" t="str">
        <f t="shared" ca="1" si="4"/>
        <v/>
      </c>
      <c r="T20" s="20" t="str">
        <f t="shared" ca="1" si="5"/>
        <v/>
      </c>
      <c r="U20" s="18" t="str">
        <f t="shared" ca="1" si="6"/>
        <v/>
      </c>
      <c r="V20" s="20" t="str">
        <f t="shared" ca="1" si="7"/>
        <v/>
      </c>
      <c r="W20" s="21" t="str">
        <f t="shared" ca="1" si="8"/>
        <v/>
      </c>
      <c r="X20" s="21" t="str">
        <f t="shared" ca="1" si="9"/>
        <v/>
      </c>
      <c r="Y20" s="2"/>
      <c r="Z20" s="2"/>
    </row>
    <row r="21" spans="1:26" ht="14.25" customHeight="1" x14ac:dyDescent="0.45">
      <c r="A21" s="12" t="s">
        <v>22</v>
      </c>
      <c r="B21" s="12" t="s">
        <v>57</v>
      </c>
      <c r="C21" s="13">
        <v>3</v>
      </c>
      <c r="D21" s="13">
        <v>2474</v>
      </c>
      <c r="E21" s="13" t="str">
        <f t="shared" ca="1" si="0"/>
        <v/>
      </c>
      <c r="F21" s="15"/>
      <c r="G21" s="16"/>
      <c r="H21" s="13">
        <v>65</v>
      </c>
      <c r="I21" s="13" t="str">
        <f t="shared" ca="1" si="1"/>
        <v/>
      </c>
      <c r="J21" s="15"/>
      <c r="K21" s="16"/>
      <c r="L21" s="13">
        <f t="shared" si="2"/>
        <v>824.66666666666663</v>
      </c>
      <c r="M21" s="13">
        <f t="shared" si="3"/>
        <v>26.273241713823765</v>
      </c>
      <c r="N21" s="13">
        <v>10598</v>
      </c>
      <c r="O21" s="15">
        <v>44</v>
      </c>
      <c r="P21" s="2"/>
      <c r="Q21" s="2"/>
      <c r="R21" s="2"/>
      <c r="S21" s="18" t="str">
        <f t="shared" ca="1" si="4"/>
        <v/>
      </c>
      <c r="T21" s="20" t="str">
        <f t="shared" ca="1" si="5"/>
        <v/>
      </c>
      <c r="U21" s="18" t="str">
        <f t="shared" ca="1" si="6"/>
        <v/>
      </c>
      <c r="V21" s="20" t="str">
        <f t="shared" ca="1" si="7"/>
        <v/>
      </c>
      <c r="W21" s="21" t="str">
        <f t="shared" ca="1" si="8"/>
        <v/>
      </c>
      <c r="X21" s="21" t="str">
        <f t="shared" ca="1" si="9"/>
        <v/>
      </c>
      <c r="Y21" s="2"/>
      <c r="Z21" s="2"/>
    </row>
    <row r="22" spans="1:26" ht="14.25" customHeight="1" x14ac:dyDescent="0.45">
      <c r="A22" s="12" t="s">
        <v>22</v>
      </c>
      <c r="B22" s="12" t="s">
        <v>58</v>
      </c>
      <c r="C22" s="13">
        <v>5</v>
      </c>
      <c r="D22" s="13">
        <v>1071</v>
      </c>
      <c r="E22" s="13" t="str">
        <f t="shared" ca="1" si="0"/>
        <v/>
      </c>
      <c r="F22" s="15"/>
      <c r="G22" s="16"/>
      <c r="H22" s="13">
        <v>39</v>
      </c>
      <c r="I22" s="13" t="str">
        <f t="shared" ca="1" si="1"/>
        <v/>
      </c>
      <c r="J22" s="15"/>
      <c r="K22" s="16"/>
      <c r="L22" s="13">
        <f t="shared" si="2"/>
        <v>214.2</v>
      </c>
      <c r="M22" s="13">
        <f t="shared" si="3"/>
        <v>36.414565826330538</v>
      </c>
      <c r="N22" s="13">
        <v>7388</v>
      </c>
      <c r="O22" s="15">
        <v>-35</v>
      </c>
      <c r="P22" s="2"/>
      <c r="Q22" s="2"/>
      <c r="R22" s="2"/>
      <c r="S22" s="18" t="str">
        <f t="shared" ca="1" si="4"/>
        <v/>
      </c>
      <c r="T22" s="20" t="str">
        <f t="shared" ca="1" si="5"/>
        <v/>
      </c>
      <c r="U22" s="18" t="str">
        <f t="shared" ca="1" si="6"/>
        <v/>
      </c>
      <c r="V22" s="20" t="str">
        <f t="shared" ca="1" si="7"/>
        <v/>
      </c>
      <c r="W22" s="21" t="str">
        <f t="shared" ca="1" si="8"/>
        <v/>
      </c>
      <c r="X22" s="21" t="str">
        <f t="shared" ca="1" si="9"/>
        <v/>
      </c>
      <c r="Y22" s="2"/>
      <c r="Z22" s="2"/>
    </row>
    <row r="23" spans="1:26" ht="14.25" customHeight="1" x14ac:dyDescent="0.45">
      <c r="A23" s="12" t="s">
        <v>22</v>
      </c>
      <c r="B23" s="12" t="s">
        <v>59</v>
      </c>
      <c r="C23" s="13">
        <v>5</v>
      </c>
      <c r="D23" s="13">
        <v>7262</v>
      </c>
      <c r="E23" s="13" t="str">
        <f t="shared" ca="1" si="0"/>
        <v/>
      </c>
      <c r="F23" s="15"/>
      <c r="G23" s="16"/>
      <c r="H23" s="13">
        <v>175</v>
      </c>
      <c r="I23" s="13" t="str">
        <f t="shared" ca="1" si="1"/>
        <v/>
      </c>
      <c r="J23" s="15"/>
      <c r="K23" s="16"/>
      <c r="L23" s="13">
        <f t="shared" si="2"/>
        <v>1452.4</v>
      </c>
      <c r="M23" s="13">
        <f t="shared" si="3"/>
        <v>24.098044615808316</v>
      </c>
      <c r="N23" s="13">
        <v>5599</v>
      </c>
      <c r="O23" s="15">
        <v>81</v>
      </c>
      <c r="P23" s="2"/>
      <c r="Q23" s="2"/>
      <c r="R23" s="2"/>
      <c r="S23" s="18" t="str">
        <f t="shared" ca="1" si="4"/>
        <v/>
      </c>
      <c r="T23" s="20" t="str">
        <f t="shared" ca="1" si="5"/>
        <v/>
      </c>
      <c r="U23" s="18" t="str">
        <f t="shared" ca="1" si="6"/>
        <v/>
      </c>
      <c r="V23" s="20" t="str">
        <f t="shared" ca="1" si="7"/>
        <v/>
      </c>
      <c r="W23" s="21" t="str">
        <f t="shared" ca="1" si="8"/>
        <v/>
      </c>
      <c r="X23" s="21" t="str">
        <f t="shared" ca="1" si="9"/>
        <v/>
      </c>
      <c r="Y23" s="2"/>
      <c r="Z23" s="2"/>
    </row>
    <row r="24" spans="1:26" ht="14.25" customHeight="1" x14ac:dyDescent="0.45">
      <c r="A24" s="12" t="s">
        <v>22</v>
      </c>
      <c r="B24" s="12" t="s">
        <v>60</v>
      </c>
      <c r="C24" s="13">
        <v>4</v>
      </c>
      <c r="D24" s="13">
        <v>7470</v>
      </c>
      <c r="E24" s="13" t="str">
        <f t="shared" ca="1" si="0"/>
        <v/>
      </c>
      <c r="F24" s="15"/>
      <c r="G24" s="16"/>
      <c r="H24" s="13">
        <v>196</v>
      </c>
      <c r="I24" s="13" t="str">
        <f t="shared" ca="1" si="1"/>
        <v/>
      </c>
      <c r="J24" s="15"/>
      <c r="K24" s="16"/>
      <c r="L24" s="13">
        <f t="shared" si="2"/>
        <v>1867.5</v>
      </c>
      <c r="M24" s="13">
        <f t="shared" si="3"/>
        <v>26.238286479250334</v>
      </c>
      <c r="N24" s="13">
        <v>2313</v>
      </c>
      <c r="O24" s="15">
        <v>26</v>
      </c>
      <c r="P24" s="2"/>
      <c r="Q24" s="2"/>
      <c r="R24" s="2"/>
      <c r="S24" s="18" t="str">
        <f t="shared" ca="1" si="4"/>
        <v/>
      </c>
      <c r="T24" s="20" t="str">
        <f t="shared" ca="1" si="5"/>
        <v/>
      </c>
      <c r="U24" s="18" t="str">
        <f t="shared" ca="1" si="6"/>
        <v/>
      </c>
      <c r="V24" s="20" t="str">
        <f t="shared" ca="1" si="7"/>
        <v/>
      </c>
      <c r="W24" s="21" t="str">
        <f t="shared" ca="1" si="8"/>
        <v/>
      </c>
      <c r="X24" s="21" t="str">
        <f t="shared" ca="1" si="9"/>
        <v/>
      </c>
      <c r="Y24" s="2"/>
      <c r="Z24" s="2"/>
    </row>
    <row r="25" spans="1:26" ht="14.25" customHeight="1" x14ac:dyDescent="0.45">
      <c r="A25" s="12" t="s">
        <v>22</v>
      </c>
      <c r="B25" s="12" t="s">
        <v>61</v>
      </c>
      <c r="C25" s="13">
        <v>7</v>
      </c>
      <c r="D25" s="13">
        <v>42129</v>
      </c>
      <c r="E25" s="13" t="str">
        <f t="shared" ca="1" si="0"/>
        <v/>
      </c>
      <c r="F25" s="15"/>
      <c r="G25" s="16"/>
      <c r="H25" s="13">
        <v>211</v>
      </c>
      <c r="I25" s="13" t="str">
        <f t="shared" ca="1" si="1"/>
        <v/>
      </c>
      <c r="J25" s="15"/>
      <c r="K25" s="16"/>
      <c r="L25" s="13">
        <f t="shared" si="2"/>
        <v>6018.4285714285716</v>
      </c>
      <c r="M25" s="13">
        <f t="shared" si="3"/>
        <v>5.0084264995608727</v>
      </c>
      <c r="N25" s="13">
        <v>6137</v>
      </c>
      <c r="O25" s="15">
        <v>161</v>
      </c>
      <c r="P25" s="2"/>
      <c r="Q25" s="2"/>
      <c r="R25" s="2"/>
      <c r="S25" s="18" t="str">
        <f t="shared" ca="1" si="4"/>
        <v/>
      </c>
      <c r="T25" s="20" t="str">
        <f t="shared" ca="1" si="5"/>
        <v/>
      </c>
      <c r="U25" s="18" t="str">
        <f t="shared" ca="1" si="6"/>
        <v/>
      </c>
      <c r="V25" s="20" t="str">
        <f t="shared" ca="1" si="7"/>
        <v/>
      </c>
      <c r="W25" s="21" t="str">
        <f t="shared" ca="1" si="8"/>
        <v/>
      </c>
      <c r="X25" s="21" t="str">
        <f t="shared" ca="1" si="9"/>
        <v/>
      </c>
      <c r="Y25" s="2"/>
      <c r="Z25" s="2"/>
    </row>
    <row r="26" spans="1:26" ht="14.25" customHeight="1" x14ac:dyDescent="0.45">
      <c r="A26" s="12" t="s">
        <v>22</v>
      </c>
      <c r="B26" s="12" t="s">
        <v>62</v>
      </c>
      <c r="C26" s="13">
        <v>238</v>
      </c>
      <c r="D26" s="13">
        <v>30181</v>
      </c>
      <c r="E26" s="13" t="str">
        <f t="shared" ca="1" si="0"/>
        <v/>
      </c>
      <c r="F26" s="15"/>
      <c r="G26" s="16"/>
      <c r="H26" s="13">
        <v>111</v>
      </c>
      <c r="I26" s="13" t="str">
        <f t="shared" ca="1" si="1"/>
        <v/>
      </c>
      <c r="J26" s="15"/>
      <c r="K26" s="16"/>
      <c r="L26" s="13">
        <f t="shared" si="2"/>
        <v>126.81092436974789</v>
      </c>
      <c r="M26" s="13">
        <f t="shared" si="3"/>
        <v>3.6778105430568901</v>
      </c>
      <c r="N26" s="13">
        <v>7881</v>
      </c>
      <c r="O26" s="15">
        <v>122</v>
      </c>
      <c r="P26" s="2"/>
      <c r="Q26" s="2"/>
      <c r="R26" s="2"/>
      <c r="S26" s="18" t="str">
        <f t="shared" ca="1" si="4"/>
        <v/>
      </c>
      <c r="T26" s="20" t="str">
        <f t="shared" ca="1" si="5"/>
        <v/>
      </c>
      <c r="U26" s="18" t="str">
        <f t="shared" ca="1" si="6"/>
        <v/>
      </c>
      <c r="V26" s="20" t="str">
        <f t="shared" ca="1" si="7"/>
        <v/>
      </c>
      <c r="W26" s="21" t="str">
        <f t="shared" ca="1" si="8"/>
        <v/>
      </c>
      <c r="X26" s="21" t="str">
        <f t="shared" ca="1" si="9"/>
        <v/>
      </c>
      <c r="Y26" s="2"/>
      <c r="Z26" s="2"/>
    </row>
    <row r="27" spans="1:26" ht="14.25" customHeight="1" x14ac:dyDescent="0.45">
      <c r="A27" s="12" t="s">
        <v>22</v>
      </c>
      <c r="B27" s="12" t="s">
        <v>63</v>
      </c>
      <c r="C27" s="13">
        <v>7</v>
      </c>
      <c r="D27" s="13">
        <v>1528</v>
      </c>
      <c r="E27" s="13" t="str">
        <f t="shared" ca="1" si="0"/>
        <v/>
      </c>
      <c r="F27" s="15"/>
      <c r="G27" s="16"/>
      <c r="H27" s="13">
        <v>34</v>
      </c>
      <c r="I27" s="13" t="str">
        <f t="shared" ca="1" si="1"/>
        <v/>
      </c>
      <c r="J27" s="15"/>
      <c r="K27" s="16"/>
      <c r="L27" s="13">
        <f t="shared" si="2"/>
        <v>218.28571428571428</v>
      </c>
      <c r="M27" s="13">
        <f t="shared" si="3"/>
        <v>22.251308900523558</v>
      </c>
      <c r="N27" s="13">
        <v>16725</v>
      </c>
      <c r="O27" s="15">
        <v>-33</v>
      </c>
      <c r="P27" s="2"/>
      <c r="Q27" s="2"/>
      <c r="R27" s="2"/>
      <c r="S27" s="18" t="str">
        <f t="shared" ca="1" si="4"/>
        <v/>
      </c>
      <c r="T27" s="20" t="str">
        <f t="shared" ca="1" si="5"/>
        <v/>
      </c>
      <c r="U27" s="18" t="str">
        <f t="shared" ca="1" si="6"/>
        <v/>
      </c>
      <c r="V27" s="20" t="str">
        <f t="shared" ca="1" si="7"/>
        <v/>
      </c>
      <c r="W27" s="21" t="str">
        <f t="shared" ca="1" si="8"/>
        <v/>
      </c>
      <c r="X27" s="21" t="str">
        <f t="shared" ca="1" si="9"/>
        <v/>
      </c>
      <c r="Y27" s="2"/>
      <c r="Z27" s="2"/>
    </row>
    <row r="28" spans="1:26" ht="14.25" customHeight="1" x14ac:dyDescent="0.45">
      <c r="A28" s="12" t="s">
        <v>22</v>
      </c>
      <c r="B28" s="12" t="s">
        <v>64</v>
      </c>
      <c r="C28" s="13">
        <v>20</v>
      </c>
      <c r="D28" s="13">
        <v>10798</v>
      </c>
      <c r="E28" s="13" t="str">
        <f t="shared" ca="1" si="0"/>
        <v/>
      </c>
      <c r="F28" s="15"/>
      <c r="G28" s="16"/>
      <c r="H28" s="13">
        <v>31</v>
      </c>
      <c r="I28" s="13" t="str">
        <f t="shared" ca="1" si="1"/>
        <v/>
      </c>
      <c r="J28" s="15"/>
      <c r="K28" s="16"/>
      <c r="L28" s="13">
        <f t="shared" si="2"/>
        <v>539.9</v>
      </c>
      <c r="M28" s="13">
        <f t="shared" si="3"/>
        <v>2.8709020188923873</v>
      </c>
      <c r="N28" s="13">
        <v>21905</v>
      </c>
      <c r="O28" s="15">
        <v>51</v>
      </c>
      <c r="P28" s="2"/>
      <c r="Q28" s="2"/>
      <c r="R28" s="2"/>
      <c r="S28" s="18" t="str">
        <f t="shared" ca="1" si="4"/>
        <v/>
      </c>
      <c r="T28" s="20" t="str">
        <f t="shared" ca="1" si="5"/>
        <v/>
      </c>
      <c r="U28" s="18" t="str">
        <f t="shared" ca="1" si="6"/>
        <v/>
      </c>
      <c r="V28" s="20" t="str">
        <f t="shared" ca="1" si="7"/>
        <v/>
      </c>
      <c r="W28" s="21" t="str">
        <f t="shared" ca="1" si="8"/>
        <v/>
      </c>
      <c r="X28" s="21" t="str">
        <f t="shared" ca="1" si="9"/>
        <v/>
      </c>
      <c r="Y28" s="2"/>
      <c r="Z28" s="2"/>
    </row>
    <row r="29" spans="1:26" ht="14.25" customHeight="1" x14ac:dyDescent="0.45">
      <c r="A29" s="12" t="s">
        <v>22</v>
      </c>
      <c r="B29" s="12" t="s">
        <v>65</v>
      </c>
      <c r="C29" s="13">
        <v>6</v>
      </c>
      <c r="D29" s="13">
        <v>10975</v>
      </c>
      <c r="E29" s="13" t="str">
        <f t="shared" ca="1" si="0"/>
        <v/>
      </c>
      <c r="F29" s="15"/>
      <c r="G29" s="16"/>
      <c r="H29" s="13">
        <v>243</v>
      </c>
      <c r="I29" s="13" t="str">
        <f t="shared" ca="1" si="1"/>
        <v/>
      </c>
      <c r="J29" s="15"/>
      <c r="K29" s="16"/>
      <c r="L29" s="13">
        <f t="shared" si="2"/>
        <v>1829.1666666666667</v>
      </c>
      <c r="M29" s="13">
        <f t="shared" si="3"/>
        <v>22.14123006833713</v>
      </c>
      <c r="N29" s="13">
        <v>9451</v>
      </c>
      <c r="O29" s="15"/>
      <c r="P29" s="2"/>
      <c r="Q29" s="2"/>
      <c r="R29" s="2"/>
      <c r="S29" s="18" t="str">
        <f t="shared" ca="1" si="4"/>
        <v/>
      </c>
      <c r="T29" s="20" t="str">
        <f t="shared" ca="1" si="5"/>
        <v/>
      </c>
      <c r="U29" s="18" t="str">
        <f t="shared" ca="1" si="6"/>
        <v/>
      </c>
      <c r="V29" s="20" t="str">
        <f t="shared" ca="1" si="7"/>
        <v/>
      </c>
      <c r="W29" s="21" t="str">
        <f t="shared" ca="1" si="8"/>
        <v/>
      </c>
      <c r="X29" s="21" t="str">
        <f t="shared" ca="1" si="9"/>
        <v/>
      </c>
      <c r="Y29" s="2"/>
      <c r="Z29" s="2"/>
    </row>
    <row r="30" spans="1:26" ht="14.25" customHeight="1" x14ac:dyDescent="0.45">
      <c r="A30" s="25"/>
      <c r="B30" s="25" t="s">
        <v>66</v>
      </c>
      <c r="C30" s="26">
        <f>SUM(C3:C29)</f>
        <v>1849</v>
      </c>
      <c r="D30" s="26">
        <f>SUM(D3:D29)</f>
        <v>3115718</v>
      </c>
      <c r="E30" s="26">
        <f ca="1">SUM(E3:E29)</f>
        <v>0</v>
      </c>
      <c r="F30" s="27">
        <f>SUM(F3:F29)</f>
        <v>0</v>
      </c>
      <c r="G30" s="28" t="str">
        <f ca="1">IF(C30=0,"",IFERROR(F30/E30,""))</f>
        <v/>
      </c>
      <c r="H30" s="26">
        <f>SUM(H3:H29)</f>
        <v>33666</v>
      </c>
      <c r="I30" s="26">
        <f ca="1">SUM(I3:I29)</f>
        <v>0</v>
      </c>
      <c r="J30" s="27">
        <f>SUM(J3:J29)</f>
        <v>0</v>
      </c>
      <c r="K30" s="28" t="str">
        <f ca="1">IF(C30=0,"",IFERROR(J30/I30,""))</f>
        <v/>
      </c>
      <c r="L30" s="26">
        <f t="shared" si="2"/>
        <v>1685.0827474310438</v>
      </c>
      <c r="M30" s="26">
        <f t="shared" si="3"/>
        <v>10.805214079066205</v>
      </c>
      <c r="N30" s="26">
        <f>SUM(N3:N29)</f>
        <v>459419</v>
      </c>
      <c r="O30" s="27">
        <f>SUM(O3:O29)</f>
        <v>5683</v>
      </c>
      <c r="P30" s="2"/>
      <c r="Q30" s="2"/>
      <c r="R30" s="2"/>
      <c r="S30" s="29" t="str">
        <f t="shared" ca="1" si="4"/>
        <v/>
      </c>
      <c r="T30" s="30" t="str">
        <f t="shared" ca="1" si="5"/>
        <v/>
      </c>
      <c r="U30" s="29" t="str">
        <f t="shared" ca="1" si="6"/>
        <v/>
      </c>
      <c r="V30" s="30" t="str">
        <f t="shared" ca="1" si="7"/>
        <v/>
      </c>
      <c r="W30" s="31" t="str">
        <f t="shared" ca="1" si="8"/>
        <v/>
      </c>
      <c r="X30" s="31" t="str">
        <f ca="1">IF(OR(C30=0,$O30="",$W30=""),"",$O30-$W30)</f>
        <v/>
      </c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3">
        <v>147</v>
      </c>
      <c r="D31" s="13">
        <v>27808</v>
      </c>
      <c r="E31" s="13" t="str">
        <f t="shared" ref="E31:E50" ca="1" si="10">IF($D31="","",IFERROR(IF(ISBLANK(INDIRECT("'"&amp;$Q$2&amp;"'!D"&amp;ROW())),"",INDIRECT("'"&amp;$Q$2&amp;"'!D"&amp;ROW())),""))</f>
        <v/>
      </c>
      <c r="F31" s="15"/>
      <c r="G31" s="16"/>
      <c r="H31" s="13">
        <v>61</v>
      </c>
      <c r="I31" s="13" t="str">
        <f t="shared" ref="I31:I50" ca="1" si="11">IF($H31="","",IFERROR(IF(ISBLANK(INDIRECT("'"&amp;$Q$2&amp;"'!H"&amp;ROW())),"",INDIRECT("'"&amp;$Q$2&amp;"'!H"&amp;ROW())),""))</f>
        <v/>
      </c>
      <c r="J31" s="15"/>
      <c r="K31" s="16"/>
      <c r="L31" s="13">
        <f t="shared" si="2"/>
        <v>189.17006802721087</v>
      </c>
      <c r="M31" s="13">
        <f t="shared" si="3"/>
        <v>2.1936133486766396</v>
      </c>
      <c r="N31" s="13">
        <v>32460</v>
      </c>
      <c r="O31" s="15">
        <v>9</v>
      </c>
      <c r="P31" s="2"/>
      <c r="Q31" s="2"/>
      <c r="R31" s="2"/>
      <c r="S31" s="18" t="str">
        <f t="shared" ca="1" si="4"/>
        <v/>
      </c>
      <c r="T31" s="20" t="str">
        <f t="shared" ca="1" si="5"/>
        <v/>
      </c>
      <c r="U31" s="18" t="str">
        <f t="shared" ca="1" si="6"/>
        <v/>
      </c>
      <c r="V31" s="20" t="str">
        <f t="shared" ca="1" si="7"/>
        <v/>
      </c>
      <c r="W31" s="21" t="str">
        <f t="shared" ca="1" si="8"/>
        <v/>
      </c>
      <c r="X31" s="21" t="str">
        <f t="shared" ref="X31:X50" ca="1" si="12">IF(OR($O31="",$W31=""),"",$O31-$W31)</f>
        <v/>
      </c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3">
        <v>146</v>
      </c>
      <c r="D32" s="13">
        <v>34589</v>
      </c>
      <c r="E32" s="13" t="str">
        <f t="shared" ca="1" si="10"/>
        <v/>
      </c>
      <c r="F32" s="15"/>
      <c r="G32" s="16"/>
      <c r="H32" s="13">
        <v>45</v>
      </c>
      <c r="I32" s="13" t="str">
        <f t="shared" ca="1" si="11"/>
        <v/>
      </c>
      <c r="J32" s="15"/>
      <c r="K32" s="16"/>
      <c r="L32" s="13">
        <f t="shared" si="2"/>
        <v>236.91095890410958</v>
      </c>
      <c r="M32" s="13">
        <f t="shared" si="3"/>
        <v>1.3009916447425482</v>
      </c>
      <c r="N32" s="13">
        <v>21732</v>
      </c>
      <c r="O32" s="15">
        <v>4</v>
      </c>
      <c r="P32" s="2"/>
      <c r="Q32" s="2"/>
      <c r="R32" s="2"/>
      <c r="S32" s="18" t="str">
        <f t="shared" ca="1" si="4"/>
        <v/>
      </c>
      <c r="T32" s="20" t="str">
        <f t="shared" ca="1" si="5"/>
        <v/>
      </c>
      <c r="U32" s="18" t="str">
        <f t="shared" ca="1" si="6"/>
        <v/>
      </c>
      <c r="V32" s="20" t="str">
        <f t="shared" ca="1" si="7"/>
        <v/>
      </c>
      <c r="W32" s="21" t="str">
        <f t="shared" ca="1" si="8"/>
        <v/>
      </c>
      <c r="X32" s="21" t="str">
        <f t="shared" ca="1" si="12"/>
        <v/>
      </c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3">
        <v>86</v>
      </c>
      <c r="D33" s="13">
        <v>22158</v>
      </c>
      <c r="E33" s="13" t="str">
        <f t="shared" ca="1" si="10"/>
        <v/>
      </c>
      <c r="F33" s="15"/>
      <c r="G33" s="16"/>
      <c r="H33" s="13">
        <v>5</v>
      </c>
      <c r="I33" s="13" t="str">
        <f t="shared" ca="1" si="11"/>
        <v/>
      </c>
      <c r="J33" s="15"/>
      <c r="K33" s="16"/>
      <c r="L33" s="13">
        <f t="shared" si="2"/>
        <v>257.6511627906977</v>
      </c>
      <c r="M33" s="13">
        <f t="shared" si="3"/>
        <v>0.22565213466919398</v>
      </c>
      <c r="N33" s="13">
        <v>8963</v>
      </c>
      <c r="O33" s="15">
        <v>3</v>
      </c>
      <c r="P33" s="2"/>
      <c r="Q33" s="2"/>
      <c r="R33" s="2"/>
      <c r="S33" s="18" t="str">
        <f t="shared" ca="1" si="4"/>
        <v/>
      </c>
      <c r="T33" s="20" t="str">
        <f t="shared" ca="1" si="5"/>
        <v/>
      </c>
      <c r="U33" s="18" t="str">
        <f t="shared" ca="1" si="6"/>
        <v/>
      </c>
      <c r="V33" s="20" t="str">
        <f t="shared" ca="1" si="7"/>
        <v/>
      </c>
      <c r="W33" s="21" t="str">
        <f t="shared" ca="1" si="8"/>
        <v/>
      </c>
      <c r="X33" s="21" t="str">
        <f t="shared" ca="1" si="12"/>
        <v/>
      </c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3">
        <v>81</v>
      </c>
      <c r="D34" s="13">
        <v>1088</v>
      </c>
      <c r="E34" s="13" t="str">
        <f t="shared" ca="1" si="10"/>
        <v/>
      </c>
      <c r="F34" s="15"/>
      <c r="G34" s="16"/>
      <c r="H34" s="13">
        <v>0</v>
      </c>
      <c r="I34" s="13" t="str">
        <f t="shared" ca="1" si="11"/>
        <v/>
      </c>
      <c r="J34" s="15"/>
      <c r="K34" s="16"/>
      <c r="L34" s="13">
        <f t="shared" si="2"/>
        <v>13.432098765432098</v>
      </c>
      <c r="M34" s="13">
        <f t="shared" si="3"/>
        <v>0</v>
      </c>
      <c r="N34" s="13">
        <v>5</v>
      </c>
      <c r="O34" s="15">
        <v>2</v>
      </c>
      <c r="P34" s="2"/>
      <c r="Q34" s="2"/>
      <c r="R34" s="2"/>
      <c r="S34" s="18" t="str">
        <f t="shared" ca="1" si="4"/>
        <v/>
      </c>
      <c r="T34" s="20" t="str">
        <f t="shared" ca="1" si="5"/>
        <v/>
      </c>
      <c r="U34" s="18" t="str">
        <f t="shared" ca="1" si="6"/>
        <v/>
      </c>
      <c r="V34" s="20" t="str">
        <f t="shared" ca="1" si="7"/>
        <v/>
      </c>
      <c r="W34" s="21" t="str">
        <f t="shared" ca="1" si="8"/>
        <v/>
      </c>
      <c r="X34" s="21" t="str">
        <f t="shared" ca="1" si="12"/>
        <v/>
      </c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3">
        <v>87</v>
      </c>
      <c r="D35" s="13">
        <v>12768</v>
      </c>
      <c r="E35" s="13" t="str">
        <f t="shared" ca="1" si="10"/>
        <v/>
      </c>
      <c r="F35" s="15"/>
      <c r="G35" s="16"/>
      <c r="H35" s="13">
        <v>146</v>
      </c>
      <c r="I35" s="13" t="str">
        <f t="shared" ca="1" si="11"/>
        <v/>
      </c>
      <c r="J35" s="15"/>
      <c r="K35" s="16"/>
      <c r="L35" s="13">
        <f t="shared" ref="L35:L66" si="13">IFERROR(D35/C35,"")</f>
        <v>146.75862068965517</v>
      </c>
      <c r="M35" s="13">
        <f t="shared" ref="M35:M66" si="14">IFERROR(H35/D35*1000,"")</f>
        <v>11.434837092731829</v>
      </c>
      <c r="N35" s="13">
        <v>1934</v>
      </c>
      <c r="O35" s="15">
        <v>4</v>
      </c>
      <c r="P35" s="2"/>
      <c r="Q35" s="2"/>
      <c r="R35" s="2"/>
      <c r="S35" s="18" t="str">
        <f t="shared" ref="S35:S66" ca="1" si="15">IFERROR(IF(ISBLANK(INDIRECT("'"&amp;$Q$2&amp;"'!G"&amp;ROW())),"",INDIRECT("'"&amp;$Q$2&amp;"'!G"&amp;ROW())),"")</f>
        <v/>
      </c>
      <c r="T35" s="20" t="str">
        <f t="shared" ref="T35:T66" ca="1" si="16">IF(OR($G35="",$S35=""),"",$G35-$S35)</f>
        <v/>
      </c>
      <c r="U35" s="18" t="str">
        <f t="shared" ref="U35:U66" ca="1" si="17">IFERROR(IF(ISBLANK(INDIRECT("'"&amp;$Q$2&amp;"'!K"&amp;ROW())),"",INDIRECT("'"&amp;$Q$2&amp;"'!K"&amp;ROW())),"")</f>
        <v/>
      </c>
      <c r="V35" s="20" t="str">
        <f t="shared" ref="V35:V66" ca="1" si="18">IF(OR($K35="",$U35=""),"",$K35-$U35)</f>
        <v/>
      </c>
      <c r="W35" s="21" t="str">
        <f t="shared" ref="W35:W66" ca="1" si="19">IFERROR(IF(ISBLANK(INDIRECT("'"&amp;$Q$2&amp;"'!O"&amp;ROW())),"",INDIRECT("'"&amp;$Q$2&amp;"'!O"&amp;ROW())),"")</f>
        <v/>
      </c>
      <c r="X35" s="21" t="str">
        <f t="shared" ca="1" si="12"/>
        <v/>
      </c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3">
        <v>83</v>
      </c>
      <c r="D36" s="13">
        <v>37402</v>
      </c>
      <c r="E36" s="13" t="str">
        <f t="shared" ca="1" si="10"/>
        <v/>
      </c>
      <c r="F36" s="15"/>
      <c r="G36" s="16"/>
      <c r="H36" s="13">
        <v>608</v>
      </c>
      <c r="I36" s="13" t="str">
        <f t="shared" ca="1" si="11"/>
        <v/>
      </c>
      <c r="J36" s="15"/>
      <c r="K36" s="16"/>
      <c r="L36" s="13">
        <f t="shared" si="13"/>
        <v>450.62650602409639</v>
      </c>
      <c r="M36" s="13">
        <f t="shared" si="14"/>
        <v>16.255815197048289</v>
      </c>
      <c r="N36" s="13">
        <v>5875</v>
      </c>
      <c r="O36" s="15">
        <v>3</v>
      </c>
      <c r="P36" s="2"/>
      <c r="Q36" s="2"/>
      <c r="R36" s="2"/>
      <c r="S36" s="18" t="str">
        <f t="shared" ca="1" si="15"/>
        <v/>
      </c>
      <c r="T36" s="20" t="str">
        <f t="shared" ca="1" si="16"/>
        <v/>
      </c>
      <c r="U36" s="18" t="str">
        <f t="shared" ca="1" si="17"/>
        <v/>
      </c>
      <c r="V36" s="20" t="str">
        <f t="shared" ca="1" si="18"/>
        <v/>
      </c>
      <c r="W36" s="21" t="str">
        <f t="shared" ca="1" si="19"/>
        <v/>
      </c>
      <c r="X36" s="21" t="str">
        <f t="shared" ca="1" si="12"/>
        <v/>
      </c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3">
        <v>95</v>
      </c>
      <c r="D37" s="13">
        <v>6619</v>
      </c>
      <c r="E37" s="13" t="str">
        <f t="shared" ca="1" si="10"/>
        <v/>
      </c>
      <c r="F37" s="15"/>
      <c r="G37" s="16"/>
      <c r="H37" s="13">
        <v>31</v>
      </c>
      <c r="I37" s="13" t="str">
        <f t="shared" ca="1" si="11"/>
        <v/>
      </c>
      <c r="J37" s="15"/>
      <c r="K37" s="16"/>
      <c r="L37" s="13">
        <f t="shared" si="13"/>
        <v>69.673684210526318</v>
      </c>
      <c r="M37" s="13">
        <f t="shared" si="14"/>
        <v>4.6834869315606591</v>
      </c>
      <c r="N37" s="13">
        <v>3233</v>
      </c>
      <c r="O37" s="15">
        <v>1</v>
      </c>
      <c r="P37" s="2"/>
      <c r="Q37" s="2"/>
      <c r="R37" s="2"/>
      <c r="S37" s="18" t="str">
        <f t="shared" ca="1" si="15"/>
        <v/>
      </c>
      <c r="T37" s="20" t="str">
        <f t="shared" ca="1" si="16"/>
        <v/>
      </c>
      <c r="U37" s="18" t="str">
        <f t="shared" ca="1" si="17"/>
        <v/>
      </c>
      <c r="V37" s="20" t="str">
        <f t="shared" ca="1" si="18"/>
        <v/>
      </c>
      <c r="W37" s="21" t="str">
        <f t="shared" ca="1" si="19"/>
        <v/>
      </c>
      <c r="X37" s="21" t="str">
        <f t="shared" ca="1" si="12"/>
        <v/>
      </c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3">
        <v>65</v>
      </c>
      <c r="D38" s="13">
        <v>5396</v>
      </c>
      <c r="E38" s="13" t="str">
        <f t="shared" ca="1" si="10"/>
        <v/>
      </c>
      <c r="F38" s="15"/>
      <c r="G38" s="16"/>
      <c r="H38" s="13">
        <v>18</v>
      </c>
      <c r="I38" s="13" t="str">
        <f t="shared" ca="1" si="11"/>
        <v/>
      </c>
      <c r="J38" s="15"/>
      <c r="K38" s="16"/>
      <c r="L38" s="13">
        <f t="shared" si="13"/>
        <v>83.015384615384619</v>
      </c>
      <c r="M38" s="13">
        <f t="shared" si="14"/>
        <v>3.3358042994810968</v>
      </c>
      <c r="N38" s="13">
        <v>1693</v>
      </c>
      <c r="O38" s="15">
        <v>3</v>
      </c>
      <c r="P38" s="2"/>
      <c r="Q38" s="2"/>
      <c r="R38" s="2"/>
      <c r="S38" s="18" t="str">
        <f t="shared" ca="1" si="15"/>
        <v/>
      </c>
      <c r="T38" s="20" t="str">
        <f t="shared" ca="1" si="16"/>
        <v/>
      </c>
      <c r="U38" s="18" t="str">
        <f t="shared" ca="1" si="17"/>
        <v/>
      </c>
      <c r="V38" s="20" t="str">
        <f t="shared" ca="1" si="18"/>
        <v/>
      </c>
      <c r="W38" s="21" t="str">
        <f t="shared" ca="1" si="19"/>
        <v/>
      </c>
      <c r="X38" s="21" t="str">
        <f t="shared" ca="1" si="12"/>
        <v/>
      </c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3">
        <v>65</v>
      </c>
      <c r="D39" s="13">
        <v>2787</v>
      </c>
      <c r="E39" s="13" t="str">
        <f t="shared" ca="1" si="10"/>
        <v/>
      </c>
      <c r="F39" s="15"/>
      <c r="G39" s="16"/>
      <c r="H39" s="13">
        <v>3</v>
      </c>
      <c r="I39" s="13" t="str">
        <f t="shared" ca="1" si="11"/>
        <v/>
      </c>
      <c r="J39" s="15"/>
      <c r="K39" s="16"/>
      <c r="L39" s="13">
        <f t="shared" si="13"/>
        <v>42.876923076923077</v>
      </c>
      <c r="M39" s="13">
        <f t="shared" si="14"/>
        <v>1.0764262648008611</v>
      </c>
      <c r="N39" s="13">
        <v>224</v>
      </c>
      <c r="O39" s="15">
        <v>2</v>
      </c>
      <c r="P39" s="2"/>
      <c r="Q39" s="2"/>
      <c r="R39" s="2"/>
      <c r="S39" s="18" t="str">
        <f t="shared" ca="1" si="15"/>
        <v/>
      </c>
      <c r="T39" s="20" t="str">
        <f t="shared" ca="1" si="16"/>
        <v/>
      </c>
      <c r="U39" s="18" t="str">
        <f t="shared" ca="1" si="17"/>
        <v/>
      </c>
      <c r="V39" s="20" t="str">
        <f t="shared" ca="1" si="18"/>
        <v/>
      </c>
      <c r="W39" s="21" t="str">
        <f t="shared" ca="1" si="19"/>
        <v/>
      </c>
      <c r="X39" s="21" t="str">
        <f t="shared" ca="1" si="12"/>
        <v/>
      </c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3">
        <v>31</v>
      </c>
      <c r="D40" s="13">
        <v>4257</v>
      </c>
      <c r="E40" s="13" t="str">
        <f t="shared" ca="1" si="10"/>
        <v/>
      </c>
      <c r="F40" s="15"/>
      <c r="G40" s="16"/>
      <c r="H40" s="13">
        <v>15</v>
      </c>
      <c r="I40" s="13" t="str">
        <f t="shared" ca="1" si="11"/>
        <v/>
      </c>
      <c r="J40" s="15"/>
      <c r="K40" s="16"/>
      <c r="L40" s="13">
        <f t="shared" si="13"/>
        <v>137.32258064516128</v>
      </c>
      <c r="M40" s="13">
        <f t="shared" si="14"/>
        <v>3.5236081747709656</v>
      </c>
      <c r="N40" s="13">
        <v>4949</v>
      </c>
      <c r="O40" s="15">
        <v>3</v>
      </c>
      <c r="P40" s="2"/>
      <c r="Q40" s="2"/>
      <c r="R40" s="2"/>
      <c r="S40" s="18" t="str">
        <f t="shared" ca="1" si="15"/>
        <v/>
      </c>
      <c r="T40" s="20" t="str">
        <f t="shared" ca="1" si="16"/>
        <v/>
      </c>
      <c r="U40" s="18" t="str">
        <f t="shared" ca="1" si="17"/>
        <v/>
      </c>
      <c r="V40" s="20" t="str">
        <f t="shared" ca="1" si="18"/>
        <v/>
      </c>
      <c r="W40" s="21" t="str">
        <f t="shared" ca="1" si="19"/>
        <v/>
      </c>
      <c r="X40" s="21" t="str">
        <f t="shared" ca="1" si="12"/>
        <v/>
      </c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3">
        <v>47</v>
      </c>
      <c r="D41" s="13">
        <v>7132</v>
      </c>
      <c r="E41" s="13" t="str">
        <f t="shared" ca="1" si="10"/>
        <v/>
      </c>
      <c r="F41" s="15"/>
      <c r="G41" s="16"/>
      <c r="H41" s="13">
        <v>57</v>
      </c>
      <c r="I41" s="13" t="str">
        <f t="shared" ca="1" si="11"/>
        <v/>
      </c>
      <c r="J41" s="15"/>
      <c r="K41" s="16"/>
      <c r="L41" s="13">
        <f t="shared" si="13"/>
        <v>151.74468085106383</v>
      </c>
      <c r="M41" s="13">
        <f t="shared" si="14"/>
        <v>7.9921480650588901</v>
      </c>
      <c r="N41" s="13">
        <v>3530</v>
      </c>
      <c r="O41" s="15">
        <v>3</v>
      </c>
      <c r="P41" s="2"/>
      <c r="Q41" s="2"/>
      <c r="R41" s="2"/>
      <c r="S41" s="18" t="str">
        <f t="shared" ca="1" si="15"/>
        <v/>
      </c>
      <c r="T41" s="20" t="str">
        <f t="shared" ca="1" si="16"/>
        <v/>
      </c>
      <c r="U41" s="18" t="str">
        <f t="shared" ca="1" si="17"/>
        <v/>
      </c>
      <c r="V41" s="20" t="str">
        <f t="shared" ca="1" si="18"/>
        <v/>
      </c>
      <c r="W41" s="21" t="str">
        <f t="shared" ca="1" si="19"/>
        <v/>
      </c>
      <c r="X41" s="21" t="str">
        <f t="shared" ca="1" si="12"/>
        <v/>
      </c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3">
        <v>30</v>
      </c>
      <c r="D42" s="13">
        <v>9378</v>
      </c>
      <c r="E42" s="13" t="str">
        <f t="shared" ca="1" si="10"/>
        <v/>
      </c>
      <c r="F42" s="15"/>
      <c r="G42" s="16"/>
      <c r="H42" s="13">
        <v>186</v>
      </c>
      <c r="I42" s="13" t="str">
        <f t="shared" ca="1" si="11"/>
        <v/>
      </c>
      <c r="J42" s="15"/>
      <c r="K42" s="16"/>
      <c r="L42" s="13">
        <f t="shared" si="13"/>
        <v>312.60000000000002</v>
      </c>
      <c r="M42" s="13">
        <f t="shared" si="14"/>
        <v>19.833653230966089</v>
      </c>
      <c r="N42" s="13">
        <v>643</v>
      </c>
      <c r="O42" s="15">
        <v>9</v>
      </c>
      <c r="P42" s="2"/>
      <c r="Q42" s="2"/>
      <c r="R42" s="2"/>
      <c r="S42" s="18" t="str">
        <f t="shared" ca="1" si="15"/>
        <v/>
      </c>
      <c r="T42" s="20" t="str">
        <f t="shared" ca="1" si="16"/>
        <v/>
      </c>
      <c r="U42" s="18" t="str">
        <f t="shared" ca="1" si="17"/>
        <v/>
      </c>
      <c r="V42" s="20" t="str">
        <f t="shared" ca="1" si="18"/>
        <v/>
      </c>
      <c r="W42" s="21" t="str">
        <f t="shared" ca="1" si="19"/>
        <v/>
      </c>
      <c r="X42" s="21" t="str">
        <f t="shared" ca="1" si="12"/>
        <v/>
      </c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3">
        <v>52</v>
      </c>
      <c r="D43" s="13">
        <v>3692</v>
      </c>
      <c r="E43" s="13" t="str">
        <f t="shared" ca="1" si="10"/>
        <v/>
      </c>
      <c r="F43" s="15"/>
      <c r="G43" s="16"/>
      <c r="H43" s="13">
        <v>25</v>
      </c>
      <c r="I43" s="13" t="str">
        <f t="shared" ca="1" si="11"/>
        <v/>
      </c>
      <c r="J43" s="15"/>
      <c r="K43" s="16"/>
      <c r="L43" s="13">
        <f t="shared" si="13"/>
        <v>71</v>
      </c>
      <c r="M43" s="13">
        <f t="shared" si="14"/>
        <v>6.7713976164680387</v>
      </c>
      <c r="N43" s="13">
        <v>1948</v>
      </c>
      <c r="O43" s="15">
        <v>3</v>
      </c>
      <c r="P43" s="2"/>
      <c r="Q43" s="2"/>
      <c r="R43" s="2"/>
      <c r="S43" s="18" t="str">
        <f t="shared" ca="1" si="15"/>
        <v/>
      </c>
      <c r="T43" s="20" t="str">
        <f t="shared" ca="1" si="16"/>
        <v/>
      </c>
      <c r="U43" s="18" t="str">
        <f t="shared" ca="1" si="17"/>
        <v/>
      </c>
      <c r="V43" s="20" t="str">
        <f t="shared" ca="1" si="18"/>
        <v/>
      </c>
      <c r="W43" s="21" t="str">
        <f t="shared" ca="1" si="19"/>
        <v/>
      </c>
      <c r="X43" s="21" t="str">
        <f t="shared" ca="1" si="12"/>
        <v/>
      </c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3">
        <v>54</v>
      </c>
      <c r="D44" s="13">
        <v>9680</v>
      </c>
      <c r="E44" s="13" t="str">
        <f t="shared" ca="1" si="10"/>
        <v/>
      </c>
      <c r="F44" s="15"/>
      <c r="G44" s="16"/>
      <c r="H44" s="13">
        <v>66</v>
      </c>
      <c r="I44" s="13" t="str">
        <f t="shared" ca="1" si="11"/>
        <v/>
      </c>
      <c r="J44" s="15"/>
      <c r="K44" s="16"/>
      <c r="L44" s="13">
        <f t="shared" si="13"/>
        <v>179.25925925925927</v>
      </c>
      <c r="M44" s="13">
        <f t="shared" si="14"/>
        <v>6.8181818181818175</v>
      </c>
      <c r="N44" s="13">
        <v>4884</v>
      </c>
      <c r="O44" s="15">
        <v>5</v>
      </c>
      <c r="P44" s="2"/>
      <c r="Q44" s="2"/>
      <c r="R44" s="2"/>
      <c r="S44" s="18" t="str">
        <f t="shared" ca="1" si="15"/>
        <v/>
      </c>
      <c r="T44" s="20" t="str">
        <f t="shared" ca="1" si="16"/>
        <v/>
      </c>
      <c r="U44" s="18" t="str">
        <f t="shared" ca="1" si="17"/>
        <v/>
      </c>
      <c r="V44" s="20" t="str">
        <f t="shared" ca="1" si="18"/>
        <v/>
      </c>
      <c r="W44" s="21" t="str">
        <f t="shared" ca="1" si="19"/>
        <v/>
      </c>
      <c r="X44" s="21" t="str">
        <f t="shared" ca="1" si="12"/>
        <v/>
      </c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3">
        <v>65</v>
      </c>
      <c r="D45" s="13">
        <v>19928</v>
      </c>
      <c r="E45" s="13" t="str">
        <f t="shared" ca="1" si="10"/>
        <v/>
      </c>
      <c r="F45" s="15"/>
      <c r="G45" s="16"/>
      <c r="H45" s="13">
        <v>220</v>
      </c>
      <c r="I45" s="13" t="str">
        <f t="shared" ca="1" si="11"/>
        <v/>
      </c>
      <c r="J45" s="15"/>
      <c r="K45" s="16"/>
      <c r="L45" s="13">
        <f t="shared" si="13"/>
        <v>306.5846153846154</v>
      </c>
      <c r="M45" s="13">
        <f t="shared" si="14"/>
        <v>11.039743075070254</v>
      </c>
      <c r="N45" s="13">
        <v>3731</v>
      </c>
      <c r="O45" s="15">
        <v>12</v>
      </c>
      <c r="P45" s="2"/>
      <c r="Q45" s="2"/>
      <c r="R45" s="2"/>
      <c r="S45" s="18" t="str">
        <f t="shared" ca="1" si="15"/>
        <v/>
      </c>
      <c r="T45" s="20" t="str">
        <f t="shared" ca="1" si="16"/>
        <v/>
      </c>
      <c r="U45" s="18" t="str">
        <f t="shared" ca="1" si="17"/>
        <v/>
      </c>
      <c r="V45" s="20" t="str">
        <f t="shared" ca="1" si="18"/>
        <v/>
      </c>
      <c r="W45" s="21" t="str">
        <f t="shared" ca="1" si="19"/>
        <v/>
      </c>
      <c r="X45" s="21" t="str">
        <f t="shared" ca="1" si="12"/>
        <v/>
      </c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3">
        <v>107</v>
      </c>
      <c r="D46" s="13">
        <v>42572</v>
      </c>
      <c r="E46" s="13" t="str">
        <f t="shared" ca="1" si="10"/>
        <v/>
      </c>
      <c r="F46" s="15"/>
      <c r="G46" s="16"/>
      <c r="H46" s="13">
        <v>694</v>
      </c>
      <c r="I46" s="13" t="str">
        <f t="shared" ca="1" si="11"/>
        <v/>
      </c>
      <c r="J46" s="15"/>
      <c r="K46" s="16"/>
      <c r="L46" s="13">
        <f t="shared" si="13"/>
        <v>397.86915887850466</v>
      </c>
      <c r="M46" s="13">
        <f t="shared" si="14"/>
        <v>16.301794606783801</v>
      </c>
      <c r="N46" s="13">
        <v>4496</v>
      </c>
      <c r="O46" s="15">
        <v>9</v>
      </c>
      <c r="P46" s="2"/>
      <c r="Q46" s="2"/>
      <c r="R46" s="2"/>
      <c r="S46" s="18" t="str">
        <f t="shared" ca="1" si="15"/>
        <v/>
      </c>
      <c r="T46" s="20" t="str">
        <f t="shared" ca="1" si="16"/>
        <v/>
      </c>
      <c r="U46" s="18" t="str">
        <f t="shared" ca="1" si="17"/>
        <v/>
      </c>
      <c r="V46" s="20" t="str">
        <f t="shared" ca="1" si="18"/>
        <v/>
      </c>
      <c r="W46" s="21" t="str">
        <f t="shared" ca="1" si="19"/>
        <v/>
      </c>
      <c r="X46" s="21" t="str">
        <f t="shared" ca="1" si="12"/>
        <v/>
      </c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3">
        <v>8</v>
      </c>
      <c r="D47" s="13">
        <v>769</v>
      </c>
      <c r="E47" s="13" t="str">
        <f t="shared" ca="1" si="10"/>
        <v/>
      </c>
      <c r="F47" s="15"/>
      <c r="G47" s="16"/>
      <c r="H47" s="13">
        <v>16</v>
      </c>
      <c r="I47" s="13" t="str">
        <f t="shared" ca="1" si="11"/>
        <v/>
      </c>
      <c r="J47" s="15"/>
      <c r="K47" s="16"/>
      <c r="L47" s="13">
        <f t="shared" si="13"/>
        <v>96.125</v>
      </c>
      <c r="M47" s="13">
        <f t="shared" si="14"/>
        <v>20.80624187256177</v>
      </c>
      <c r="N47" s="13">
        <v>855</v>
      </c>
      <c r="O47" s="15">
        <v>5</v>
      </c>
      <c r="P47" s="2"/>
      <c r="Q47" s="2"/>
      <c r="R47" s="2"/>
      <c r="S47" s="18" t="str">
        <f t="shared" ca="1" si="15"/>
        <v/>
      </c>
      <c r="T47" s="20" t="str">
        <f t="shared" ca="1" si="16"/>
        <v/>
      </c>
      <c r="U47" s="18" t="str">
        <f t="shared" ca="1" si="17"/>
        <v/>
      </c>
      <c r="V47" s="20" t="str">
        <f t="shared" ca="1" si="18"/>
        <v/>
      </c>
      <c r="W47" s="21" t="str">
        <f t="shared" ca="1" si="19"/>
        <v/>
      </c>
      <c r="X47" s="21" t="str">
        <f t="shared" ca="1" si="12"/>
        <v/>
      </c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3">
        <v>3</v>
      </c>
      <c r="D48" s="13">
        <v>336</v>
      </c>
      <c r="E48" s="13" t="str">
        <f t="shared" ca="1" si="10"/>
        <v/>
      </c>
      <c r="F48" s="15"/>
      <c r="G48" s="16"/>
      <c r="H48" s="13">
        <v>13</v>
      </c>
      <c r="I48" s="13" t="str">
        <f t="shared" ca="1" si="11"/>
        <v/>
      </c>
      <c r="J48" s="15"/>
      <c r="K48" s="16"/>
      <c r="L48" s="13">
        <f t="shared" si="13"/>
        <v>112</v>
      </c>
      <c r="M48" s="13">
        <f t="shared" si="14"/>
        <v>38.69047619047619</v>
      </c>
      <c r="N48" s="13">
        <v>853</v>
      </c>
      <c r="O48" s="15">
        <v>2</v>
      </c>
      <c r="P48" s="2"/>
      <c r="Q48" s="2"/>
      <c r="R48" s="2"/>
      <c r="S48" s="18" t="str">
        <f t="shared" ca="1" si="15"/>
        <v/>
      </c>
      <c r="T48" s="20" t="str">
        <f t="shared" ca="1" si="16"/>
        <v/>
      </c>
      <c r="U48" s="18" t="str">
        <f t="shared" ca="1" si="17"/>
        <v/>
      </c>
      <c r="V48" s="20" t="str">
        <f t="shared" ca="1" si="18"/>
        <v/>
      </c>
      <c r="W48" s="21" t="str">
        <f t="shared" ca="1" si="19"/>
        <v/>
      </c>
      <c r="X48" s="21" t="str">
        <f t="shared" ca="1" si="12"/>
        <v/>
      </c>
      <c r="Y48" s="2"/>
      <c r="Z48" s="2"/>
    </row>
    <row r="49" spans="1:26" ht="14.25" customHeight="1" x14ac:dyDescent="0.45">
      <c r="A49" s="48" t="s">
        <v>23</v>
      </c>
      <c r="B49" s="48" t="s">
        <v>62</v>
      </c>
      <c r="C49" s="49"/>
      <c r="D49" s="49"/>
      <c r="E49" s="49" t="str">
        <f t="shared" ca="1" si="10"/>
        <v/>
      </c>
      <c r="F49" s="50"/>
      <c r="G49" s="51"/>
      <c r="H49" s="49"/>
      <c r="I49" s="49" t="str">
        <f t="shared" ca="1" si="11"/>
        <v/>
      </c>
      <c r="J49" s="50"/>
      <c r="K49" s="51"/>
      <c r="L49" s="49" t="str">
        <f t="shared" si="13"/>
        <v/>
      </c>
      <c r="M49" s="49" t="str">
        <f t="shared" si="14"/>
        <v/>
      </c>
      <c r="N49" s="49"/>
      <c r="O49" s="50"/>
      <c r="P49" s="2"/>
      <c r="Q49" s="2"/>
      <c r="R49" s="2"/>
      <c r="S49" s="18" t="str">
        <f t="shared" ca="1" si="15"/>
        <v/>
      </c>
      <c r="T49" s="20" t="str">
        <f t="shared" ca="1" si="16"/>
        <v/>
      </c>
      <c r="U49" s="18" t="str">
        <f t="shared" ca="1" si="17"/>
        <v/>
      </c>
      <c r="V49" s="20" t="str">
        <f t="shared" ca="1" si="18"/>
        <v/>
      </c>
      <c r="W49" s="21" t="str">
        <f t="shared" ca="1" si="19"/>
        <v/>
      </c>
      <c r="X49" s="21" t="str">
        <f t="shared" ca="1" si="12"/>
        <v/>
      </c>
      <c r="Y49" s="2"/>
      <c r="Z49" s="2"/>
    </row>
    <row r="50" spans="1:26" ht="14.25" customHeight="1" x14ac:dyDescent="0.45">
      <c r="A50" s="48" t="s">
        <v>23</v>
      </c>
      <c r="B50" s="48" t="s">
        <v>65</v>
      </c>
      <c r="C50" s="49"/>
      <c r="D50" s="49"/>
      <c r="E50" s="49" t="str">
        <f t="shared" ca="1" si="10"/>
        <v/>
      </c>
      <c r="F50" s="50"/>
      <c r="G50" s="51"/>
      <c r="H50" s="49"/>
      <c r="I50" s="49" t="str">
        <f t="shared" ca="1" si="11"/>
        <v/>
      </c>
      <c r="J50" s="50"/>
      <c r="K50" s="51"/>
      <c r="L50" s="49" t="str">
        <f t="shared" si="13"/>
        <v/>
      </c>
      <c r="M50" s="49" t="str">
        <f t="shared" si="14"/>
        <v/>
      </c>
      <c r="N50" s="49"/>
      <c r="O50" s="50"/>
      <c r="P50" s="2"/>
      <c r="Q50" s="2"/>
      <c r="R50" s="2"/>
      <c r="S50" s="18" t="str">
        <f t="shared" ca="1" si="15"/>
        <v/>
      </c>
      <c r="T50" s="20" t="str">
        <f t="shared" ca="1" si="16"/>
        <v/>
      </c>
      <c r="U50" s="18" t="str">
        <f t="shared" ca="1" si="17"/>
        <v/>
      </c>
      <c r="V50" s="20" t="str">
        <f t="shared" ca="1" si="18"/>
        <v/>
      </c>
      <c r="W50" s="21" t="str">
        <f t="shared" ca="1" si="19"/>
        <v/>
      </c>
      <c r="X50" s="21" t="str">
        <f t="shared" ca="1" si="12"/>
        <v/>
      </c>
      <c r="Y50" s="2"/>
      <c r="Z50" s="2"/>
    </row>
    <row r="51" spans="1:26" ht="14.25" customHeight="1" x14ac:dyDescent="0.45">
      <c r="A51" s="25"/>
      <c r="B51" s="25" t="s">
        <v>67</v>
      </c>
      <c r="C51" s="26">
        <f>SUM(C31:C50)</f>
        <v>1252</v>
      </c>
      <c r="D51" s="26">
        <f>SUM(D31:D50)</f>
        <v>248359</v>
      </c>
      <c r="E51" s="26">
        <f ca="1">SUM(E31:E50)</f>
        <v>0</v>
      </c>
      <c r="F51" s="27">
        <f>SUM(F31:F50)</f>
        <v>0</v>
      </c>
      <c r="G51" s="28" t="str">
        <f ca="1">IF(C51=0,"",IFERROR(F51/E51,""))</f>
        <v/>
      </c>
      <c r="H51" s="26">
        <f>SUM(H31:H50)</f>
        <v>2209</v>
      </c>
      <c r="I51" s="26">
        <f ca="1">SUM(I31:I50)</f>
        <v>0</v>
      </c>
      <c r="J51" s="27">
        <f>SUM(J31:J50)</f>
        <v>0</v>
      </c>
      <c r="K51" s="28" t="str">
        <f ca="1">IF(C51=0,"",IFERROR(J51/I51,""))</f>
        <v/>
      </c>
      <c r="L51" s="26">
        <f t="shared" si="13"/>
        <v>198.36980830670927</v>
      </c>
      <c r="M51" s="26">
        <f t="shared" si="14"/>
        <v>8.8943827282280896</v>
      </c>
      <c r="N51" s="26">
        <f>SUM(N31:N50)</f>
        <v>102008</v>
      </c>
      <c r="O51" s="27">
        <f>SUM(O31:O50)</f>
        <v>82</v>
      </c>
      <c r="P51" s="2"/>
      <c r="Q51" s="2"/>
      <c r="R51" s="2"/>
      <c r="S51" s="29" t="str">
        <f t="shared" ca="1" si="15"/>
        <v/>
      </c>
      <c r="T51" s="30" t="str">
        <f t="shared" ca="1" si="16"/>
        <v/>
      </c>
      <c r="U51" s="29" t="str">
        <f t="shared" ca="1" si="17"/>
        <v/>
      </c>
      <c r="V51" s="30" t="str">
        <f t="shared" ca="1" si="18"/>
        <v/>
      </c>
      <c r="W51" s="31" t="str">
        <f t="shared" ca="1" si="19"/>
        <v/>
      </c>
      <c r="X51" s="31" t="str">
        <f ca="1">IF(OR(C51=0,$O51="",$W51=""),"",$O51-$W51)</f>
        <v/>
      </c>
      <c r="Y51" s="2"/>
      <c r="Z51" s="2"/>
    </row>
    <row r="52" spans="1:26" ht="14.25" customHeight="1" x14ac:dyDescent="0.45">
      <c r="A52" s="12" t="s">
        <v>24</v>
      </c>
      <c r="B52" s="12" t="s">
        <v>37</v>
      </c>
      <c r="C52" s="13">
        <v>144</v>
      </c>
      <c r="D52" s="13">
        <v>38993</v>
      </c>
      <c r="E52" s="13" t="str">
        <f t="shared" ref="E52:E73" ca="1" si="20">IF($D52="","",IFERROR(IF(ISBLANK(INDIRECT("'"&amp;$Q$2&amp;"'!D"&amp;ROW())),"",INDIRECT("'"&amp;$Q$2&amp;"'!D"&amp;ROW())),""))</f>
        <v/>
      </c>
      <c r="F52" s="15"/>
      <c r="G52" s="16"/>
      <c r="H52" s="13">
        <v>176</v>
      </c>
      <c r="I52" s="13" t="str">
        <f t="shared" ref="I52:I73" ca="1" si="21">IF($H52="","",IFERROR(IF(ISBLANK(INDIRECT("'"&amp;$Q$2&amp;"'!H"&amp;ROW())),"",INDIRECT("'"&amp;$Q$2&amp;"'!H"&amp;ROW())),""))</f>
        <v/>
      </c>
      <c r="J52" s="15"/>
      <c r="K52" s="16"/>
      <c r="L52" s="13">
        <f t="shared" si="13"/>
        <v>270.78472222222223</v>
      </c>
      <c r="M52" s="13">
        <f t="shared" si="14"/>
        <v>4.5136306516554248</v>
      </c>
      <c r="N52" s="13">
        <v>11843</v>
      </c>
      <c r="O52" s="15">
        <v>8</v>
      </c>
      <c r="P52" s="2"/>
      <c r="Q52" s="2"/>
      <c r="R52" s="2"/>
      <c r="S52" s="18" t="str">
        <f t="shared" ca="1" si="15"/>
        <v/>
      </c>
      <c r="T52" s="20" t="str">
        <f t="shared" ca="1" si="16"/>
        <v/>
      </c>
      <c r="U52" s="18" t="str">
        <f t="shared" ca="1" si="17"/>
        <v/>
      </c>
      <c r="V52" s="20" t="str">
        <f t="shared" ca="1" si="18"/>
        <v/>
      </c>
      <c r="W52" s="21" t="str">
        <f t="shared" ca="1" si="19"/>
        <v/>
      </c>
      <c r="X52" s="21" t="str">
        <f t="shared" ref="X52:X73" ca="1" si="22">IF(OR($O52="",$W52=""),"",$O52-$W52)</f>
        <v/>
      </c>
      <c r="Y52" s="2"/>
      <c r="Z52" s="2"/>
    </row>
    <row r="53" spans="1:26" ht="14.25" customHeight="1" x14ac:dyDescent="0.45">
      <c r="A53" s="12" t="s">
        <v>24</v>
      </c>
      <c r="B53" s="12" t="s">
        <v>39</v>
      </c>
      <c r="C53" s="13">
        <v>183</v>
      </c>
      <c r="D53" s="13">
        <v>49251</v>
      </c>
      <c r="E53" s="13" t="str">
        <f t="shared" ca="1" si="20"/>
        <v/>
      </c>
      <c r="F53" s="15"/>
      <c r="G53" s="16"/>
      <c r="H53" s="13">
        <v>30</v>
      </c>
      <c r="I53" s="13" t="str">
        <f t="shared" ca="1" si="21"/>
        <v/>
      </c>
      <c r="J53" s="15"/>
      <c r="K53" s="16"/>
      <c r="L53" s="13">
        <f t="shared" si="13"/>
        <v>269.13114754098359</v>
      </c>
      <c r="M53" s="13">
        <f t="shared" si="14"/>
        <v>0.60912468782359752</v>
      </c>
      <c r="N53" s="13">
        <v>4826</v>
      </c>
      <c r="O53" s="15">
        <v>-19</v>
      </c>
      <c r="P53" s="2"/>
      <c r="Q53" s="2"/>
      <c r="R53" s="2"/>
      <c r="S53" s="18" t="str">
        <f t="shared" ca="1" si="15"/>
        <v/>
      </c>
      <c r="T53" s="20" t="str">
        <f t="shared" ca="1" si="16"/>
        <v/>
      </c>
      <c r="U53" s="18" t="str">
        <f t="shared" ca="1" si="17"/>
        <v/>
      </c>
      <c r="V53" s="20" t="str">
        <f t="shared" ca="1" si="18"/>
        <v/>
      </c>
      <c r="W53" s="21" t="str">
        <f t="shared" ca="1" si="19"/>
        <v/>
      </c>
      <c r="X53" s="21" t="str">
        <f t="shared" ca="1" si="22"/>
        <v/>
      </c>
      <c r="Y53" s="2"/>
      <c r="Z53" s="2"/>
    </row>
    <row r="54" spans="1:26" ht="14.25" customHeight="1" x14ac:dyDescent="0.45">
      <c r="A54" s="12" t="s">
        <v>24</v>
      </c>
      <c r="B54" s="12" t="s">
        <v>42</v>
      </c>
      <c r="C54" s="13">
        <v>87</v>
      </c>
      <c r="D54" s="13">
        <v>2006</v>
      </c>
      <c r="E54" s="13" t="str">
        <f t="shared" ca="1" si="20"/>
        <v/>
      </c>
      <c r="F54" s="15"/>
      <c r="G54" s="16"/>
      <c r="H54" s="13">
        <v>6</v>
      </c>
      <c r="I54" s="13" t="str">
        <f t="shared" ca="1" si="21"/>
        <v/>
      </c>
      <c r="J54" s="15"/>
      <c r="K54" s="16"/>
      <c r="L54" s="13">
        <f t="shared" si="13"/>
        <v>23.057471264367816</v>
      </c>
      <c r="M54" s="13">
        <f t="shared" si="14"/>
        <v>2.9910269192422732</v>
      </c>
      <c r="N54" s="13">
        <v>872</v>
      </c>
      <c r="O54" s="15">
        <v>-3</v>
      </c>
      <c r="P54" s="2"/>
      <c r="Q54" s="2"/>
      <c r="R54" s="2"/>
      <c r="S54" s="18" t="str">
        <f t="shared" ca="1" si="15"/>
        <v/>
      </c>
      <c r="T54" s="20" t="str">
        <f t="shared" ca="1" si="16"/>
        <v/>
      </c>
      <c r="U54" s="18" t="str">
        <f t="shared" ca="1" si="17"/>
        <v/>
      </c>
      <c r="V54" s="20" t="str">
        <f t="shared" ca="1" si="18"/>
        <v/>
      </c>
      <c r="W54" s="21" t="str">
        <f t="shared" ca="1" si="19"/>
        <v/>
      </c>
      <c r="X54" s="21" t="str">
        <f t="shared" ca="1" si="22"/>
        <v/>
      </c>
      <c r="Y54" s="2"/>
      <c r="Z54" s="2"/>
    </row>
    <row r="55" spans="1:26" ht="14.25" customHeight="1" x14ac:dyDescent="0.45">
      <c r="A55" s="12" t="s">
        <v>24</v>
      </c>
      <c r="B55" s="12" t="s">
        <v>68</v>
      </c>
      <c r="C55" s="13">
        <v>8</v>
      </c>
      <c r="D55" s="13">
        <v>23655</v>
      </c>
      <c r="E55" s="13" t="str">
        <f t="shared" ca="1" si="20"/>
        <v/>
      </c>
      <c r="F55" s="15"/>
      <c r="G55" s="16"/>
      <c r="H55" s="13">
        <v>22</v>
      </c>
      <c r="I55" s="13" t="str">
        <f t="shared" ca="1" si="21"/>
        <v/>
      </c>
      <c r="J55" s="15"/>
      <c r="K55" s="16"/>
      <c r="L55" s="13">
        <f t="shared" si="13"/>
        <v>2956.875</v>
      </c>
      <c r="M55" s="13">
        <f t="shared" si="14"/>
        <v>0.93003593320651023</v>
      </c>
      <c r="N55" s="13">
        <v>13886</v>
      </c>
      <c r="O55" s="15">
        <v>-175</v>
      </c>
      <c r="P55" s="2"/>
      <c r="Q55" s="2"/>
      <c r="R55" s="2"/>
      <c r="S55" s="18" t="str">
        <f t="shared" ca="1" si="15"/>
        <v/>
      </c>
      <c r="T55" s="20" t="str">
        <f t="shared" ca="1" si="16"/>
        <v/>
      </c>
      <c r="U55" s="18" t="str">
        <f t="shared" ca="1" si="17"/>
        <v/>
      </c>
      <c r="V55" s="20" t="str">
        <f t="shared" ca="1" si="18"/>
        <v/>
      </c>
      <c r="W55" s="21" t="str">
        <f t="shared" ca="1" si="19"/>
        <v/>
      </c>
      <c r="X55" s="21" t="str">
        <f t="shared" ca="1" si="22"/>
        <v/>
      </c>
      <c r="Y55" s="2"/>
      <c r="Z55" s="2"/>
    </row>
    <row r="56" spans="1:26" ht="14.25" customHeight="1" x14ac:dyDescent="0.45">
      <c r="A56" s="12" t="s">
        <v>24</v>
      </c>
      <c r="B56" s="12" t="s">
        <v>69</v>
      </c>
      <c r="C56" s="13">
        <v>7</v>
      </c>
      <c r="D56" s="13">
        <v>400</v>
      </c>
      <c r="E56" s="13" t="str">
        <f t="shared" ca="1" si="20"/>
        <v/>
      </c>
      <c r="F56" s="15"/>
      <c r="G56" s="16"/>
      <c r="H56" s="13">
        <v>3</v>
      </c>
      <c r="I56" s="13" t="str">
        <f t="shared" ca="1" si="21"/>
        <v/>
      </c>
      <c r="J56" s="15"/>
      <c r="K56" s="16"/>
      <c r="L56" s="13">
        <f t="shared" si="13"/>
        <v>57.142857142857146</v>
      </c>
      <c r="M56" s="13">
        <f t="shared" si="14"/>
        <v>7.5</v>
      </c>
      <c r="N56" s="13">
        <v>8685</v>
      </c>
      <c r="O56" s="15">
        <v>-83</v>
      </c>
      <c r="P56" s="2"/>
      <c r="Q56" s="2"/>
      <c r="R56" s="2"/>
      <c r="S56" s="18" t="str">
        <f t="shared" ca="1" si="15"/>
        <v/>
      </c>
      <c r="T56" s="20" t="str">
        <f t="shared" ca="1" si="16"/>
        <v/>
      </c>
      <c r="U56" s="18" t="str">
        <f t="shared" ca="1" si="17"/>
        <v/>
      </c>
      <c r="V56" s="20" t="str">
        <f t="shared" ca="1" si="18"/>
        <v/>
      </c>
      <c r="W56" s="21" t="str">
        <f t="shared" ca="1" si="19"/>
        <v/>
      </c>
      <c r="X56" s="21" t="str">
        <f t="shared" ca="1" si="22"/>
        <v/>
      </c>
      <c r="Y56" s="2"/>
      <c r="Z56" s="2"/>
    </row>
    <row r="57" spans="1:26" ht="14.25" customHeight="1" x14ac:dyDescent="0.45">
      <c r="A57" s="12" t="s">
        <v>24</v>
      </c>
      <c r="B57" s="12" t="s">
        <v>43</v>
      </c>
      <c r="C57" s="13">
        <v>100</v>
      </c>
      <c r="D57" s="13">
        <v>64144</v>
      </c>
      <c r="E57" s="13" t="str">
        <f t="shared" ca="1" si="20"/>
        <v/>
      </c>
      <c r="F57" s="15"/>
      <c r="G57" s="16"/>
      <c r="H57" s="13">
        <v>273</v>
      </c>
      <c r="I57" s="13" t="str">
        <f t="shared" ca="1" si="21"/>
        <v/>
      </c>
      <c r="J57" s="15"/>
      <c r="K57" s="16"/>
      <c r="L57" s="13">
        <f t="shared" si="13"/>
        <v>641.44000000000005</v>
      </c>
      <c r="M57" s="13">
        <f t="shared" si="14"/>
        <v>4.2560488899975057</v>
      </c>
      <c r="N57" s="13">
        <v>10863</v>
      </c>
      <c r="O57" s="15">
        <v>-35</v>
      </c>
      <c r="P57" s="2"/>
      <c r="Q57" s="2"/>
      <c r="R57" s="2"/>
      <c r="S57" s="18" t="str">
        <f t="shared" ca="1" si="15"/>
        <v/>
      </c>
      <c r="T57" s="20" t="str">
        <f t="shared" ca="1" si="16"/>
        <v/>
      </c>
      <c r="U57" s="18" t="str">
        <f t="shared" ca="1" si="17"/>
        <v/>
      </c>
      <c r="V57" s="20" t="str">
        <f t="shared" ca="1" si="18"/>
        <v/>
      </c>
      <c r="W57" s="21" t="str">
        <f t="shared" ca="1" si="19"/>
        <v/>
      </c>
      <c r="X57" s="21" t="str">
        <f t="shared" ca="1" si="22"/>
        <v/>
      </c>
      <c r="Y57" s="2"/>
      <c r="Z57" s="2"/>
    </row>
    <row r="58" spans="1:26" ht="14.25" customHeight="1" x14ac:dyDescent="0.45">
      <c r="A58" s="12" t="s">
        <v>24</v>
      </c>
      <c r="B58" s="12" t="s">
        <v>44</v>
      </c>
      <c r="C58" s="13">
        <v>101</v>
      </c>
      <c r="D58" s="13">
        <v>22193</v>
      </c>
      <c r="E58" s="13" t="str">
        <f t="shared" ca="1" si="20"/>
        <v/>
      </c>
      <c r="F58" s="15"/>
      <c r="G58" s="16"/>
      <c r="H58" s="13">
        <v>271</v>
      </c>
      <c r="I58" s="13" t="str">
        <f t="shared" ca="1" si="21"/>
        <v/>
      </c>
      <c r="J58" s="15"/>
      <c r="K58" s="16"/>
      <c r="L58" s="13">
        <f t="shared" si="13"/>
        <v>219.73267326732673</v>
      </c>
      <c r="M58" s="13">
        <f t="shared" si="14"/>
        <v>12.211057540665976</v>
      </c>
      <c r="N58" s="13">
        <v>4149</v>
      </c>
      <c r="O58" s="15">
        <v>-33</v>
      </c>
      <c r="P58" s="2"/>
      <c r="Q58" s="2"/>
      <c r="R58" s="2"/>
      <c r="S58" s="18" t="str">
        <f t="shared" ca="1" si="15"/>
        <v/>
      </c>
      <c r="T58" s="20" t="str">
        <f t="shared" ca="1" si="16"/>
        <v/>
      </c>
      <c r="U58" s="18" t="str">
        <f t="shared" ca="1" si="17"/>
        <v/>
      </c>
      <c r="V58" s="20" t="str">
        <f t="shared" ca="1" si="18"/>
        <v/>
      </c>
      <c r="W58" s="21" t="str">
        <f t="shared" ca="1" si="19"/>
        <v/>
      </c>
      <c r="X58" s="21" t="str">
        <f t="shared" ca="1" si="22"/>
        <v/>
      </c>
      <c r="Y58" s="2"/>
      <c r="Z58" s="2"/>
    </row>
    <row r="59" spans="1:26" ht="14.25" customHeight="1" x14ac:dyDescent="0.45">
      <c r="A59" s="12" t="s">
        <v>24</v>
      </c>
      <c r="B59" s="12" t="s">
        <v>45</v>
      </c>
      <c r="C59" s="13">
        <v>87</v>
      </c>
      <c r="D59" s="13">
        <v>30533</v>
      </c>
      <c r="E59" s="13" t="str">
        <f t="shared" ca="1" si="20"/>
        <v/>
      </c>
      <c r="F59" s="15"/>
      <c r="G59" s="16"/>
      <c r="H59" s="13">
        <v>190</v>
      </c>
      <c r="I59" s="13" t="str">
        <f t="shared" ca="1" si="21"/>
        <v/>
      </c>
      <c r="J59" s="15"/>
      <c r="K59" s="16"/>
      <c r="L59" s="13">
        <f t="shared" si="13"/>
        <v>350.95402298850576</v>
      </c>
      <c r="M59" s="13">
        <f t="shared" si="14"/>
        <v>6.2227753578095832</v>
      </c>
      <c r="N59" s="13">
        <v>5551</v>
      </c>
      <c r="O59" s="15">
        <v>-42</v>
      </c>
      <c r="P59" s="2"/>
      <c r="Q59" s="2"/>
      <c r="R59" s="2"/>
      <c r="S59" s="18" t="str">
        <f t="shared" ca="1" si="15"/>
        <v/>
      </c>
      <c r="T59" s="20" t="str">
        <f t="shared" ca="1" si="16"/>
        <v/>
      </c>
      <c r="U59" s="18" t="str">
        <f t="shared" ca="1" si="17"/>
        <v/>
      </c>
      <c r="V59" s="20" t="str">
        <f t="shared" ca="1" si="18"/>
        <v/>
      </c>
      <c r="W59" s="21" t="str">
        <f t="shared" ca="1" si="19"/>
        <v/>
      </c>
      <c r="X59" s="21" t="str">
        <f t="shared" ca="1" si="22"/>
        <v/>
      </c>
      <c r="Y59" s="2"/>
      <c r="Z59" s="2"/>
    </row>
    <row r="60" spans="1:26" ht="14.25" customHeight="1" x14ac:dyDescent="0.45">
      <c r="A60" s="12" t="s">
        <v>24</v>
      </c>
      <c r="B60" s="12" t="s">
        <v>46</v>
      </c>
      <c r="C60" s="13">
        <v>97</v>
      </c>
      <c r="D60" s="13">
        <v>48843</v>
      </c>
      <c r="E60" s="13" t="str">
        <f t="shared" ca="1" si="20"/>
        <v/>
      </c>
      <c r="F60" s="15"/>
      <c r="G60" s="16"/>
      <c r="H60" s="13">
        <v>202</v>
      </c>
      <c r="I60" s="13" t="str">
        <f t="shared" ca="1" si="21"/>
        <v/>
      </c>
      <c r="J60" s="15"/>
      <c r="K60" s="16"/>
      <c r="L60" s="13">
        <f t="shared" si="13"/>
        <v>503.53608247422682</v>
      </c>
      <c r="M60" s="13">
        <f t="shared" si="14"/>
        <v>4.1357001003214382</v>
      </c>
      <c r="N60" s="13">
        <v>10486</v>
      </c>
      <c r="O60" s="15">
        <v>-42</v>
      </c>
      <c r="P60" s="2"/>
      <c r="Q60" s="2"/>
      <c r="R60" s="2"/>
      <c r="S60" s="18" t="str">
        <f t="shared" ca="1" si="15"/>
        <v/>
      </c>
      <c r="T60" s="20" t="str">
        <f t="shared" ca="1" si="16"/>
        <v/>
      </c>
      <c r="U60" s="18" t="str">
        <f t="shared" ca="1" si="17"/>
        <v/>
      </c>
      <c r="V60" s="20" t="str">
        <f t="shared" ca="1" si="18"/>
        <v/>
      </c>
      <c r="W60" s="21" t="str">
        <f t="shared" ca="1" si="19"/>
        <v/>
      </c>
      <c r="X60" s="21" t="str">
        <f t="shared" ca="1" si="22"/>
        <v/>
      </c>
      <c r="Y60" s="2"/>
      <c r="Z60" s="2"/>
    </row>
    <row r="61" spans="1:26" ht="14.25" customHeight="1" x14ac:dyDescent="0.45">
      <c r="A61" s="12" t="s">
        <v>24</v>
      </c>
      <c r="B61" s="12" t="s">
        <v>47</v>
      </c>
      <c r="C61" s="13">
        <v>95</v>
      </c>
      <c r="D61" s="13">
        <v>13697</v>
      </c>
      <c r="E61" s="13" t="str">
        <f t="shared" ca="1" si="20"/>
        <v/>
      </c>
      <c r="F61" s="15"/>
      <c r="G61" s="16"/>
      <c r="H61" s="13">
        <v>21</v>
      </c>
      <c r="I61" s="13" t="str">
        <f t="shared" ca="1" si="21"/>
        <v/>
      </c>
      <c r="J61" s="15"/>
      <c r="K61" s="16"/>
      <c r="L61" s="13">
        <f t="shared" si="13"/>
        <v>144.17894736842106</v>
      </c>
      <c r="M61" s="13">
        <f t="shared" si="14"/>
        <v>1.5331824487113968</v>
      </c>
      <c r="N61" s="13">
        <v>2319</v>
      </c>
      <c r="O61" s="15">
        <v>-22</v>
      </c>
      <c r="P61" s="2"/>
      <c r="Q61" s="2"/>
      <c r="R61" s="2"/>
      <c r="S61" s="18" t="str">
        <f t="shared" ca="1" si="15"/>
        <v/>
      </c>
      <c r="T61" s="20" t="str">
        <f t="shared" ca="1" si="16"/>
        <v/>
      </c>
      <c r="U61" s="18" t="str">
        <f t="shared" ca="1" si="17"/>
        <v/>
      </c>
      <c r="V61" s="20" t="str">
        <f t="shared" ca="1" si="18"/>
        <v/>
      </c>
      <c r="W61" s="21" t="str">
        <f t="shared" ca="1" si="19"/>
        <v/>
      </c>
      <c r="X61" s="21" t="str">
        <f t="shared" ca="1" si="22"/>
        <v/>
      </c>
      <c r="Y61" s="2"/>
      <c r="Z61" s="2"/>
    </row>
    <row r="62" spans="1:26" ht="14.25" customHeight="1" x14ac:dyDescent="0.45">
      <c r="A62" s="12" t="s">
        <v>24</v>
      </c>
      <c r="B62" s="12" t="s">
        <v>48</v>
      </c>
      <c r="C62" s="13">
        <v>61</v>
      </c>
      <c r="D62" s="13">
        <v>4841</v>
      </c>
      <c r="E62" s="13" t="str">
        <f t="shared" ca="1" si="20"/>
        <v/>
      </c>
      <c r="F62" s="15"/>
      <c r="G62" s="16"/>
      <c r="H62" s="13">
        <v>42</v>
      </c>
      <c r="I62" s="13" t="str">
        <f t="shared" ca="1" si="21"/>
        <v/>
      </c>
      <c r="J62" s="15"/>
      <c r="K62" s="16"/>
      <c r="L62" s="13">
        <f t="shared" si="13"/>
        <v>79.360655737704917</v>
      </c>
      <c r="M62" s="13">
        <f t="shared" si="14"/>
        <v>8.6758934104523853</v>
      </c>
      <c r="N62" s="13">
        <v>1381</v>
      </c>
      <c r="O62" s="15">
        <v>-9</v>
      </c>
      <c r="P62" s="2"/>
      <c r="Q62" s="2"/>
      <c r="R62" s="2"/>
      <c r="S62" s="18" t="str">
        <f t="shared" ca="1" si="15"/>
        <v/>
      </c>
      <c r="T62" s="20" t="str">
        <f t="shared" ca="1" si="16"/>
        <v/>
      </c>
      <c r="U62" s="18" t="str">
        <f t="shared" ca="1" si="17"/>
        <v/>
      </c>
      <c r="V62" s="20" t="str">
        <f t="shared" ca="1" si="18"/>
        <v/>
      </c>
      <c r="W62" s="21" t="str">
        <f t="shared" ca="1" si="19"/>
        <v/>
      </c>
      <c r="X62" s="21" t="str">
        <f t="shared" ca="1" si="22"/>
        <v/>
      </c>
      <c r="Y62" s="2"/>
      <c r="Z62" s="2"/>
    </row>
    <row r="63" spans="1:26" ht="14.25" customHeight="1" x14ac:dyDescent="0.45">
      <c r="A63" s="12" t="s">
        <v>24</v>
      </c>
      <c r="B63" s="12" t="s">
        <v>49</v>
      </c>
      <c r="C63" s="13">
        <v>53</v>
      </c>
      <c r="D63" s="13">
        <v>19888</v>
      </c>
      <c r="E63" s="13" t="str">
        <f t="shared" ca="1" si="20"/>
        <v/>
      </c>
      <c r="F63" s="15"/>
      <c r="G63" s="16"/>
      <c r="H63" s="13">
        <v>82</v>
      </c>
      <c r="I63" s="13" t="str">
        <f t="shared" ca="1" si="21"/>
        <v/>
      </c>
      <c r="J63" s="15"/>
      <c r="K63" s="16"/>
      <c r="L63" s="13">
        <f t="shared" si="13"/>
        <v>375.24528301886795</v>
      </c>
      <c r="M63" s="13">
        <f t="shared" si="14"/>
        <v>4.1230893000804505</v>
      </c>
      <c r="N63" s="13">
        <v>5686</v>
      </c>
      <c r="O63" s="15">
        <v>-75</v>
      </c>
      <c r="P63" s="2"/>
      <c r="Q63" s="2"/>
      <c r="R63" s="2"/>
      <c r="S63" s="18" t="str">
        <f t="shared" ca="1" si="15"/>
        <v/>
      </c>
      <c r="T63" s="20" t="str">
        <f t="shared" ca="1" si="16"/>
        <v/>
      </c>
      <c r="U63" s="18" t="str">
        <f t="shared" ca="1" si="17"/>
        <v/>
      </c>
      <c r="V63" s="20" t="str">
        <f t="shared" ca="1" si="18"/>
        <v/>
      </c>
      <c r="W63" s="21" t="str">
        <f t="shared" ca="1" si="19"/>
        <v/>
      </c>
      <c r="X63" s="21" t="str">
        <f t="shared" ca="1" si="22"/>
        <v/>
      </c>
      <c r="Y63" s="2"/>
      <c r="Z63" s="2"/>
    </row>
    <row r="64" spans="1:26" ht="14.25" customHeight="1" x14ac:dyDescent="0.45">
      <c r="A64" s="12" t="s">
        <v>24</v>
      </c>
      <c r="B64" s="12" t="s">
        <v>50</v>
      </c>
      <c r="C64" s="13">
        <v>47</v>
      </c>
      <c r="D64" s="13">
        <v>4988</v>
      </c>
      <c r="E64" s="13" t="str">
        <f t="shared" ca="1" si="20"/>
        <v/>
      </c>
      <c r="F64" s="15"/>
      <c r="G64" s="16"/>
      <c r="H64" s="13">
        <v>11</v>
      </c>
      <c r="I64" s="13" t="str">
        <f t="shared" ca="1" si="21"/>
        <v/>
      </c>
      <c r="J64" s="15"/>
      <c r="K64" s="16"/>
      <c r="L64" s="13">
        <f t="shared" si="13"/>
        <v>106.12765957446808</v>
      </c>
      <c r="M64" s="13">
        <f t="shared" si="14"/>
        <v>2.2052927024859663</v>
      </c>
      <c r="N64" s="13">
        <v>1828</v>
      </c>
      <c r="O64" s="15">
        <v>-22</v>
      </c>
      <c r="P64" s="2"/>
      <c r="Q64" s="2"/>
      <c r="R64" s="2"/>
      <c r="S64" s="18" t="str">
        <f t="shared" ca="1" si="15"/>
        <v/>
      </c>
      <c r="T64" s="20" t="str">
        <f t="shared" ca="1" si="16"/>
        <v/>
      </c>
      <c r="U64" s="18" t="str">
        <f t="shared" ca="1" si="17"/>
        <v/>
      </c>
      <c r="V64" s="20" t="str">
        <f t="shared" ca="1" si="18"/>
        <v/>
      </c>
      <c r="W64" s="21" t="str">
        <f t="shared" ca="1" si="19"/>
        <v/>
      </c>
      <c r="X64" s="21" t="str">
        <f t="shared" ca="1" si="22"/>
        <v/>
      </c>
      <c r="Y64" s="2"/>
      <c r="Z64" s="2"/>
    </row>
    <row r="65" spans="1:26" ht="14.25" customHeight="1" x14ac:dyDescent="0.45">
      <c r="A65" s="12" t="s">
        <v>24</v>
      </c>
      <c r="B65" s="12" t="s">
        <v>51</v>
      </c>
      <c r="C65" s="13">
        <v>32</v>
      </c>
      <c r="D65" s="13">
        <v>2643</v>
      </c>
      <c r="E65" s="13" t="str">
        <f t="shared" ca="1" si="20"/>
        <v/>
      </c>
      <c r="F65" s="15"/>
      <c r="G65" s="16"/>
      <c r="H65" s="13">
        <v>17</v>
      </c>
      <c r="I65" s="13" t="str">
        <f t="shared" ca="1" si="21"/>
        <v/>
      </c>
      <c r="J65" s="15"/>
      <c r="K65" s="16"/>
      <c r="L65" s="13">
        <f t="shared" si="13"/>
        <v>82.59375</v>
      </c>
      <c r="M65" s="13">
        <f t="shared" si="14"/>
        <v>6.432084752175558</v>
      </c>
      <c r="N65" s="13">
        <v>875</v>
      </c>
      <c r="O65" s="15">
        <v>-8</v>
      </c>
      <c r="P65" s="2"/>
      <c r="Q65" s="2"/>
      <c r="R65" s="2"/>
      <c r="S65" s="18" t="str">
        <f t="shared" ca="1" si="15"/>
        <v/>
      </c>
      <c r="T65" s="20" t="str">
        <f t="shared" ca="1" si="16"/>
        <v/>
      </c>
      <c r="U65" s="18" t="str">
        <f t="shared" ca="1" si="17"/>
        <v/>
      </c>
      <c r="V65" s="20" t="str">
        <f t="shared" ca="1" si="18"/>
        <v/>
      </c>
      <c r="W65" s="21" t="str">
        <f t="shared" ca="1" si="19"/>
        <v/>
      </c>
      <c r="X65" s="21" t="str">
        <f t="shared" ca="1" si="22"/>
        <v/>
      </c>
      <c r="Y65" s="2"/>
      <c r="Z65" s="2"/>
    </row>
    <row r="66" spans="1:26" ht="14.25" customHeight="1" x14ac:dyDescent="0.45">
      <c r="A66" s="12" t="s">
        <v>24</v>
      </c>
      <c r="B66" s="12" t="s">
        <v>52</v>
      </c>
      <c r="C66" s="13">
        <v>52</v>
      </c>
      <c r="D66" s="13">
        <v>3485</v>
      </c>
      <c r="E66" s="13" t="str">
        <f t="shared" ca="1" si="20"/>
        <v/>
      </c>
      <c r="F66" s="15"/>
      <c r="G66" s="16"/>
      <c r="H66" s="13">
        <v>5</v>
      </c>
      <c r="I66" s="13" t="str">
        <f t="shared" ca="1" si="21"/>
        <v/>
      </c>
      <c r="J66" s="15"/>
      <c r="K66" s="16"/>
      <c r="L66" s="13">
        <f t="shared" si="13"/>
        <v>67.019230769230774</v>
      </c>
      <c r="M66" s="13">
        <f t="shared" si="14"/>
        <v>1.4347202295552368</v>
      </c>
      <c r="N66" s="13">
        <v>863</v>
      </c>
      <c r="O66" s="15">
        <v>-17</v>
      </c>
      <c r="P66" s="2"/>
      <c r="Q66" s="2"/>
      <c r="R66" s="2"/>
      <c r="S66" s="18" t="str">
        <f t="shared" ca="1" si="15"/>
        <v/>
      </c>
      <c r="T66" s="20" t="str">
        <f t="shared" ca="1" si="16"/>
        <v/>
      </c>
      <c r="U66" s="18" t="str">
        <f t="shared" ca="1" si="17"/>
        <v/>
      </c>
      <c r="V66" s="20" t="str">
        <f t="shared" ca="1" si="18"/>
        <v/>
      </c>
      <c r="W66" s="21" t="str">
        <f t="shared" ca="1" si="19"/>
        <v/>
      </c>
      <c r="X66" s="21" t="str">
        <f t="shared" ca="1" si="22"/>
        <v/>
      </c>
      <c r="Y66" s="2"/>
      <c r="Z66" s="2"/>
    </row>
    <row r="67" spans="1:26" ht="14.25" customHeight="1" x14ac:dyDescent="0.45">
      <c r="A67" s="12" t="s">
        <v>24</v>
      </c>
      <c r="B67" s="12" t="s">
        <v>53</v>
      </c>
      <c r="C67" s="13">
        <v>54</v>
      </c>
      <c r="D67" s="13">
        <v>6149</v>
      </c>
      <c r="E67" s="13" t="str">
        <f t="shared" ca="1" si="20"/>
        <v/>
      </c>
      <c r="F67" s="15"/>
      <c r="G67" s="16"/>
      <c r="H67" s="13">
        <v>34</v>
      </c>
      <c r="I67" s="13" t="str">
        <f t="shared" ca="1" si="21"/>
        <v/>
      </c>
      <c r="J67" s="15"/>
      <c r="K67" s="16"/>
      <c r="L67" s="13">
        <f t="shared" ref="L67:L97" si="23">IFERROR(D67/C67,"")</f>
        <v>113.87037037037037</v>
      </c>
      <c r="M67" s="13">
        <f t="shared" ref="M67:M97" si="24">IFERROR(H67/D67*1000,"")</f>
        <v>5.5293543665636689</v>
      </c>
      <c r="N67" s="13">
        <v>1179</v>
      </c>
      <c r="O67" s="15"/>
      <c r="P67" s="2"/>
      <c r="Q67" s="2"/>
      <c r="R67" s="2"/>
      <c r="S67" s="18" t="str">
        <f t="shared" ref="S67:S97" ca="1" si="25">IFERROR(IF(ISBLANK(INDIRECT("'"&amp;$Q$2&amp;"'!G"&amp;ROW())),"",INDIRECT("'"&amp;$Q$2&amp;"'!G"&amp;ROW())),"")</f>
        <v/>
      </c>
      <c r="T67" s="20" t="str">
        <f t="shared" ref="T67:T97" ca="1" si="26">IF(OR($G67="",$S67=""),"",$G67-$S67)</f>
        <v/>
      </c>
      <c r="U67" s="18" t="str">
        <f t="shared" ref="U67:U97" ca="1" si="27">IFERROR(IF(ISBLANK(INDIRECT("'"&amp;$Q$2&amp;"'!K"&amp;ROW())),"",INDIRECT("'"&amp;$Q$2&amp;"'!K"&amp;ROW())),"")</f>
        <v/>
      </c>
      <c r="V67" s="20" t="str">
        <f t="shared" ref="V67:V97" ca="1" si="28">IF(OR($K67="",$U67=""),"",$K67-$U67)</f>
        <v/>
      </c>
      <c r="W67" s="21" t="str">
        <f t="shared" ref="W67:W97" ca="1" si="29">IFERROR(IF(ISBLANK(INDIRECT("'"&amp;$Q$2&amp;"'!O"&amp;ROW())),"",INDIRECT("'"&amp;$Q$2&amp;"'!O"&amp;ROW())),"")</f>
        <v/>
      </c>
      <c r="X67" s="21" t="str">
        <f t="shared" ca="1" si="22"/>
        <v/>
      </c>
      <c r="Y67" s="2"/>
      <c r="Z67" s="2"/>
    </row>
    <row r="68" spans="1:26" ht="14.25" customHeight="1" x14ac:dyDescent="0.45">
      <c r="A68" s="12" t="s">
        <v>24</v>
      </c>
      <c r="B68" s="12" t="s">
        <v>54</v>
      </c>
      <c r="C68" s="13">
        <v>65</v>
      </c>
      <c r="D68" s="13">
        <v>19814</v>
      </c>
      <c r="E68" s="13" t="str">
        <f t="shared" ca="1" si="20"/>
        <v/>
      </c>
      <c r="F68" s="15"/>
      <c r="G68" s="16"/>
      <c r="H68" s="13">
        <v>71</v>
      </c>
      <c r="I68" s="13" t="str">
        <f t="shared" ca="1" si="21"/>
        <v/>
      </c>
      <c r="J68" s="15"/>
      <c r="K68" s="16"/>
      <c r="L68" s="13">
        <f t="shared" si="23"/>
        <v>304.83076923076925</v>
      </c>
      <c r="M68" s="13">
        <f t="shared" si="24"/>
        <v>3.5833249217724839</v>
      </c>
      <c r="N68" s="13">
        <v>4425</v>
      </c>
      <c r="O68" s="15">
        <v>-46</v>
      </c>
      <c r="P68" s="2"/>
      <c r="Q68" s="2"/>
      <c r="R68" s="2"/>
      <c r="S68" s="18" t="str">
        <f t="shared" ca="1" si="25"/>
        <v/>
      </c>
      <c r="T68" s="20" t="str">
        <f t="shared" ca="1" si="26"/>
        <v/>
      </c>
      <c r="U68" s="18" t="str">
        <f t="shared" ca="1" si="27"/>
        <v/>
      </c>
      <c r="V68" s="20" t="str">
        <f t="shared" ca="1" si="28"/>
        <v/>
      </c>
      <c r="W68" s="21" t="str">
        <f t="shared" ca="1" si="29"/>
        <v/>
      </c>
      <c r="X68" s="21" t="str">
        <f t="shared" ca="1" si="22"/>
        <v/>
      </c>
      <c r="Y68" s="2"/>
      <c r="Z68" s="2"/>
    </row>
    <row r="69" spans="1:26" ht="14.25" customHeight="1" x14ac:dyDescent="0.45">
      <c r="A69" s="12" t="s">
        <v>24</v>
      </c>
      <c r="B69" s="12" t="s">
        <v>55</v>
      </c>
      <c r="C69" s="13">
        <v>116</v>
      </c>
      <c r="D69" s="13">
        <v>55540</v>
      </c>
      <c r="E69" s="13" t="str">
        <f t="shared" ca="1" si="20"/>
        <v/>
      </c>
      <c r="F69" s="15"/>
      <c r="G69" s="16"/>
      <c r="H69" s="13">
        <v>432</v>
      </c>
      <c r="I69" s="13" t="str">
        <f t="shared" ca="1" si="21"/>
        <v/>
      </c>
      <c r="J69" s="15"/>
      <c r="K69" s="16"/>
      <c r="L69" s="13">
        <f t="shared" si="23"/>
        <v>478.79310344827587</v>
      </c>
      <c r="M69" s="13">
        <f t="shared" si="24"/>
        <v>7.7781778898091467</v>
      </c>
      <c r="N69" s="13">
        <v>5570</v>
      </c>
      <c r="O69" s="15">
        <v>-122</v>
      </c>
      <c r="P69" s="2"/>
      <c r="Q69" s="2"/>
      <c r="R69" s="2"/>
      <c r="S69" s="18" t="str">
        <f t="shared" ca="1" si="25"/>
        <v/>
      </c>
      <c r="T69" s="20" t="str">
        <f t="shared" ca="1" si="26"/>
        <v/>
      </c>
      <c r="U69" s="18" t="str">
        <f t="shared" ca="1" si="27"/>
        <v/>
      </c>
      <c r="V69" s="20" t="str">
        <f t="shared" ca="1" si="28"/>
        <v/>
      </c>
      <c r="W69" s="21" t="str">
        <f t="shared" ca="1" si="29"/>
        <v/>
      </c>
      <c r="X69" s="21" t="str">
        <f t="shared" ca="1" si="22"/>
        <v/>
      </c>
      <c r="Y69" s="2"/>
      <c r="Z69" s="2"/>
    </row>
    <row r="70" spans="1:26" ht="14.25" customHeight="1" x14ac:dyDescent="0.45">
      <c r="A70" s="12" t="s">
        <v>24</v>
      </c>
      <c r="B70" s="12" t="s">
        <v>62</v>
      </c>
      <c r="C70" s="13">
        <v>232</v>
      </c>
      <c r="D70" s="13">
        <v>3586</v>
      </c>
      <c r="E70" s="13" t="str">
        <f t="shared" ca="1" si="20"/>
        <v/>
      </c>
      <c r="F70" s="15"/>
      <c r="G70" s="16"/>
      <c r="H70" s="13">
        <v>2</v>
      </c>
      <c r="I70" s="13" t="str">
        <f t="shared" ca="1" si="21"/>
        <v/>
      </c>
      <c r="J70" s="15"/>
      <c r="K70" s="16"/>
      <c r="L70" s="13">
        <f t="shared" si="23"/>
        <v>15.456896551724139</v>
      </c>
      <c r="M70" s="13">
        <f t="shared" si="24"/>
        <v>0.5577244841048522</v>
      </c>
      <c r="N70" s="13">
        <v>694</v>
      </c>
      <c r="O70" s="15">
        <v>-3</v>
      </c>
      <c r="P70" s="2"/>
      <c r="Q70" s="2"/>
      <c r="R70" s="2"/>
      <c r="S70" s="18" t="str">
        <f t="shared" ca="1" si="25"/>
        <v/>
      </c>
      <c r="T70" s="20" t="str">
        <f t="shared" ca="1" si="26"/>
        <v/>
      </c>
      <c r="U70" s="18" t="str">
        <f t="shared" ca="1" si="27"/>
        <v/>
      </c>
      <c r="V70" s="20" t="str">
        <f t="shared" ca="1" si="28"/>
        <v/>
      </c>
      <c r="W70" s="21" t="str">
        <f t="shared" ca="1" si="29"/>
        <v/>
      </c>
      <c r="X70" s="21" t="str">
        <f t="shared" ca="1" si="22"/>
        <v/>
      </c>
      <c r="Y70" s="2"/>
      <c r="Z70" s="2"/>
    </row>
    <row r="71" spans="1:26" ht="14.25" customHeight="1" x14ac:dyDescent="0.45">
      <c r="A71" s="12" t="s">
        <v>24</v>
      </c>
      <c r="B71" s="12" t="s">
        <v>56</v>
      </c>
      <c r="C71" s="13">
        <v>21</v>
      </c>
      <c r="D71" s="13">
        <v>7230</v>
      </c>
      <c r="E71" s="13" t="str">
        <f t="shared" ca="1" si="20"/>
        <v/>
      </c>
      <c r="F71" s="15"/>
      <c r="G71" s="16"/>
      <c r="H71" s="13">
        <v>540</v>
      </c>
      <c r="I71" s="13" t="str">
        <f t="shared" ca="1" si="21"/>
        <v/>
      </c>
      <c r="J71" s="15"/>
      <c r="K71" s="16"/>
      <c r="L71" s="13">
        <f t="shared" si="23"/>
        <v>344.28571428571428</v>
      </c>
      <c r="M71" s="13">
        <f t="shared" si="24"/>
        <v>74.68879668049793</v>
      </c>
      <c r="N71" s="13">
        <v>2506</v>
      </c>
      <c r="O71" s="15">
        <v>2</v>
      </c>
      <c r="P71" s="2"/>
      <c r="Q71" s="2"/>
      <c r="R71" s="2"/>
      <c r="S71" s="18" t="str">
        <f t="shared" ca="1" si="25"/>
        <v/>
      </c>
      <c r="T71" s="20" t="str">
        <f t="shared" ca="1" si="26"/>
        <v/>
      </c>
      <c r="U71" s="18" t="str">
        <f t="shared" ca="1" si="27"/>
        <v/>
      </c>
      <c r="V71" s="20" t="str">
        <f t="shared" ca="1" si="28"/>
        <v/>
      </c>
      <c r="W71" s="21" t="str">
        <f t="shared" ca="1" si="29"/>
        <v/>
      </c>
      <c r="X71" s="21" t="str">
        <f t="shared" ca="1" si="22"/>
        <v/>
      </c>
      <c r="Y71" s="2"/>
      <c r="Z71" s="2"/>
    </row>
    <row r="72" spans="1:26" ht="14.25" customHeight="1" x14ac:dyDescent="0.45">
      <c r="A72" s="12" t="s">
        <v>24</v>
      </c>
      <c r="B72" s="12" t="s">
        <v>61</v>
      </c>
      <c r="C72" s="13">
        <v>7</v>
      </c>
      <c r="D72" s="13">
        <v>164</v>
      </c>
      <c r="E72" s="13" t="str">
        <f t="shared" ca="1" si="20"/>
        <v/>
      </c>
      <c r="F72" s="15"/>
      <c r="G72" s="16"/>
      <c r="H72" s="13">
        <v>24</v>
      </c>
      <c r="I72" s="13" t="str">
        <f t="shared" ca="1" si="21"/>
        <v/>
      </c>
      <c r="J72" s="15"/>
      <c r="K72" s="16"/>
      <c r="L72" s="13">
        <f t="shared" si="23"/>
        <v>23.428571428571427</v>
      </c>
      <c r="M72" s="13">
        <f t="shared" si="24"/>
        <v>146.34146341463415</v>
      </c>
      <c r="N72" s="13">
        <v>172</v>
      </c>
      <c r="O72" s="15">
        <v>2</v>
      </c>
      <c r="P72" s="2"/>
      <c r="Q72" s="2"/>
      <c r="R72" s="2"/>
      <c r="S72" s="18" t="str">
        <f t="shared" ca="1" si="25"/>
        <v/>
      </c>
      <c r="T72" s="20" t="str">
        <f t="shared" ca="1" si="26"/>
        <v/>
      </c>
      <c r="U72" s="18" t="str">
        <f t="shared" ca="1" si="27"/>
        <v/>
      </c>
      <c r="V72" s="20" t="str">
        <f t="shared" ca="1" si="28"/>
        <v/>
      </c>
      <c r="W72" s="21" t="str">
        <f t="shared" ca="1" si="29"/>
        <v/>
      </c>
      <c r="X72" s="21" t="str">
        <f t="shared" ca="1" si="22"/>
        <v/>
      </c>
      <c r="Y72" s="2"/>
      <c r="Z72" s="2"/>
    </row>
    <row r="73" spans="1:26" ht="14.25" customHeight="1" x14ac:dyDescent="0.45">
      <c r="A73" s="12" t="s">
        <v>24</v>
      </c>
      <c r="B73" s="12" t="s">
        <v>65</v>
      </c>
      <c r="C73" s="13">
        <v>5</v>
      </c>
      <c r="D73" s="13">
        <v>1147</v>
      </c>
      <c r="E73" s="13" t="str">
        <f t="shared" ca="1" si="20"/>
        <v/>
      </c>
      <c r="F73" s="15"/>
      <c r="G73" s="16"/>
      <c r="H73" s="13">
        <v>36</v>
      </c>
      <c r="I73" s="13" t="str">
        <f t="shared" ca="1" si="21"/>
        <v/>
      </c>
      <c r="J73" s="15"/>
      <c r="K73" s="16"/>
      <c r="L73" s="13">
        <f t="shared" si="23"/>
        <v>229.4</v>
      </c>
      <c r="M73" s="13">
        <f t="shared" si="24"/>
        <v>31.386224934612031</v>
      </c>
      <c r="N73" s="13">
        <v>49</v>
      </c>
      <c r="O73" s="15"/>
      <c r="P73" s="2"/>
      <c r="Q73" s="2"/>
      <c r="R73" s="2"/>
      <c r="S73" s="18" t="str">
        <f t="shared" ca="1" si="25"/>
        <v/>
      </c>
      <c r="T73" s="20" t="str">
        <f t="shared" ca="1" si="26"/>
        <v/>
      </c>
      <c r="U73" s="18" t="str">
        <f t="shared" ca="1" si="27"/>
        <v/>
      </c>
      <c r="V73" s="20" t="str">
        <f t="shared" ca="1" si="28"/>
        <v/>
      </c>
      <c r="W73" s="21" t="str">
        <f t="shared" ca="1" si="29"/>
        <v/>
      </c>
      <c r="X73" s="21" t="str">
        <f t="shared" ca="1" si="22"/>
        <v/>
      </c>
      <c r="Y73" s="2"/>
      <c r="Z73" s="2"/>
    </row>
    <row r="74" spans="1:26" ht="14.25" customHeight="1" x14ac:dyDescent="0.45">
      <c r="A74" s="25"/>
      <c r="B74" s="25" t="s">
        <v>70</v>
      </c>
      <c r="C74" s="26">
        <f>SUM(C52:C73)</f>
        <v>1654</v>
      </c>
      <c r="D74" s="26">
        <f>SUM(D52:D73)</f>
        <v>423190</v>
      </c>
      <c r="E74" s="26">
        <f ca="1">SUM(E52:E73)</f>
        <v>0</v>
      </c>
      <c r="F74" s="27">
        <f>SUM(F52:F73)</f>
        <v>0</v>
      </c>
      <c r="G74" s="28" t="str">
        <f ca="1">IF(C74=0,"",IFERROR(F74/E74,""))</f>
        <v/>
      </c>
      <c r="H74" s="26">
        <f>SUM(H52:H73)</f>
        <v>2490</v>
      </c>
      <c r="I74" s="26">
        <f ca="1">SUM(I52:I73)</f>
        <v>0</v>
      </c>
      <c r="J74" s="27">
        <f>SUM(J52:J73)</f>
        <v>0</v>
      </c>
      <c r="K74" s="28" t="str">
        <f ca="1">IF(C74=0,"",IFERROR(J74/I74,""))</f>
        <v/>
      </c>
      <c r="L74" s="26">
        <f t="shared" si="23"/>
        <v>255.85852478839178</v>
      </c>
      <c r="M74" s="26">
        <f t="shared" si="24"/>
        <v>5.8838819442803469</v>
      </c>
      <c r="N74" s="26">
        <f>SUM(N52:N73)</f>
        <v>98708</v>
      </c>
      <c r="O74" s="27">
        <f>SUM(O52:O73)</f>
        <v>-744</v>
      </c>
      <c r="P74" s="2"/>
      <c r="Q74" s="2"/>
      <c r="R74" s="2"/>
      <c r="S74" s="29" t="str">
        <f t="shared" ca="1" si="25"/>
        <v/>
      </c>
      <c r="T74" s="30" t="str">
        <f t="shared" ca="1" si="26"/>
        <v/>
      </c>
      <c r="U74" s="29" t="str">
        <f t="shared" ca="1" si="27"/>
        <v/>
      </c>
      <c r="V74" s="30" t="str">
        <f t="shared" ca="1" si="28"/>
        <v/>
      </c>
      <c r="W74" s="31" t="str">
        <f t="shared" ca="1" si="29"/>
        <v/>
      </c>
      <c r="X74" s="31" t="str">
        <f ca="1">IF(OR(C74=0,$O74="",$W74=""),"",$O74-$W74)</f>
        <v/>
      </c>
      <c r="Y74" s="2"/>
      <c r="Z74" s="2"/>
    </row>
    <row r="75" spans="1:26" ht="14.25" customHeight="1" x14ac:dyDescent="0.45">
      <c r="A75" s="12" t="s">
        <v>25</v>
      </c>
      <c r="B75" s="12" t="s">
        <v>37</v>
      </c>
      <c r="C75" s="13">
        <v>149</v>
      </c>
      <c r="D75" s="13">
        <v>141488</v>
      </c>
      <c r="E75" s="13" t="str">
        <f t="shared" ref="E75:E95" ca="1" si="30">IF($D75="","",IFERROR(IF(ISBLANK(INDIRECT("'"&amp;$Q$2&amp;"'!D"&amp;ROW())),"",INDIRECT("'"&amp;$Q$2&amp;"'!D"&amp;ROW())),""))</f>
        <v/>
      </c>
      <c r="F75" s="15"/>
      <c r="G75" s="16"/>
      <c r="H75" s="13"/>
      <c r="I75" s="13" t="str">
        <f t="shared" ref="I75:I95" ca="1" si="31">IF($H75="","",IFERROR(IF(ISBLANK(INDIRECT("'"&amp;$Q$2&amp;"'!H"&amp;ROW())),"",INDIRECT("'"&amp;$Q$2&amp;"'!H"&amp;ROW())),""))</f>
        <v/>
      </c>
      <c r="J75" s="15"/>
      <c r="K75" s="16"/>
      <c r="L75" s="13">
        <f t="shared" si="23"/>
        <v>949.58389261744969</v>
      </c>
      <c r="M75" s="13">
        <f t="shared" si="24"/>
        <v>0</v>
      </c>
      <c r="N75" s="13">
        <v>4135</v>
      </c>
      <c r="O75" s="15">
        <v>18</v>
      </c>
      <c r="P75" s="2"/>
      <c r="Q75" s="2"/>
      <c r="R75" s="2"/>
      <c r="S75" s="18" t="str">
        <f t="shared" ca="1" si="25"/>
        <v/>
      </c>
      <c r="T75" s="20" t="str">
        <f t="shared" ca="1" si="26"/>
        <v/>
      </c>
      <c r="U75" s="18" t="str">
        <f t="shared" ca="1" si="27"/>
        <v/>
      </c>
      <c r="V75" s="20" t="str">
        <f t="shared" ca="1" si="28"/>
        <v/>
      </c>
      <c r="W75" s="21" t="str">
        <f t="shared" ca="1" si="29"/>
        <v/>
      </c>
      <c r="X75" s="21" t="str">
        <f t="shared" ref="X75:X95" ca="1" si="32">IF(OR($O75="",$W75=""),"",$O75-$W75)</f>
        <v/>
      </c>
      <c r="Y75" s="2"/>
      <c r="Z75" s="2"/>
    </row>
    <row r="76" spans="1:26" ht="14.25" customHeight="1" x14ac:dyDescent="0.45">
      <c r="A76" s="12" t="s">
        <v>25</v>
      </c>
      <c r="B76" s="12" t="s">
        <v>39</v>
      </c>
      <c r="C76" s="13">
        <v>189</v>
      </c>
      <c r="D76" s="13">
        <v>68887</v>
      </c>
      <c r="E76" s="13" t="str">
        <f t="shared" ca="1" si="30"/>
        <v/>
      </c>
      <c r="F76" s="15"/>
      <c r="G76" s="16"/>
      <c r="H76" s="13"/>
      <c r="I76" s="13" t="str">
        <f t="shared" ca="1" si="31"/>
        <v/>
      </c>
      <c r="J76" s="15"/>
      <c r="K76" s="16"/>
      <c r="L76" s="13">
        <f t="shared" si="23"/>
        <v>364.48148148148147</v>
      </c>
      <c r="M76" s="13">
        <f t="shared" si="24"/>
        <v>0</v>
      </c>
      <c r="N76" s="13">
        <v>2199</v>
      </c>
      <c r="O76" s="15">
        <v>-1</v>
      </c>
      <c r="P76" s="2"/>
      <c r="Q76" s="2"/>
      <c r="R76" s="2"/>
      <c r="S76" s="18" t="str">
        <f t="shared" ca="1" si="25"/>
        <v/>
      </c>
      <c r="T76" s="20" t="str">
        <f t="shared" ca="1" si="26"/>
        <v/>
      </c>
      <c r="U76" s="18" t="str">
        <f t="shared" ca="1" si="27"/>
        <v/>
      </c>
      <c r="V76" s="20" t="str">
        <f t="shared" ca="1" si="28"/>
        <v/>
      </c>
      <c r="W76" s="21" t="str">
        <f t="shared" ca="1" si="29"/>
        <v/>
      </c>
      <c r="X76" s="21" t="str">
        <f t="shared" ca="1" si="32"/>
        <v/>
      </c>
      <c r="Y76" s="2"/>
      <c r="Z76" s="2"/>
    </row>
    <row r="77" spans="1:26" ht="14.25" customHeight="1" x14ac:dyDescent="0.45">
      <c r="A77" s="12" t="s">
        <v>25</v>
      </c>
      <c r="B77" s="12" t="s">
        <v>42</v>
      </c>
      <c r="C77" s="13">
        <v>86</v>
      </c>
      <c r="D77" s="13">
        <v>6444</v>
      </c>
      <c r="E77" s="13" t="str">
        <f t="shared" ca="1" si="30"/>
        <v/>
      </c>
      <c r="F77" s="15"/>
      <c r="G77" s="16"/>
      <c r="H77" s="13"/>
      <c r="I77" s="13" t="str">
        <f t="shared" ca="1" si="31"/>
        <v/>
      </c>
      <c r="J77" s="15"/>
      <c r="K77" s="16"/>
      <c r="L77" s="13">
        <f t="shared" si="23"/>
        <v>74.930232558139537</v>
      </c>
      <c r="M77" s="13">
        <f t="shared" si="24"/>
        <v>0</v>
      </c>
      <c r="N77" s="13">
        <v>263</v>
      </c>
      <c r="O77" s="15">
        <v>5</v>
      </c>
      <c r="P77" s="2"/>
      <c r="Q77" s="2"/>
      <c r="R77" s="2"/>
      <c r="S77" s="18" t="str">
        <f t="shared" ca="1" si="25"/>
        <v/>
      </c>
      <c r="T77" s="20" t="str">
        <f t="shared" ca="1" si="26"/>
        <v/>
      </c>
      <c r="U77" s="18" t="str">
        <f t="shared" ca="1" si="27"/>
        <v/>
      </c>
      <c r="V77" s="20" t="str">
        <f t="shared" ca="1" si="28"/>
        <v/>
      </c>
      <c r="W77" s="21" t="str">
        <f t="shared" ca="1" si="29"/>
        <v/>
      </c>
      <c r="X77" s="21" t="str">
        <f t="shared" ca="1" si="32"/>
        <v/>
      </c>
      <c r="Y77" s="2"/>
      <c r="Z77" s="2"/>
    </row>
    <row r="78" spans="1:26" ht="14.25" customHeight="1" x14ac:dyDescent="0.45">
      <c r="A78" s="12" t="s">
        <v>25</v>
      </c>
      <c r="B78" s="12" t="s">
        <v>68</v>
      </c>
      <c r="C78" s="13">
        <v>8</v>
      </c>
      <c r="D78" s="13">
        <v>810</v>
      </c>
      <c r="E78" s="13" t="str">
        <f t="shared" ca="1" si="30"/>
        <v/>
      </c>
      <c r="F78" s="15"/>
      <c r="G78" s="16"/>
      <c r="H78" s="13"/>
      <c r="I78" s="13" t="str">
        <f t="shared" ca="1" si="31"/>
        <v/>
      </c>
      <c r="J78" s="15"/>
      <c r="K78" s="16"/>
      <c r="L78" s="13">
        <f t="shared" si="23"/>
        <v>101.25</v>
      </c>
      <c r="M78" s="13">
        <f t="shared" si="24"/>
        <v>0</v>
      </c>
      <c r="N78" s="13">
        <v>185</v>
      </c>
      <c r="O78" s="15">
        <v>4</v>
      </c>
      <c r="P78" s="2"/>
      <c r="Q78" s="2"/>
      <c r="R78" s="2"/>
      <c r="S78" s="18" t="str">
        <f t="shared" ca="1" si="25"/>
        <v/>
      </c>
      <c r="T78" s="20" t="str">
        <f t="shared" ca="1" si="26"/>
        <v/>
      </c>
      <c r="U78" s="18" t="str">
        <f t="shared" ca="1" si="27"/>
        <v/>
      </c>
      <c r="V78" s="20" t="str">
        <f t="shared" ca="1" si="28"/>
        <v/>
      </c>
      <c r="W78" s="21" t="str">
        <f t="shared" ca="1" si="29"/>
        <v/>
      </c>
      <c r="X78" s="21" t="str">
        <f t="shared" ca="1" si="32"/>
        <v/>
      </c>
      <c r="Y78" s="2"/>
      <c r="Z78" s="2"/>
    </row>
    <row r="79" spans="1:26" ht="14.25" customHeight="1" x14ac:dyDescent="0.45">
      <c r="A79" s="12" t="s">
        <v>25</v>
      </c>
      <c r="B79" s="12" t="s">
        <v>69</v>
      </c>
      <c r="C79" s="13">
        <v>7</v>
      </c>
      <c r="D79" s="13">
        <v>156</v>
      </c>
      <c r="E79" s="13" t="str">
        <f t="shared" ca="1" si="30"/>
        <v/>
      </c>
      <c r="F79" s="15"/>
      <c r="G79" s="16"/>
      <c r="H79" s="13"/>
      <c r="I79" s="13" t="str">
        <f t="shared" ca="1" si="31"/>
        <v/>
      </c>
      <c r="J79" s="15"/>
      <c r="K79" s="16"/>
      <c r="L79" s="13">
        <f t="shared" si="23"/>
        <v>22.285714285714285</v>
      </c>
      <c r="M79" s="13">
        <f t="shared" si="24"/>
        <v>0</v>
      </c>
      <c r="N79" s="13">
        <v>35</v>
      </c>
      <c r="O79" s="15">
        <v>2</v>
      </c>
      <c r="P79" s="2"/>
      <c r="Q79" s="2"/>
      <c r="R79" s="2"/>
      <c r="S79" s="18" t="str">
        <f t="shared" ca="1" si="25"/>
        <v/>
      </c>
      <c r="T79" s="20" t="str">
        <f t="shared" ca="1" si="26"/>
        <v/>
      </c>
      <c r="U79" s="18" t="str">
        <f t="shared" ca="1" si="27"/>
        <v/>
      </c>
      <c r="V79" s="20" t="str">
        <f t="shared" ca="1" si="28"/>
        <v/>
      </c>
      <c r="W79" s="21" t="str">
        <f t="shared" ca="1" si="29"/>
        <v/>
      </c>
      <c r="X79" s="21" t="str">
        <f t="shared" ca="1" si="32"/>
        <v/>
      </c>
      <c r="Y79" s="2"/>
      <c r="Z79" s="2"/>
    </row>
    <row r="80" spans="1:26" ht="14.25" customHeight="1" x14ac:dyDescent="0.45">
      <c r="A80" s="12" t="s">
        <v>25</v>
      </c>
      <c r="B80" s="12" t="s">
        <v>43</v>
      </c>
      <c r="C80" s="13">
        <v>96</v>
      </c>
      <c r="D80" s="13">
        <v>141883</v>
      </c>
      <c r="E80" s="13" t="str">
        <f t="shared" ca="1" si="30"/>
        <v/>
      </c>
      <c r="F80" s="15"/>
      <c r="G80" s="16"/>
      <c r="H80" s="13"/>
      <c r="I80" s="13" t="str">
        <f t="shared" ca="1" si="31"/>
        <v/>
      </c>
      <c r="J80" s="15"/>
      <c r="K80" s="16"/>
      <c r="L80" s="13">
        <f t="shared" si="23"/>
        <v>1477.9479166666667</v>
      </c>
      <c r="M80" s="13">
        <f t="shared" si="24"/>
        <v>0</v>
      </c>
      <c r="N80" s="13">
        <v>3774</v>
      </c>
      <c r="O80" s="15">
        <v>51</v>
      </c>
      <c r="P80" s="2"/>
      <c r="Q80" s="2"/>
      <c r="R80" s="2"/>
      <c r="S80" s="18" t="str">
        <f t="shared" ca="1" si="25"/>
        <v/>
      </c>
      <c r="T80" s="20" t="str">
        <f t="shared" ca="1" si="26"/>
        <v/>
      </c>
      <c r="U80" s="18" t="str">
        <f t="shared" ca="1" si="27"/>
        <v/>
      </c>
      <c r="V80" s="20" t="str">
        <f t="shared" ca="1" si="28"/>
        <v/>
      </c>
      <c r="W80" s="21" t="str">
        <f t="shared" ca="1" si="29"/>
        <v/>
      </c>
      <c r="X80" s="21" t="str">
        <f t="shared" ca="1" si="32"/>
        <v/>
      </c>
      <c r="Y80" s="2"/>
      <c r="Z80" s="2"/>
    </row>
    <row r="81" spans="1:26" ht="14.25" customHeight="1" x14ac:dyDescent="0.45">
      <c r="A81" s="12" t="s">
        <v>25</v>
      </c>
      <c r="B81" s="12" t="s">
        <v>44</v>
      </c>
      <c r="C81" s="13">
        <v>94</v>
      </c>
      <c r="D81" s="13">
        <v>70716</v>
      </c>
      <c r="E81" s="13" t="str">
        <f t="shared" ca="1" si="30"/>
        <v/>
      </c>
      <c r="F81" s="15"/>
      <c r="G81" s="16"/>
      <c r="H81" s="13"/>
      <c r="I81" s="13" t="str">
        <f t="shared" ca="1" si="31"/>
        <v/>
      </c>
      <c r="J81" s="15"/>
      <c r="K81" s="16"/>
      <c r="L81" s="13">
        <f t="shared" si="23"/>
        <v>752.29787234042556</v>
      </c>
      <c r="M81" s="13">
        <f t="shared" si="24"/>
        <v>0</v>
      </c>
      <c r="N81" s="13">
        <v>1953</v>
      </c>
      <c r="O81" s="15">
        <v>8</v>
      </c>
      <c r="P81" s="2"/>
      <c r="Q81" s="2"/>
      <c r="R81" s="2"/>
      <c r="S81" s="18" t="str">
        <f t="shared" ca="1" si="25"/>
        <v/>
      </c>
      <c r="T81" s="20" t="str">
        <f t="shared" ca="1" si="26"/>
        <v/>
      </c>
      <c r="U81" s="18" t="str">
        <f t="shared" ca="1" si="27"/>
        <v/>
      </c>
      <c r="V81" s="20" t="str">
        <f t="shared" ca="1" si="28"/>
        <v/>
      </c>
      <c r="W81" s="21" t="str">
        <f t="shared" ca="1" si="29"/>
        <v/>
      </c>
      <c r="X81" s="21" t="str">
        <f t="shared" ca="1" si="32"/>
        <v/>
      </c>
      <c r="Y81" s="2"/>
      <c r="Z81" s="2"/>
    </row>
    <row r="82" spans="1:26" ht="14.25" customHeight="1" x14ac:dyDescent="0.45">
      <c r="A82" s="12" t="s">
        <v>25</v>
      </c>
      <c r="B82" s="12" t="s">
        <v>45</v>
      </c>
      <c r="C82" s="13">
        <v>87</v>
      </c>
      <c r="D82" s="13">
        <v>134691</v>
      </c>
      <c r="E82" s="13" t="str">
        <f t="shared" ca="1" si="30"/>
        <v/>
      </c>
      <c r="F82" s="15"/>
      <c r="G82" s="16"/>
      <c r="H82" s="13"/>
      <c r="I82" s="13" t="str">
        <f t="shared" ca="1" si="31"/>
        <v/>
      </c>
      <c r="J82" s="15"/>
      <c r="K82" s="16"/>
      <c r="L82" s="13">
        <f t="shared" si="23"/>
        <v>1548.1724137931035</v>
      </c>
      <c r="M82" s="13">
        <f t="shared" si="24"/>
        <v>0</v>
      </c>
      <c r="N82" s="13">
        <v>3509</v>
      </c>
      <c r="O82" s="15">
        <v>51</v>
      </c>
      <c r="P82" s="2"/>
      <c r="Q82" s="2"/>
      <c r="R82" s="2"/>
      <c r="S82" s="18" t="str">
        <f t="shared" ca="1" si="25"/>
        <v/>
      </c>
      <c r="T82" s="20" t="str">
        <f t="shared" ca="1" si="26"/>
        <v/>
      </c>
      <c r="U82" s="18" t="str">
        <f t="shared" ca="1" si="27"/>
        <v/>
      </c>
      <c r="V82" s="20" t="str">
        <f t="shared" ca="1" si="28"/>
        <v/>
      </c>
      <c r="W82" s="21" t="str">
        <f t="shared" ca="1" si="29"/>
        <v/>
      </c>
      <c r="X82" s="21" t="str">
        <f t="shared" ca="1" si="32"/>
        <v/>
      </c>
      <c r="Y82" s="2"/>
      <c r="Z82" s="2"/>
    </row>
    <row r="83" spans="1:26" ht="14.25" customHeight="1" x14ac:dyDescent="0.45">
      <c r="A83" s="12" t="s">
        <v>25</v>
      </c>
      <c r="B83" s="12" t="s">
        <v>46</v>
      </c>
      <c r="C83" s="13">
        <v>96</v>
      </c>
      <c r="D83" s="13">
        <v>56512</v>
      </c>
      <c r="E83" s="13" t="str">
        <f t="shared" ca="1" si="30"/>
        <v/>
      </c>
      <c r="F83" s="15"/>
      <c r="G83" s="16"/>
      <c r="H83" s="13"/>
      <c r="I83" s="13" t="str">
        <f t="shared" ca="1" si="31"/>
        <v/>
      </c>
      <c r="J83" s="15"/>
      <c r="K83" s="16"/>
      <c r="L83" s="13">
        <f t="shared" si="23"/>
        <v>588.66666666666663</v>
      </c>
      <c r="M83" s="13">
        <f t="shared" si="24"/>
        <v>0</v>
      </c>
      <c r="N83" s="13">
        <v>1519</v>
      </c>
      <c r="O83" s="15">
        <v>28</v>
      </c>
      <c r="P83" s="2"/>
      <c r="Q83" s="2"/>
      <c r="R83" s="2"/>
      <c r="S83" s="18" t="str">
        <f t="shared" ca="1" si="25"/>
        <v/>
      </c>
      <c r="T83" s="20" t="str">
        <f t="shared" ca="1" si="26"/>
        <v/>
      </c>
      <c r="U83" s="18" t="str">
        <f t="shared" ca="1" si="27"/>
        <v/>
      </c>
      <c r="V83" s="20" t="str">
        <f t="shared" ca="1" si="28"/>
        <v/>
      </c>
      <c r="W83" s="21" t="str">
        <f t="shared" ca="1" si="29"/>
        <v/>
      </c>
      <c r="X83" s="21" t="str">
        <f t="shared" ca="1" si="32"/>
        <v/>
      </c>
      <c r="Y83" s="2"/>
      <c r="Z83" s="2"/>
    </row>
    <row r="84" spans="1:26" ht="14.25" customHeight="1" x14ac:dyDescent="0.45">
      <c r="A84" s="12" t="s">
        <v>25</v>
      </c>
      <c r="B84" s="12" t="s">
        <v>47</v>
      </c>
      <c r="C84" s="13">
        <v>102</v>
      </c>
      <c r="D84" s="13">
        <v>24217</v>
      </c>
      <c r="E84" s="13" t="str">
        <f t="shared" ca="1" si="30"/>
        <v/>
      </c>
      <c r="F84" s="15"/>
      <c r="G84" s="16"/>
      <c r="H84" s="13"/>
      <c r="I84" s="13" t="str">
        <f t="shared" ca="1" si="31"/>
        <v/>
      </c>
      <c r="J84" s="15"/>
      <c r="K84" s="16"/>
      <c r="L84" s="13">
        <f t="shared" si="23"/>
        <v>237.42156862745097</v>
      </c>
      <c r="M84" s="13">
        <f t="shared" si="24"/>
        <v>0</v>
      </c>
      <c r="N84" s="13">
        <v>718</v>
      </c>
      <c r="O84" s="15">
        <v>9</v>
      </c>
      <c r="P84" s="2"/>
      <c r="Q84" s="2"/>
      <c r="R84" s="2"/>
      <c r="S84" s="18" t="str">
        <f t="shared" ca="1" si="25"/>
        <v/>
      </c>
      <c r="T84" s="20" t="str">
        <f t="shared" ca="1" si="26"/>
        <v/>
      </c>
      <c r="U84" s="18" t="str">
        <f t="shared" ca="1" si="27"/>
        <v/>
      </c>
      <c r="V84" s="20" t="str">
        <f t="shared" ca="1" si="28"/>
        <v/>
      </c>
      <c r="W84" s="21" t="str">
        <f t="shared" ca="1" si="29"/>
        <v/>
      </c>
      <c r="X84" s="21" t="str">
        <f t="shared" ca="1" si="32"/>
        <v/>
      </c>
      <c r="Y84" s="2"/>
      <c r="Z84" s="2"/>
    </row>
    <row r="85" spans="1:26" ht="14.25" customHeight="1" x14ac:dyDescent="0.45">
      <c r="A85" s="12" t="s">
        <v>25</v>
      </c>
      <c r="B85" s="12" t="s">
        <v>48</v>
      </c>
      <c r="C85" s="13">
        <v>63</v>
      </c>
      <c r="D85" s="13">
        <v>7988</v>
      </c>
      <c r="E85" s="13" t="str">
        <f t="shared" ca="1" si="30"/>
        <v/>
      </c>
      <c r="F85" s="15"/>
      <c r="G85" s="16"/>
      <c r="H85" s="13"/>
      <c r="I85" s="13" t="str">
        <f t="shared" ca="1" si="31"/>
        <v/>
      </c>
      <c r="J85" s="15"/>
      <c r="K85" s="16"/>
      <c r="L85" s="13">
        <f t="shared" si="23"/>
        <v>126.7936507936508</v>
      </c>
      <c r="M85" s="13">
        <f t="shared" si="24"/>
        <v>0</v>
      </c>
      <c r="N85" s="13">
        <v>257</v>
      </c>
      <c r="O85" s="15">
        <v>4</v>
      </c>
      <c r="P85" s="2"/>
      <c r="Q85" s="2"/>
      <c r="R85" s="2"/>
      <c r="S85" s="18" t="str">
        <f t="shared" ca="1" si="25"/>
        <v/>
      </c>
      <c r="T85" s="20" t="str">
        <f t="shared" ca="1" si="26"/>
        <v/>
      </c>
      <c r="U85" s="18" t="str">
        <f t="shared" ca="1" si="27"/>
        <v/>
      </c>
      <c r="V85" s="20" t="str">
        <f t="shared" ca="1" si="28"/>
        <v/>
      </c>
      <c r="W85" s="21" t="str">
        <f t="shared" ca="1" si="29"/>
        <v/>
      </c>
      <c r="X85" s="21" t="str">
        <f t="shared" ca="1" si="32"/>
        <v/>
      </c>
      <c r="Y85" s="2"/>
      <c r="Z85" s="2"/>
    </row>
    <row r="86" spans="1:26" ht="14.25" customHeight="1" x14ac:dyDescent="0.45">
      <c r="A86" s="12" t="s">
        <v>25</v>
      </c>
      <c r="B86" s="12" t="s">
        <v>49</v>
      </c>
      <c r="C86" s="13">
        <v>52</v>
      </c>
      <c r="D86" s="13">
        <v>45339</v>
      </c>
      <c r="E86" s="13" t="str">
        <f t="shared" ca="1" si="30"/>
        <v/>
      </c>
      <c r="F86" s="15"/>
      <c r="G86" s="16"/>
      <c r="H86" s="13"/>
      <c r="I86" s="13" t="str">
        <f t="shared" ca="1" si="31"/>
        <v/>
      </c>
      <c r="J86" s="15"/>
      <c r="K86" s="16"/>
      <c r="L86" s="13">
        <f t="shared" si="23"/>
        <v>871.90384615384619</v>
      </c>
      <c r="M86" s="13">
        <f t="shared" si="24"/>
        <v>0</v>
      </c>
      <c r="N86" s="13">
        <v>1838</v>
      </c>
      <c r="O86" s="15">
        <v>4</v>
      </c>
      <c r="P86" s="2"/>
      <c r="Q86" s="2"/>
      <c r="R86" s="2"/>
      <c r="S86" s="18" t="str">
        <f t="shared" ca="1" si="25"/>
        <v/>
      </c>
      <c r="T86" s="20" t="str">
        <f t="shared" ca="1" si="26"/>
        <v/>
      </c>
      <c r="U86" s="18" t="str">
        <f t="shared" ca="1" si="27"/>
        <v/>
      </c>
      <c r="V86" s="20" t="str">
        <f t="shared" ca="1" si="28"/>
        <v/>
      </c>
      <c r="W86" s="21" t="str">
        <f t="shared" ca="1" si="29"/>
        <v/>
      </c>
      <c r="X86" s="21" t="str">
        <f t="shared" ca="1" si="32"/>
        <v/>
      </c>
      <c r="Y86" s="2"/>
      <c r="Z86" s="2"/>
    </row>
    <row r="87" spans="1:26" ht="14.25" customHeight="1" x14ac:dyDescent="0.45">
      <c r="A87" s="12" t="s">
        <v>25</v>
      </c>
      <c r="B87" s="12" t="s">
        <v>50</v>
      </c>
      <c r="C87" s="13">
        <v>49</v>
      </c>
      <c r="D87" s="13">
        <v>10293</v>
      </c>
      <c r="E87" s="13" t="str">
        <f t="shared" ca="1" si="30"/>
        <v/>
      </c>
      <c r="F87" s="15"/>
      <c r="G87" s="16"/>
      <c r="H87" s="13"/>
      <c r="I87" s="13" t="str">
        <f t="shared" ca="1" si="31"/>
        <v/>
      </c>
      <c r="J87" s="15"/>
      <c r="K87" s="16"/>
      <c r="L87" s="13">
        <f t="shared" si="23"/>
        <v>210.0612244897959</v>
      </c>
      <c r="M87" s="13">
        <f t="shared" si="24"/>
        <v>0</v>
      </c>
      <c r="N87" s="13">
        <v>475</v>
      </c>
      <c r="O87" s="15">
        <v>13</v>
      </c>
      <c r="P87" s="2"/>
      <c r="Q87" s="2"/>
      <c r="R87" s="2"/>
      <c r="S87" s="18" t="str">
        <f t="shared" ca="1" si="25"/>
        <v/>
      </c>
      <c r="T87" s="20" t="str">
        <f t="shared" ca="1" si="26"/>
        <v/>
      </c>
      <c r="U87" s="18" t="str">
        <f t="shared" ca="1" si="27"/>
        <v/>
      </c>
      <c r="V87" s="20" t="str">
        <f t="shared" ca="1" si="28"/>
        <v/>
      </c>
      <c r="W87" s="21" t="str">
        <f t="shared" ca="1" si="29"/>
        <v/>
      </c>
      <c r="X87" s="21" t="str">
        <f t="shared" ca="1" si="32"/>
        <v/>
      </c>
      <c r="Y87" s="2"/>
      <c r="Z87" s="2"/>
    </row>
    <row r="88" spans="1:26" ht="14.25" customHeight="1" x14ac:dyDescent="0.45">
      <c r="A88" s="12" t="s">
        <v>25</v>
      </c>
      <c r="B88" s="12" t="s">
        <v>51</v>
      </c>
      <c r="C88" s="13">
        <v>30</v>
      </c>
      <c r="D88" s="13">
        <v>6253</v>
      </c>
      <c r="E88" s="13" t="str">
        <f t="shared" ca="1" si="30"/>
        <v/>
      </c>
      <c r="F88" s="15"/>
      <c r="G88" s="16"/>
      <c r="H88" s="13"/>
      <c r="I88" s="13" t="str">
        <f t="shared" ca="1" si="31"/>
        <v/>
      </c>
      <c r="J88" s="15"/>
      <c r="K88" s="16"/>
      <c r="L88" s="13">
        <f t="shared" si="23"/>
        <v>208.43333333333334</v>
      </c>
      <c r="M88" s="13">
        <f t="shared" si="24"/>
        <v>0</v>
      </c>
      <c r="N88" s="13">
        <v>402</v>
      </c>
      <c r="O88" s="15">
        <v>6</v>
      </c>
      <c r="P88" s="2"/>
      <c r="Q88" s="2"/>
      <c r="R88" s="2"/>
      <c r="S88" s="18" t="str">
        <f t="shared" ca="1" si="25"/>
        <v/>
      </c>
      <c r="T88" s="20" t="str">
        <f t="shared" ca="1" si="26"/>
        <v/>
      </c>
      <c r="U88" s="18" t="str">
        <f t="shared" ca="1" si="27"/>
        <v/>
      </c>
      <c r="V88" s="20" t="str">
        <f t="shared" ca="1" si="28"/>
        <v/>
      </c>
      <c r="W88" s="21" t="str">
        <f t="shared" ca="1" si="29"/>
        <v/>
      </c>
      <c r="X88" s="21" t="str">
        <f t="shared" ca="1" si="32"/>
        <v/>
      </c>
      <c r="Y88" s="2"/>
      <c r="Z88" s="2"/>
    </row>
    <row r="89" spans="1:26" ht="14.25" customHeight="1" x14ac:dyDescent="0.45">
      <c r="A89" s="12" t="s">
        <v>25</v>
      </c>
      <c r="B89" s="12" t="s">
        <v>52</v>
      </c>
      <c r="C89" s="13">
        <v>54</v>
      </c>
      <c r="D89" s="13">
        <v>9659</v>
      </c>
      <c r="E89" s="13" t="str">
        <f t="shared" ca="1" si="30"/>
        <v/>
      </c>
      <c r="F89" s="15"/>
      <c r="G89" s="16"/>
      <c r="H89" s="13"/>
      <c r="I89" s="13" t="str">
        <f t="shared" ca="1" si="31"/>
        <v/>
      </c>
      <c r="J89" s="15"/>
      <c r="K89" s="16"/>
      <c r="L89" s="13">
        <f t="shared" si="23"/>
        <v>178.87037037037038</v>
      </c>
      <c r="M89" s="13">
        <f t="shared" si="24"/>
        <v>0</v>
      </c>
      <c r="N89" s="13">
        <v>441</v>
      </c>
      <c r="O89" s="15">
        <v>2</v>
      </c>
      <c r="P89" s="2"/>
      <c r="Q89" s="2"/>
      <c r="R89" s="2"/>
      <c r="S89" s="18" t="str">
        <f t="shared" ca="1" si="25"/>
        <v/>
      </c>
      <c r="T89" s="20" t="str">
        <f t="shared" ca="1" si="26"/>
        <v/>
      </c>
      <c r="U89" s="18" t="str">
        <f t="shared" ca="1" si="27"/>
        <v/>
      </c>
      <c r="V89" s="20" t="str">
        <f t="shared" ca="1" si="28"/>
        <v/>
      </c>
      <c r="W89" s="21" t="str">
        <f t="shared" ca="1" si="29"/>
        <v/>
      </c>
      <c r="X89" s="21" t="str">
        <f t="shared" ca="1" si="32"/>
        <v/>
      </c>
      <c r="Y89" s="2"/>
      <c r="Z89" s="2"/>
    </row>
    <row r="90" spans="1:26" ht="14.25" customHeight="1" x14ac:dyDescent="0.45">
      <c r="A90" s="12" t="s">
        <v>25</v>
      </c>
      <c r="B90" s="12" t="s">
        <v>53</v>
      </c>
      <c r="C90" s="13">
        <v>58</v>
      </c>
      <c r="D90" s="13">
        <v>29380</v>
      </c>
      <c r="E90" s="13" t="str">
        <f t="shared" ca="1" si="30"/>
        <v/>
      </c>
      <c r="F90" s="15"/>
      <c r="G90" s="16"/>
      <c r="H90" s="13"/>
      <c r="I90" s="13" t="str">
        <f t="shared" ca="1" si="31"/>
        <v/>
      </c>
      <c r="J90" s="15"/>
      <c r="K90" s="16"/>
      <c r="L90" s="13">
        <f t="shared" si="23"/>
        <v>506.55172413793105</v>
      </c>
      <c r="M90" s="13">
        <f t="shared" si="24"/>
        <v>0</v>
      </c>
      <c r="N90" s="13">
        <v>1441</v>
      </c>
      <c r="O90" s="15">
        <v>6</v>
      </c>
      <c r="P90" s="2"/>
      <c r="Q90" s="2"/>
      <c r="R90" s="2"/>
      <c r="S90" s="18" t="str">
        <f t="shared" ca="1" si="25"/>
        <v/>
      </c>
      <c r="T90" s="20" t="str">
        <f t="shared" ca="1" si="26"/>
        <v/>
      </c>
      <c r="U90" s="18" t="str">
        <f t="shared" ca="1" si="27"/>
        <v/>
      </c>
      <c r="V90" s="20" t="str">
        <f t="shared" ca="1" si="28"/>
        <v/>
      </c>
      <c r="W90" s="21" t="str">
        <f t="shared" ca="1" si="29"/>
        <v/>
      </c>
      <c r="X90" s="21" t="str">
        <f t="shared" ca="1" si="32"/>
        <v/>
      </c>
      <c r="Y90" s="2"/>
      <c r="Z90" s="2"/>
    </row>
    <row r="91" spans="1:26" ht="14.25" customHeight="1" x14ac:dyDescent="0.45">
      <c r="A91" s="12" t="s">
        <v>25</v>
      </c>
      <c r="B91" s="12" t="s">
        <v>54</v>
      </c>
      <c r="C91" s="13">
        <v>63</v>
      </c>
      <c r="D91" s="13">
        <v>69350</v>
      </c>
      <c r="E91" s="13" t="str">
        <f t="shared" ca="1" si="30"/>
        <v/>
      </c>
      <c r="F91" s="15"/>
      <c r="G91" s="16"/>
      <c r="H91" s="13"/>
      <c r="I91" s="13" t="str">
        <f t="shared" ca="1" si="31"/>
        <v/>
      </c>
      <c r="J91" s="15"/>
      <c r="K91" s="16"/>
      <c r="L91" s="13">
        <f t="shared" si="23"/>
        <v>1100.7936507936508</v>
      </c>
      <c r="M91" s="13">
        <f t="shared" si="24"/>
        <v>0</v>
      </c>
      <c r="N91" s="13">
        <v>2209</v>
      </c>
      <c r="O91" s="15">
        <v>62</v>
      </c>
      <c r="P91" s="2"/>
      <c r="Q91" s="2"/>
      <c r="R91" s="2"/>
      <c r="S91" s="18" t="str">
        <f t="shared" ca="1" si="25"/>
        <v/>
      </c>
      <c r="T91" s="20" t="str">
        <f t="shared" ca="1" si="26"/>
        <v/>
      </c>
      <c r="U91" s="18" t="str">
        <f t="shared" ca="1" si="27"/>
        <v/>
      </c>
      <c r="V91" s="20" t="str">
        <f t="shared" ca="1" si="28"/>
        <v/>
      </c>
      <c r="W91" s="21" t="str">
        <f t="shared" ca="1" si="29"/>
        <v/>
      </c>
      <c r="X91" s="21" t="str">
        <f t="shared" ca="1" si="32"/>
        <v/>
      </c>
      <c r="Y91" s="2"/>
      <c r="Z91" s="2"/>
    </row>
    <row r="92" spans="1:26" ht="14.25" customHeight="1" x14ac:dyDescent="0.45">
      <c r="A92" s="12" t="s">
        <v>25</v>
      </c>
      <c r="B92" s="12" t="s">
        <v>55</v>
      </c>
      <c r="C92" s="13">
        <v>114</v>
      </c>
      <c r="D92" s="13">
        <v>47993</v>
      </c>
      <c r="E92" s="13" t="str">
        <f t="shared" ca="1" si="30"/>
        <v/>
      </c>
      <c r="F92" s="15"/>
      <c r="G92" s="16"/>
      <c r="H92" s="13"/>
      <c r="I92" s="13" t="str">
        <f t="shared" ca="1" si="31"/>
        <v/>
      </c>
      <c r="J92" s="15"/>
      <c r="K92" s="16"/>
      <c r="L92" s="13">
        <f t="shared" si="23"/>
        <v>420.99122807017545</v>
      </c>
      <c r="M92" s="13">
        <f t="shared" si="24"/>
        <v>0</v>
      </c>
      <c r="N92" s="13">
        <v>1010</v>
      </c>
      <c r="O92" s="15">
        <v>201</v>
      </c>
      <c r="P92" s="2"/>
      <c r="Q92" s="2"/>
      <c r="R92" s="2"/>
      <c r="S92" s="18" t="str">
        <f t="shared" ca="1" si="25"/>
        <v/>
      </c>
      <c r="T92" s="20" t="str">
        <f t="shared" ca="1" si="26"/>
        <v/>
      </c>
      <c r="U92" s="18" t="str">
        <f t="shared" ca="1" si="27"/>
        <v/>
      </c>
      <c r="V92" s="20" t="str">
        <f t="shared" ca="1" si="28"/>
        <v/>
      </c>
      <c r="W92" s="21" t="str">
        <f t="shared" ca="1" si="29"/>
        <v/>
      </c>
      <c r="X92" s="21" t="str">
        <f t="shared" ca="1" si="32"/>
        <v/>
      </c>
      <c r="Y92" s="2"/>
      <c r="Z92" s="2"/>
    </row>
    <row r="93" spans="1:26" ht="14.25" customHeight="1" x14ac:dyDescent="0.45">
      <c r="A93" s="12" t="s">
        <v>25</v>
      </c>
      <c r="B93" s="12" t="s">
        <v>56</v>
      </c>
      <c r="C93" s="13">
        <v>21</v>
      </c>
      <c r="D93" s="13">
        <v>10005</v>
      </c>
      <c r="E93" s="13" t="str">
        <f t="shared" ca="1" si="30"/>
        <v/>
      </c>
      <c r="F93" s="15"/>
      <c r="G93" s="16"/>
      <c r="H93" s="13"/>
      <c r="I93" s="13" t="str">
        <f t="shared" ca="1" si="31"/>
        <v/>
      </c>
      <c r="J93" s="15"/>
      <c r="K93" s="16"/>
      <c r="L93" s="13">
        <f t="shared" si="23"/>
        <v>476.42857142857144</v>
      </c>
      <c r="M93" s="13">
        <f t="shared" si="24"/>
        <v>0</v>
      </c>
      <c r="N93" s="13">
        <v>1331</v>
      </c>
      <c r="O93" s="15">
        <v>1</v>
      </c>
      <c r="P93" s="2"/>
      <c r="Q93" s="2"/>
      <c r="R93" s="2"/>
      <c r="S93" s="18" t="str">
        <f t="shared" ca="1" si="25"/>
        <v/>
      </c>
      <c r="T93" s="20" t="str">
        <f t="shared" ca="1" si="26"/>
        <v/>
      </c>
      <c r="U93" s="18" t="str">
        <f t="shared" ca="1" si="27"/>
        <v/>
      </c>
      <c r="V93" s="20" t="str">
        <f t="shared" ca="1" si="28"/>
        <v/>
      </c>
      <c r="W93" s="21" t="str">
        <f t="shared" ca="1" si="29"/>
        <v/>
      </c>
      <c r="X93" s="21" t="str">
        <f t="shared" ca="1" si="32"/>
        <v/>
      </c>
      <c r="Y93" s="2"/>
      <c r="Z93" s="2"/>
    </row>
    <row r="94" spans="1:26" ht="14.25" customHeight="1" x14ac:dyDescent="0.45">
      <c r="A94" s="12" t="s">
        <v>25</v>
      </c>
      <c r="B94" s="12" t="s">
        <v>61</v>
      </c>
      <c r="C94" s="13">
        <v>7</v>
      </c>
      <c r="D94" s="13">
        <v>794</v>
      </c>
      <c r="E94" s="13" t="str">
        <f t="shared" ca="1" si="30"/>
        <v/>
      </c>
      <c r="F94" s="15"/>
      <c r="G94" s="16"/>
      <c r="H94" s="13"/>
      <c r="I94" s="13" t="str">
        <f t="shared" ca="1" si="31"/>
        <v/>
      </c>
      <c r="J94" s="15"/>
      <c r="K94" s="16"/>
      <c r="L94" s="13">
        <f t="shared" si="23"/>
        <v>113.42857142857143</v>
      </c>
      <c r="M94" s="13">
        <f t="shared" si="24"/>
        <v>0</v>
      </c>
      <c r="N94" s="13">
        <v>226</v>
      </c>
      <c r="O94" s="15">
        <v>3</v>
      </c>
      <c r="P94" s="2"/>
      <c r="Q94" s="2"/>
      <c r="R94" s="2"/>
      <c r="S94" s="18" t="str">
        <f t="shared" ca="1" si="25"/>
        <v/>
      </c>
      <c r="T94" s="20" t="str">
        <f t="shared" ca="1" si="26"/>
        <v/>
      </c>
      <c r="U94" s="18" t="str">
        <f t="shared" ca="1" si="27"/>
        <v/>
      </c>
      <c r="V94" s="20" t="str">
        <f t="shared" ca="1" si="28"/>
        <v/>
      </c>
      <c r="W94" s="21" t="str">
        <f t="shared" ca="1" si="29"/>
        <v/>
      </c>
      <c r="X94" s="21" t="str">
        <f t="shared" ca="1" si="32"/>
        <v/>
      </c>
      <c r="Y94" s="2"/>
      <c r="Z94" s="2"/>
    </row>
    <row r="95" spans="1:26" ht="14.25" customHeight="1" x14ac:dyDescent="0.45">
      <c r="A95" s="12" t="s">
        <v>25</v>
      </c>
      <c r="B95" s="12" t="s">
        <v>65</v>
      </c>
      <c r="C95" s="13">
        <v>5</v>
      </c>
      <c r="D95" s="13">
        <v>1952</v>
      </c>
      <c r="E95" s="13" t="str">
        <f t="shared" ca="1" si="30"/>
        <v/>
      </c>
      <c r="F95" s="15"/>
      <c r="G95" s="16"/>
      <c r="H95" s="13"/>
      <c r="I95" s="13" t="str">
        <f t="shared" ca="1" si="31"/>
        <v/>
      </c>
      <c r="J95" s="15"/>
      <c r="K95" s="16"/>
      <c r="L95" s="13">
        <f t="shared" si="23"/>
        <v>390.4</v>
      </c>
      <c r="M95" s="13">
        <f t="shared" si="24"/>
        <v>0</v>
      </c>
      <c r="N95" s="13">
        <v>248</v>
      </c>
      <c r="O95" s="15">
        <v>5</v>
      </c>
      <c r="P95" s="2"/>
      <c r="Q95" s="2"/>
      <c r="R95" s="2"/>
      <c r="S95" s="18" t="str">
        <f t="shared" ca="1" si="25"/>
        <v/>
      </c>
      <c r="T95" s="20" t="str">
        <f t="shared" ca="1" si="26"/>
        <v/>
      </c>
      <c r="U95" s="18" t="str">
        <f t="shared" ca="1" si="27"/>
        <v/>
      </c>
      <c r="V95" s="20" t="str">
        <f t="shared" ca="1" si="28"/>
        <v/>
      </c>
      <c r="W95" s="21" t="str">
        <f t="shared" ca="1" si="29"/>
        <v/>
      </c>
      <c r="X95" s="21" t="str">
        <f t="shared" ca="1" si="32"/>
        <v/>
      </c>
      <c r="Y95" s="2"/>
      <c r="Z95" s="2"/>
    </row>
    <row r="96" spans="1:26" ht="14.25" customHeight="1" x14ac:dyDescent="0.45">
      <c r="A96" s="25"/>
      <c r="B96" s="25" t="s">
        <v>71</v>
      </c>
      <c r="C96" s="26">
        <f>SUM(C75:C95)</f>
        <v>1430</v>
      </c>
      <c r="D96" s="26">
        <f>SUM(D75:D95)</f>
        <v>884810</v>
      </c>
      <c r="E96" s="26">
        <f ca="1">SUM(E75:E95)</f>
        <v>0</v>
      </c>
      <c r="F96" s="27">
        <f>SUM(F75:F95)</f>
        <v>0</v>
      </c>
      <c r="G96" s="28" t="str">
        <f ca="1">IF(C96=0,"",IFERROR(F96/E96,""))</f>
        <v/>
      </c>
      <c r="H96" s="26">
        <f>SUM(H75:H95)</f>
        <v>0</v>
      </c>
      <c r="I96" s="26">
        <f ca="1">SUM(I75:I95)</f>
        <v>0</v>
      </c>
      <c r="J96" s="27">
        <f>SUM(J75:J95)</f>
        <v>0</v>
      </c>
      <c r="K96" s="28" t="str">
        <f ca="1">IF(C96=0,"",IFERROR(J96/I96,""))</f>
        <v/>
      </c>
      <c r="L96" s="26">
        <f t="shared" si="23"/>
        <v>618.74825174825173</v>
      </c>
      <c r="M96" s="26">
        <f t="shared" si="24"/>
        <v>0</v>
      </c>
      <c r="N96" s="26">
        <f>SUM(N75:N95)</f>
        <v>28168</v>
      </c>
      <c r="O96" s="27">
        <f>SUM(O75:O95)</f>
        <v>482</v>
      </c>
      <c r="P96" s="2"/>
      <c r="Q96" s="2"/>
      <c r="R96" s="2"/>
      <c r="S96" s="29" t="str">
        <f t="shared" ca="1" si="25"/>
        <v/>
      </c>
      <c r="T96" s="30" t="str">
        <f t="shared" ca="1" si="26"/>
        <v/>
      </c>
      <c r="U96" s="29" t="str">
        <f t="shared" ca="1" si="27"/>
        <v/>
      </c>
      <c r="V96" s="30" t="str">
        <f t="shared" ca="1" si="28"/>
        <v/>
      </c>
      <c r="W96" s="31" t="str">
        <f t="shared" ca="1" si="29"/>
        <v/>
      </c>
      <c r="X96" s="31" t="str">
        <f ca="1">IF(OR(C96=0,$O96="",$W96=""),"",$O96-$W96)</f>
        <v/>
      </c>
      <c r="Y96" s="2"/>
      <c r="Z96" s="2"/>
    </row>
    <row r="97" spans="1:26" ht="14.25" customHeight="1" x14ac:dyDescent="0.45">
      <c r="A97" s="39"/>
      <c r="B97" s="39" t="s">
        <v>72</v>
      </c>
      <c r="C97" s="40">
        <f>C30+C51+C74+C96</f>
        <v>6185</v>
      </c>
      <c r="D97" s="40">
        <f>D30+D51+D74+D96</f>
        <v>4672077</v>
      </c>
      <c r="E97" s="40">
        <f ca="1">E30+E51+E74+E96</f>
        <v>0</v>
      </c>
      <c r="F97" s="41">
        <f>F30+F51+F74+F96</f>
        <v>0</v>
      </c>
      <c r="G97" s="42" t="str">
        <f ca="1">IF(OR(C30=0,C51=0,C74=0,C96=0),"",IFERROR(F97/E97,""))</f>
        <v/>
      </c>
      <c r="H97" s="40">
        <f>H30+H51+H74+H96</f>
        <v>38365</v>
      </c>
      <c r="I97" s="40">
        <f ca="1">I30+I51+I74+I96</f>
        <v>0</v>
      </c>
      <c r="J97" s="41">
        <f>J30+J51+J74+J96</f>
        <v>0</v>
      </c>
      <c r="K97" s="42" t="str">
        <f ca="1">IF(OR(C30=0,C51=0,C74=0,C96=0),"",IFERROR(J97/I97,""))</f>
        <v/>
      </c>
      <c r="L97" s="40">
        <f t="shared" si="23"/>
        <v>755.38835893290218</v>
      </c>
      <c r="M97" s="40">
        <f t="shared" si="24"/>
        <v>8.2115513079086657</v>
      </c>
      <c r="N97" s="40">
        <f>N30+N51+N74+N96</f>
        <v>688303</v>
      </c>
      <c r="O97" s="41">
        <f>O30+O51+O74+O96</f>
        <v>5503</v>
      </c>
      <c r="P97" s="2"/>
      <c r="Q97" s="2"/>
      <c r="R97" s="2"/>
      <c r="S97" s="29" t="str">
        <f t="shared" ca="1" si="25"/>
        <v/>
      </c>
      <c r="T97" s="30" t="str">
        <f t="shared" ca="1" si="26"/>
        <v/>
      </c>
      <c r="U97" s="29" t="str">
        <f t="shared" ca="1" si="27"/>
        <v/>
      </c>
      <c r="V97" s="30" t="str">
        <f t="shared" ca="1" si="28"/>
        <v/>
      </c>
      <c r="W97" s="31" t="str">
        <f t="shared" ca="1" si="29"/>
        <v/>
      </c>
      <c r="X97" s="31" t="e">
        <f ca="1">IF(OR(C30=0,C51=0,C74=0,C96=0),"",$O97-$W97)</f>
        <v>#VALUE!</v>
      </c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:O96" xr:uid="{00000000-0009-0000-0000-000005000000}"/>
  <conditionalFormatting sqref="G3:G97">
    <cfRule type="expression" dxfId="31" priority="1" stopIfTrue="1">
      <formula>AND(ISNUMBER(G3),G3&gt;=0.2)</formula>
    </cfRule>
    <cfRule type="expression" dxfId="30" priority="2" stopIfTrue="1">
      <formula>AND(ISNUMBER(G3),G3&lt;=-0.2)</formula>
    </cfRule>
    <cfRule type="expression" dxfId="29" priority="3" stopIfTrue="1">
      <formula>AND(ISNUMBER(G3),G3&gt;0)</formula>
    </cfRule>
    <cfRule type="expression" dxfId="28" priority="4" stopIfTrue="1">
      <formula>AND(ISNUMBER(G3),G3&lt;0)</formula>
    </cfRule>
  </conditionalFormatting>
  <conditionalFormatting sqref="K3:K97">
    <cfRule type="expression" dxfId="27" priority="5" stopIfTrue="1">
      <formula>AND(ISNUMBER(K3),K3&gt;=0.2)</formula>
    </cfRule>
    <cfRule type="expression" dxfId="26" priority="6" stopIfTrue="1">
      <formula>AND(ISNUMBER(K3),K3&lt;=-0.2)</formula>
    </cfRule>
    <cfRule type="expression" dxfId="25" priority="7" stopIfTrue="1">
      <formula>AND(ISNUMBER(K3),K3&gt;0)</formula>
    </cfRule>
    <cfRule type="expression" dxfId="24" priority="8" stopIfTrue="1">
      <formula>AND(ISNUMBER(K3),K3&lt;0)</formula>
    </cfRule>
  </conditionalFormatting>
  <conditionalFormatting sqref="T3:T97">
    <cfRule type="expression" dxfId="23" priority="9" stopIfTrue="1">
      <formula>AND(ISNUMBER(T3),T3&gt;=0.2)</formula>
    </cfRule>
    <cfRule type="expression" dxfId="22" priority="10" stopIfTrue="1">
      <formula>AND(ISNUMBER(T3),T3&lt;=-0.2)</formula>
    </cfRule>
    <cfRule type="expression" dxfId="21" priority="11" stopIfTrue="1">
      <formula>AND(ISNUMBER(T3),T3&gt;0)</formula>
    </cfRule>
    <cfRule type="expression" dxfId="20" priority="12" stopIfTrue="1">
      <formula>AND(ISNUMBER(T3),T3&lt;0)</formula>
    </cfRule>
  </conditionalFormatting>
  <conditionalFormatting sqref="V3:V97">
    <cfRule type="expression" dxfId="19" priority="13" stopIfTrue="1">
      <formula>AND(ISNUMBER(V3),V3&gt;=0.2)</formula>
    </cfRule>
    <cfRule type="expression" dxfId="18" priority="14" stopIfTrue="1">
      <formula>AND(ISNUMBER(V3),V3&lt;=-0.2)</formula>
    </cfRule>
    <cfRule type="expression" dxfId="17" priority="15" stopIfTrue="1">
      <formula>AND(ISNUMBER(V3),V3&gt;0)</formula>
    </cfRule>
    <cfRule type="expression" dxfId="16" priority="16" stopIfTrue="1">
      <formula>AND(ISNUMBER(V3),V3&lt;0)</formula>
    </cfRule>
  </conditionalFormatting>
  <conditionalFormatting sqref="F3:F97">
    <cfRule type="expression" dxfId="15" priority="17" stopIfTrue="1">
      <formula>AND(ISNUMBER(F3),F3&gt;0)</formula>
    </cfRule>
    <cfRule type="expression" dxfId="14" priority="18" stopIfTrue="1">
      <formula>AND(ISNUMBER(F3),F3&lt;0)</formula>
    </cfRule>
  </conditionalFormatting>
  <conditionalFormatting sqref="J3:J97">
    <cfRule type="expression" dxfId="13" priority="19" stopIfTrue="1">
      <formula>AND(ISNUMBER(J3),J3&gt;0)</formula>
    </cfRule>
    <cfRule type="expression" dxfId="12" priority="20" stopIfTrue="1">
      <formula>AND(ISNUMBER(J3),J3&lt;0)</formula>
    </cfRule>
  </conditionalFormatting>
  <conditionalFormatting sqref="O3:O97">
    <cfRule type="expression" dxfId="11" priority="21" stopIfTrue="1">
      <formula>AND(ISNUMBER(O3),O3&gt;0)</formula>
    </cfRule>
    <cfRule type="expression" dxfId="10" priority="22" stopIfTrue="1">
      <formula>AND(ISNUMBER(O3),O3&lt;0)</formula>
    </cfRule>
  </conditionalFormatting>
  <conditionalFormatting sqref="X3:X97">
    <cfRule type="expression" dxfId="9" priority="23" stopIfTrue="1">
      <formula>AND(ISNUMBER(X3),X3&gt;0)</formula>
    </cfRule>
    <cfRule type="expression" dxfId="8" priority="24" stopIfTrue="1">
      <formula>AND(ISNUMBER(X3),X3&lt;0)</formula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2" sqref="F22"/>
    </sheetView>
  </sheetViews>
  <sheetFormatPr defaultColWidth="14.3984375" defaultRowHeight="15" customHeight="1" x14ac:dyDescent="0.45"/>
  <cols>
    <col min="1" max="1" width="24" style="56" customWidth="1"/>
    <col min="2" max="2" width="11" style="56" customWidth="1"/>
    <col min="3" max="4" width="10" style="56" customWidth="1"/>
    <col min="5" max="5" width="11" style="56" customWidth="1"/>
    <col min="6" max="7" width="12" style="56" customWidth="1"/>
    <col min="8" max="8" width="10" style="56" customWidth="1"/>
    <col min="9" max="10" width="9" style="56" customWidth="1"/>
    <col min="11" max="11" width="10" style="56" customWidth="1"/>
    <col min="12" max="12" width="11" style="56" customWidth="1"/>
    <col min="13" max="13" width="12" style="56" customWidth="1"/>
    <col min="14" max="14" width="11" style="56" customWidth="1"/>
    <col min="15" max="15" width="14" style="56" customWidth="1"/>
  </cols>
  <sheetData>
    <row r="1" spans="1:26" ht="17.25" customHeight="1" x14ac:dyDescent="0.5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45">
      <c r="A2" s="8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45">
      <c r="A3" s="22" t="s">
        <v>82</v>
      </c>
      <c r="B3" s="57" t="s">
        <v>8</v>
      </c>
      <c r="C3" s="58"/>
      <c r="D3" s="58"/>
      <c r="E3" s="58"/>
      <c r="F3" s="58"/>
      <c r="G3" s="58"/>
      <c r="H3" s="57" t="s">
        <v>11</v>
      </c>
      <c r="I3" s="58"/>
      <c r="J3" s="58"/>
      <c r="K3" s="58"/>
      <c r="L3" s="58"/>
      <c r="M3" s="5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7.5" customHeight="1" x14ac:dyDescent="0.45">
      <c r="A4" s="5" t="s">
        <v>83</v>
      </c>
      <c r="B4" s="5" t="s">
        <v>84</v>
      </c>
      <c r="C4" s="5" t="s">
        <v>85</v>
      </c>
      <c r="D4" s="5" t="s">
        <v>86</v>
      </c>
      <c r="E4" s="5" t="s">
        <v>25</v>
      </c>
      <c r="F4" s="5" t="s">
        <v>87</v>
      </c>
      <c r="G4" s="5" t="s">
        <v>88</v>
      </c>
      <c r="H4" s="5" t="s">
        <v>84</v>
      </c>
      <c r="I4" s="5" t="s">
        <v>85</v>
      </c>
      <c r="J4" s="5" t="s">
        <v>86</v>
      </c>
      <c r="K4" s="5" t="s">
        <v>25</v>
      </c>
      <c r="L4" s="5" t="s">
        <v>87</v>
      </c>
      <c r="M4" s="5" t="s">
        <v>88</v>
      </c>
      <c r="N4" s="5" t="s">
        <v>7</v>
      </c>
      <c r="O4" s="5" t="s">
        <v>13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45">
      <c r="A5" s="43" t="s">
        <v>89</v>
      </c>
      <c r="B5" s="44"/>
      <c r="C5" s="44"/>
      <c r="D5" s="44"/>
      <c r="E5" s="44"/>
      <c r="F5" s="44"/>
      <c r="G5" s="45"/>
      <c r="H5" s="44"/>
      <c r="I5" s="44"/>
      <c r="J5" s="44"/>
      <c r="K5" s="44"/>
      <c r="L5" s="44"/>
      <c r="M5" s="45"/>
      <c r="N5" s="44"/>
      <c r="O5" s="4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45">
      <c r="A6" s="12" t="s">
        <v>37</v>
      </c>
      <c r="B6" s="13">
        <f t="array" aca="1" ref="B6" ca="1">IF(INDIRECT("'"&amp;Сводка!$B$2&amp;"'!D3")="","—",INDIRECT("'"&amp;Сводка!$B$2&amp;"'!D3"))</f>
        <v>1913477</v>
      </c>
      <c r="C6" s="13">
        <f t="array" aca="1" ref="C6" ca="1">IF(INDIRECT("'"&amp;Сводка!$B$2&amp;"'!D31")="","—",INDIRECT("'"&amp;Сводка!$B$2&amp;"'!D31"))</f>
        <v>25088</v>
      </c>
      <c r="D6" s="13">
        <f t="array" aca="1" ref="D6" ca="1">IF(INDIRECT("'"&amp;Сводка!$B$2&amp;"'!D52")="","—",INDIRECT("'"&amp;Сводка!$B$2&amp;"'!D52"))</f>
        <v>86846</v>
      </c>
      <c r="E6" s="13">
        <f t="array" aca="1" ref="E6" ca="1">IF(INDIRECT("'"&amp;Сводка!$B$2&amp;"'!D75")="","—",INDIRECT("'"&amp;Сводка!$B$2&amp;"'!D75"))</f>
        <v>157919</v>
      </c>
      <c r="F6" s="13">
        <f t="array" aca="1" ref="F6" ca="1">N(INDIRECT("'"&amp;Сводка!$B$2&amp;"'!D3"))+N(INDIRECT("'"&amp;Сводка!$B$2&amp;"'!D31"))+N(INDIRECT("'"&amp;Сводка!$B$2&amp;"'!D52"))+N(INDIRECT("'"&amp;Сводка!$B$2&amp;"'!D75"))</f>
        <v>2183330</v>
      </c>
      <c r="G6" s="16">
        <f t="array" aca="1" ref="G6" ca="1">IFERROR(F6/(N(INDIRECT("'"&amp;Сводка!$B$3&amp;"'!D3"))+N(INDIRECT("'"&amp;Сводка!$B$3&amp;"'!D31"))+N(INDIRECT("'"&amp;Сводка!$B$3&amp;"'!D52"))+N(INDIRECT("'"&amp;Сводка!$B$3&amp;"'!D75")))-1,"")</f>
        <v>1.8681795789681108</v>
      </c>
      <c r="H6" s="13">
        <f t="array" aca="1" ref="H6" ca="1">IF(INDIRECT("'"&amp;Сводка!$B$2&amp;"'!H3")="","—",INDIRECT("'"&amp;Сводка!$B$2&amp;"'!H3"))</f>
        <v>4474</v>
      </c>
      <c r="I6" s="13">
        <f t="array" aca="1" ref="I6" ca="1">IF(INDIRECT("'"&amp;Сводка!$B$2&amp;"'!H31")="","—",INDIRECT("'"&amp;Сводка!$B$2&amp;"'!H31"))</f>
        <v>112</v>
      </c>
      <c r="J6" s="13">
        <f t="array" aca="1" ref="J6" ca="1">IF(INDIRECT("'"&amp;Сводка!$B$2&amp;"'!H52")="","—",INDIRECT("'"&amp;Сводка!$B$2&amp;"'!H52"))</f>
        <v>262</v>
      </c>
      <c r="K6" s="13">
        <f t="array" aca="1" ref="K6" ca="1">IF(INDIRECT("'"&amp;Сводка!$B$2&amp;"'!H75")="","—",INDIRECT("'"&amp;Сводка!$B$2&amp;"'!H75"))</f>
        <v>1522</v>
      </c>
      <c r="L6" s="13">
        <f t="array" aca="1" ref="L6" ca="1">N(INDIRECT("'"&amp;Сводка!$B$2&amp;"'!H3"))+N(INDIRECT("'"&amp;Сводка!$B$2&amp;"'!H31"))+N(INDIRECT("'"&amp;Сводка!$B$2&amp;"'!H52"))+N(INDIRECT("'"&amp;Сводка!$B$2&amp;"'!H75"))</f>
        <v>6370</v>
      </c>
      <c r="M6" s="16">
        <f t="array" aca="1" ref="M6" ca="1">IFERROR(L6/(N(INDIRECT("'"&amp;Сводка!$B$3&amp;"'!H3"))+N(INDIRECT("'"&amp;Сводка!$B$3&amp;"'!H31"))+N(INDIRECT("'"&amp;Сводка!$B$3&amp;"'!H52"))+N(INDIRECT("'"&amp;Сводка!$B$3&amp;"'!H75")))-1,"")</f>
        <v>0.56472611152051089</v>
      </c>
      <c r="N6" s="13">
        <f t="array" aca="1" ref="N6" ca="1">N(INDIRECT("'"&amp;Сводка!$B$2&amp;"'!C3"))+N(INDIRECT("'"&amp;Сводка!$B$2&amp;"'!C31"))+N(INDIRECT("'"&amp;Сводка!$B$2&amp;"'!C52"))+N(INDIRECT("'"&amp;Сводка!$B$2&amp;"'!C75"))</f>
        <v>523</v>
      </c>
      <c r="O6" s="47">
        <f ca="1">IFERROR(L6/F6*1000,"")</f>
        <v>2.9175617062010781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45">
      <c r="A7" s="12" t="s">
        <v>39</v>
      </c>
      <c r="B7" s="13">
        <f t="array" aca="1" ref="B7" ca="1">IF(INDIRECT("'"&amp;Сводка!$B$2&amp;"'!D4")="","—",INDIRECT("'"&amp;Сводка!$B$2&amp;"'!D4"))</f>
        <v>126444</v>
      </c>
      <c r="C7" s="13">
        <f t="array" aca="1" ref="C7" ca="1">IF(INDIRECT("'"&amp;Сводка!$B$2&amp;"'!D32")="","—",INDIRECT("'"&amp;Сводка!$B$2&amp;"'!D32"))</f>
        <v>31127</v>
      </c>
      <c r="D7" s="13">
        <f t="array" aca="1" ref="D7" ca="1">IF(INDIRECT("'"&amp;Сводка!$B$2&amp;"'!D53")="","—",INDIRECT("'"&amp;Сводка!$B$2&amp;"'!D53"))</f>
        <v>15751</v>
      </c>
      <c r="E7" s="13">
        <f t="array" aca="1" ref="E7" ca="1">IF(INDIRECT("'"&amp;Сводка!$B$2&amp;"'!D76")="","—",INDIRECT("'"&amp;Сводка!$B$2&amp;"'!D76"))</f>
        <v>70495</v>
      </c>
      <c r="F7" s="13">
        <f t="array" aca="1" ref="F7" ca="1">N(INDIRECT("'"&amp;Сводка!$B$2&amp;"'!D4"))+N(INDIRECT("'"&amp;Сводка!$B$2&amp;"'!D32"))+N(INDIRECT("'"&amp;Сводка!$B$2&amp;"'!D53"))+N(INDIRECT("'"&amp;Сводка!$B$2&amp;"'!D76"))</f>
        <v>243817</v>
      </c>
      <c r="G7" s="16">
        <f t="array" aca="1" ref="G7" ca="1">IFERROR(F7/(N(INDIRECT("'"&amp;Сводка!$B$3&amp;"'!D4"))+N(INDIRECT("'"&amp;Сводка!$B$3&amp;"'!D32"))+N(INDIRECT("'"&amp;Сводка!$B$3&amp;"'!D53"))+N(INDIRECT("'"&amp;Сводка!$B$3&amp;"'!D76")))-1,"")</f>
        <v>-0.33648557813983992</v>
      </c>
      <c r="H7" s="13">
        <f t="array" aca="1" ref="H7" ca="1">IF(INDIRECT("'"&amp;Сводка!$B$2&amp;"'!H4")="","—",INDIRECT("'"&amp;Сводка!$B$2&amp;"'!H4"))</f>
        <v>528</v>
      </c>
      <c r="I7" s="13">
        <f t="array" aca="1" ref="I7" ca="1">IF(INDIRECT("'"&amp;Сводка!$B$2&amp;"'!H32")="","—",INDIRECT("'"&amp;Сводка!$B$2&amp;"'!H32"))</f>
        <v>35</v>
      </c>
      <c r="J7" s="13">
        <f t="array" aca="1" ref="J7" ca="1">IF(INDIRECT("'"&amp;Сводка!$B$2&amp;"'!H53")="","—",INDIRECT("'"&amp;Сводка!$B$2&amp;"'!H53"))</f>
        <v>58</v>
      </c>
      <c r="K7" s="13">
        <f t="array" aca="1" ref="K7" ca="1">IF(INDIRECT("'"&amp;Сводка!$B$2&amp;"'!H76")="","—",INDIRECT("'"&amp;Сводка!$B$2&amp;"'!H76"))</f>
        <v>338</v>
      </c>
      <c r="L7" s="13">
        <f t="array" aca="1" ref="L7" ca="1">N(INDIRECT("'"&amp;Сводка!$B$2&amp;"'!H4"))+N(INDIRECT("'"&amp;Сводка!$B$2&amp;"'!H32"))+N(INDIRECT("'"&amp;Сводка!$B$2&amp;"'!H53"))+N(INDIRECT("'"&amp;Сводка!$B$2&amp;"'!H76"))</f>
        <v>959</v>
      </c>
      <c r="M7" s="16">
        <f t="array" aca="1" ref="M7" ca="1">IFERROR(L7/(N(INDIRECT("'"&amp;Сводка!$B$3&amp;"'!H4"))+N(INDIRECT("'"&amp;Сводка!$B$3&amp;"'!H32"))+N(INDIRECT("'"&amp;Сводка!$B$3&amp;"'!H53"))+N(INDIRECT("'"&amp;Сводка!$B$3&amp;"'!H76")))-1,"")</f>
        <v>-0.12179487179487181</v>
      </c>
      <c r="N7" s="13">
        <f t="array" aca="1" ref="N7" ca="1">N(INDIRECT("'"&amp;Сводка!$B$2&amp;"'!C4"))+N(INDIRECT("'"&amp;Сводка!$B$2&amp;"'!C32"))+N(INDIRECT("'"&amp;Сводка!$B$2&amp;"'!C53"))+N(INDIRECT("'"&amp;Сводка!$B$2&amp;"'!C76"))</f>
        <v>520</v>
      </c>
      <c r="O7" s="47">
        <f ca="1">IFERROR(L7/F7*1000,"")</f>
        <v>3.9332778272228759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45">
      <c r="A8" s="12" t="s">
        <v>42</v>
      </c>
      <c r="B8" s="13">
        <f t="array" aca="1" ref="B8" ca="1">IF(INDIRECT("'"&amp;Сводка!$B$2&amp;"'!D6")="","—",INDIRECT("'"&amp;Сводка!$B$2&amp;"'!D6"))</f>
        <v>63285</v>
      </c>
      <c r="C8" s="13">
        <f t="array" aca="1" ref="C8" ca="1">IF(INDIRECT("'"&amp;Сводка!$B$2&amp;"'!D33")="","—",INDIRECT("'"&amp;Сводка!$B$2&amp;"'!D33"))</f>
        <v>24654</v>
      </c>
      <c r="D8" s="13">
        <f t="array" aca="1" ref="D8" ca="1">IF(INDIRECT("'"&amp;Сводка!$B$2&amp;"'!D54")="","—",INDIRECT("'"&amp;Сводка!$B$2&amp;"'!D54"))</f>
        <v>2041</v>
      </c>
      <c r="E8" s="13">
        <f t="array" aca="1" ref="E8" ca="1">IF(INDIRECT("'"&amp;Сводка!$B$2&amp;"'!D77")="","—",INDIRECT("'"&amp;Сводка!$B$2&amp;"'!D77"))</f>
        <v>6505</v>
      </c>
      <c r="F8" s="13">
        <f t="array" aca="1" ref="F8" ca="1">N(INDIRECT("'"&amp;Сводка!$B$2&amp;"'!D6"))+N(INDIRECT("'"&amp;Сводка!$B$2&amp;"'!D33"))+N(INDIRECT("'"&amp;Сводка!$B$2&amp;"'!D54"))+N(INDIRECT("'"&amp;Сводка!$B$2&amp;"'!D77"))</f>
        <v>96485</v>
      </c>
      <c r="G8" s="16">
        <f t="array" aca="1" ref="G8" ca="1">IFERROR(F8/(N(INDIRECT("'"&amp;Сводка!$B$3&amp;"'!D6"))+N(INDIRECT("'"&amp;Сводка!$B$3&amp;"'!D33"))+N(INDIRECT("'"&amp;Сводка!$B$3&amp;"'!D54"))+N(INDIRECT("'"&amp;Сводка!$B$3&amp;"'!D77")))-1,"")</f>
        <v>0.21066301947400112</v>
      </c>
      <c r="H8" s="13">
        <f t="array" aca="1" ref="H8" ca="1">IF(INDIRECT("'"&amp;Сводка!$B$2&amp;"'!H6")="","—",INDIRECT("'"&amp;Сводка!$B$2&amp;"'!H6"))</f>
        <v>343</v>
      </c>
      <c r="I8" s="13">
        <f t="array" aca="1" ref="I8" ca="1">IF(INDIRECT("'"&amp;Сводка!$B$2&amp;"'!H33")="","—",INDIRECT("'"&amp;Сводка!$B$2&amp;"'!H33"))</f>
        <v>18</v>
      </c>
      <c r="J8" s="13">
        <f t="array" aca="1" ref="J8" ca="1">IF(INDIRECT("'"&amp;Сводка!$B$2&amp;"'!H54")="","—",INDIRECT("'"&amp;Сводка!$B$2&amp;"'!H54"))</f>
        <v>2</v>
      </c>
      <c r="K8" s="13">
        <f t="array" aca="1" ref="K8" ca="1">IF(INDIRECT("'"&amp;Сводка!$B$2&amp;"'!H77")="","—",INDIRECT("'"&amp;Сводка!$B$2&amp;"'!H77"))</f>
        <v>20</v>
      </c>
      <c r="L8" s="13">
        <f t="array" aca="1" ref="L8" ca="1">N(INDIRECT("'"&amp;Сводка!$B$2&amp;"'!H6"))+N(INDIRECT("'"&amp;Сводка!$B$2&amp;"'!H33"))+N(INDIRECT("'"&amp;Сводка!$B$2&amp;"'!H54"))+N(INDIRECT("'"&amp;Сводка!$B$2&amp;"'!H77"))</f>
        <v>383</v>
      </c>
      <c r="M8" s="16">
        <f t="array" aca="1" ref="M8" ca="1">IFERROR(L8/(N(INDIRECT("'"&amp;Сводка!$B$3&amp;"'!H6"))+N(INDIRECT("'"&amp;Сводка!$B$3&amp;"'!H33"))+N(INDIRECT("'"&amp;Сводка!$B$3&amp;"'!H54"))+N(INDIRECT("'"&amp;Сводка!$B$3&amp;"'!H77")))-1,"")</f>
        <v>0.27666666666666662</v>
      </c>
      <c r="N8" s="13">
        <f t="array" aca="1" ref="N8" ca="1">N(INDIRECT("'"&amp;Сводка!$B$2&amp;"'!C6"))+N(INDIRECT("'"&amp;Сводка!$B$2&amp;"'!C33"))+N(INDIRECT("'"&amp;Сводка!$B$2&amp;"'!C54"))+N(INDIRECT("'"&amp;Сводка!$B$2&amp;"'!C77"))</f>
        <v>335</v>
      </c>
      <c r="O8" s="47">
        <f ca="1">IFERROR(L8/F8*1000,"")</f>
        <v>3.9695289423226408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45">
      <c r="A9" s="25" t="s">
        <v>90</v>
      </c>
      <c r="B9" s="26">
        <f ca="1">SUM(B6:B8)</f>
        <v>2103206</v>
      </c>
      <c r="C9" s="26">
        <f ca="1">SUM(C6:C8)</f>
        <v>80869</v>
      </c>
      <c r="D9" s="26">
        <f ca="1">SUM(D6:D8)</f>
        <v>104638</v>
      </c>
      <c r="E9" s="26">
        <f ca="1">SUM(E6:E8)</f>
        <v>234919</v>
      </c>
      <c r="F9" s="26">
        <f ca="1">SUM(F6:F8)</f>
        <v>2523632</v>
      </c>
      <c r="G9" s="28">
        <f t="array" aca="1" ref="G9" ca="1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>1.0884354642232932</v>
      </c>
      <c r="H9" s="26">
        <f ca="1">SUM(H6:H8)</f>
        <v>5345</v>
      </c>
      <c r="I9" s="26">
        <f ca="1">SUM(I6:I8)</f>
        <v>165</v>
      </c>
      <c r="J9" s="26">
        <f ca="1">SUM(J6:J8)</f>
        <v>322</v>
      </c>
      <c r="K9" s="26">
        <f ca="1">SUM(K6:K8)</f>
        <v>1880</v>
      </c>
      <c r="L9" s="26">
        <f ca="1">SUM(L6:L8)</f>
        <v>7712</v>
      </c>
      <c r="M9" s="28">
        <f t="array" aca="1" ref="M9" ca="1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>0.41167856489108545</v>
      </c>
      <c r="N9" s="26">
        <f ca="1">SUM(N6:N8)</f>
        <v>1378</v>
      </c>
      <c r="O9" s="52">
        <f ca="1">IFERROR(L9/F9*1000,"")</f>
        <v>3.0559130649793631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45">
      <c r="A10" s="2"/>
      <c r="B10" s="53"/>
      <c r="C10" s="53"/>
      <c r="D10" s="53"/>
      <c r="E10" s="53"/>
      <c r="F10" s="53"/>
      <c r="G10" s="54"/>
      <c r="H10" s="53"/>
      <c r="I10" s="53"/>
      <c r="J10" s="53"/>
      <c r="K10" s="53"/>
      <c r="L10" s="53"/>
      <c r="M10" s="54"/>
      <c r="N10" s="53"/>
      <c r="O10" s="5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45">
      <c r="A11" s="43" t="s">
        <v>91</v>
      </c>
      <c r="B11" s="44"/>
      <c r="C11" s="44"/>
      <c r="D11" s="44"/>
      <c r="E11" s="44"/>
      <c r="F11" s="44"/>
      <c r="G11" s="45"/>
      <c r="H11" s="44"/>
      <c r="I11" s="44"/>
      <c r="J11" s="44"/>
      <c r="K11" s="44"/>
      <c r="L11" s="44"/>
      <c r="M11" s="45"/>
      <c r="N11" s="44"/>
      <c r="O11" s="4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45">
      <c r="A12" s="12" t="s">
        <v>43</v>
      </c>
      <c r="B12" s="13">
        <f t="array" aca="1" ref="B12" ca="1">IF(INDIRECT("'"&amp;Сводка!$B$2&amp;"'!D7")="","—",INDIRECT("'"&amp;Сводка!$B$2&amp;"'!D7"))</f>
        <v>78870</v>
      </c>
      <c r="C12" s="13">
        <f t="array" aca="1" ref="C12" ca="1">IF(INDIRECT("'"&amp;Сводка!$B$2&amp;"'!D34")="","—",INDIRECT("'"&amp;Сводка!$B$2&amp;"'!D34"))</f>
        <v>604</v>
      </c>
      <c r="D12" s="13">
        <f t="array" aca="1" ref="D12" ca="1">IF(INDIRECT("'"&amp;Сводка!$B$2&amp;"'!D57")="","—",INDIRECT("'"&amp;Сводка!$B$2&amp;"'!D57"))</f>
        <v>63521</v>
      </c>
      <c r="E12" s="13">
        <f t="array" aca="1" ref="E12" ca="1">IF(INDIRECT("'"&amp;Сводка!$B$2&amp;"'!D80")="","—",INDIRECT("'"&amp;Сводка!$B$2&amp;"'!D80"))</f>
        <v>165080</v>
      </c>
      <c r="F12" s="13">
        <f t="array" aca="1" ref="F12" ca="1">N(INDIRECT("'"&amp;Сводка!$B$2&amp;"'!D7"))+N(INDIRECT("'"&amp;Сводка!$B$2&amp;"'!D34"))+N(INDIRECT("'"&amp;Сводка!$B$2&amp;"'!D57"))+N(INDIRECT("'"&amp;Сводка!$B$2&amp;"'!D80"))</f>
        <v>308075</v>
      </c>
      <c r="G12" s="16">
        <f t="array" aca="1" ref="G12" ca="1">IFERROR(F12/(N(INDIRECT("'"&amp;Сводка!$B$3&amp;"'!D7"))+N(INDIRECT("'"&amp;Сводка!$B$3&amp;"'!D34"))+N(INDIRECT("'"&amp;Сводка!$B$3&amp;"'!D57"))+N(INDIRECT("'"&amp;Сводка!$B$3&amp;"'!D80")))-1,"")</f>
        <v>-0.22490810604097422</v>
      </c>
      <c r="H12" s="13">
        <f t="array" aca="1" ref="H12" ca="1">IF(INDIRECT("'"&amp;Сводка!$B$2&amp;"'!H7")="","—",INDIRECT("'"&amp;Сводка!$B$2&amp;"'!H7"))</f>
        <v>796</v>
      </c>
      <c r="I12" s="13">
        <f t="array" aca="1" ref="I12" ca="1">IF(INDIRECT("'"&amp;Сводка!$B$2&amp;"'!H34")="","—",INDIRECT("'"&amp;Сводка!$B$2&amp;"'!H34"))</f>
        <v>0</v>
      </c>
      <c r="J12" s="13">
        <f t="array" aca="1" ref="J12" ca="1">IF(INDIRECT("'"&amp;Сводка!$B$2&amp;"'!H57")="","—",INDIRECT("'"&amp;Сводка!$B$2&amp;"'!H57"))</f>
        <v>249</v>
      </c>
      <c r="K12" s="13">
        <f t="array" aca="1" ref="K12" ca="1">IF(INDIRECT("'"&amp;Сводка!$B$2&amp;"'!H80")="","—",INDIRECT("'"&amp;Сводка!$B$2&amp;"'!H80"))</f>
        <v>1556</v>
      </c>
      <c r="L12" s="13">
        <f t="array" aca="1" ref="L12" ca="1">N(INDIRECT("'"&amp;Сводка!$B$2&amp;"'!H7"))+N(INDIRECT("'"&amp;Сводка!$B$2&amp;"'!H34"))+N(INDIRECT("'"&amp;Сводка!$B$2&amp;"'!H57"))+N(INDIRECT("'"&amp;Сводка!$B$2&amp;"'!H80"))</f>
        <v>2601</v>
      </c>
      <c r="M12" s="16">
        <f t="array" aca="1" ref="M12" ca="1">IFERROR(L12/(N(INDIRECT("'"&amp;Сводка!$B$3&amp;"'!H7"))+N(INDIRECT("'"&amp;Сводка!$B$3&amp;"'!H34"))+N(INDIRECT("'"&amp;Сводка!$B$3&amp;"'!H57"))+N(INDIRECT("'"&amp;Сводка!$B$3&amp;"'!H80")))-1,"")</f>
        <v>-0.19148274790177189</v>
      </c>
      <c r="N12" s="13">
        <f t="array" aca="1" ref="N12" ca="1">N(INDIRECT("'"&amp;Сводка!$B$2&amp;"'!C7"))+N(INDIRECT("'"&amp;Сводка!$B$2&amp;"'!C34"))+N(INDIRECT("'"&amp;Сводка!$B$2&amp;"'!C57"))+N(INDIRECT("'"&amp;Сводка!$B$2&amp;"'!C80"))</f>
        <v>385</v>
      </c>
      <c r="O12" s="47">
        <f t="shared" ref="O12:O25" ca="1" si="0">IFERROR(L12/F12*1000,"")</f>
        <v>8.4427493305201669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45">
      <c r="A13" s="12" t="s">
        <v>44</v>
      </c>
      <c r="B13" s="13">
        <f t="array" aca="1" ref="B13" ca="1">IF(INDIRECT("'"&amp;Сводка!$B$2&amp;"'!D8")="","—",INDIRECT("'"&amp;Сводка!$B$2&amp;"'!D8"))</f>
        <v>296983</v>
      </c>
      <c r="C13" s="13">
        <f t="array" aca="1" ref="C13" ca="1">IF(INDIRECT("'"&amp;Сводка!$B$2&amp;"'!D35")="","—",INDIRECT("'"&amp;Сводка!$B$2&amp;"'!D35"))</f>
        <v>8859</v>
      </c>
      <c r="D13" s="13">
        <f t="array" aca="1" ref="D13" ca="1">IF(INDIRECT("'"&amp;Сводка!$B$2&amp;"'!D58")="","—",INDIRECT("'"&amp;Сводка!$B$2&amp;"'!D58"))</f>
        <v>21693</v>
      </c>
      <c r="E13" s="13">
        <f t="array" aca="1" ref="E13" ca="1">IF(INDIRECT("'"&amp;Сводка!$B$2&amp;"'!D81")="","—",INDIRECT("'"&amp;Сводка!$B$2&amp;"'!D81"))</f>
        <v>80151</v>
      </c>
      <c r="F13" s="13">
        <f t="array" aca="1" ref="F13" ca="1">N(INDIRECT("'"&amp;Сводка!$B$2&amp;"'!D8"))+N(INDIRECT("'"&amp;Сводка!$B$2&amp;"'!D35"))+N(INDIRECT("'"&amp;Сводка!$B$2&amp;"'!D58"))+N(INDIRECT("'"&amp;Сводка!$B$2&amp;"'!D81"))</f>
        <v>407686</v>
      </c>
      <c r="G13" s="16">
        <f t="array" aca="1" ref="G13" ca="1">IFERROR(F13/(N(INDIRECT("'"&amp;Сводка!$B$3&amp;"'!D8"))+N(INDIRECT("'"&amp;Сводка!$B$3&amp;"'!D35"))+N(INDIRECT("'"&amp;Сводка!$B$3&amp;"'!D58"))+N(INDIRECT("'"&amp;Сводка!$B$3&amp;"'!D81")))-1,"")</f>
        <v>-0.15247634253022668</v>
      </c>
      <c r="H13" s="13">
        <f t="array" aca="1" ref="H13" ca="1">IF(INDIRECT("'"&amp;Сводка!$B$2&amp;"'!H8")="","—",INDIRECT("'"&amp;Сводка!$B$2&amp;"'!H8"))</f>
        <v>3566</v>
      </c>
      <c r="I13" s="13">
        <f t="array" aca="1" ref="I13" ca="1">IF(INDIRECT("'"&amp;Сводка!$B$2&amp;"'!H35")="","—",INDIRECT("'"&amp;Сводка!$B$2&amp;"'!H35"))</f>
        <v>70</v>
      </c>
      <c r="J13" s="13">
        <f t="array" aca="1" ref="J13" ca="1">IF(INDIRECT("'"&amp;Сводка!$B$2&amp;"'!H58")="","—",INDIRECT("'"&amp;Сводка!$B$2&amp;"'!H58"))</f>
        <v>359</v>
      </c>
      <c r="K13" s="13">
        <f t="array" aca="1" ref="K13" ca="1">IF(INDIRECT("'"&amp;Сводка!$B$2&amp;"'!H81")="","—",INDIRECT("'"&amp;Сводка!$B$2&amp;"'!H81"))</f>
        <v>1699</v>
      </c>
      <c r="L13" s="13">
        <f t="array" aca="1" ref="L13" ca="1">N(INDIRECT("'"&amp;Сводка!$B$2&amp;"'!H8"))+N(INDIRECT("'"&amp;Сводка!$B$2&amp;"'!H35"))+N(INDIRECT("'"&amp;Сводка!$B$2&amp;"'!H58"))+N(INDIRECT("'"&amp;Сводка!$B$2&amp;"'!H81"))</f>
        <v>5694</v>
      </c>
      <c r="M13" s="16">
        <f t="array" aca="1" ref="M13" ca="1">IFERROR(L13/(N(INDIRECT("'"&amp;Сводка!$B$3&amp;"'!H8"))+N(INDIRECT("'"&amp;Сводка!$B$3&amp;"'!H35"))+N(INDIRECT("'"&amp;Сводка!$B$3&amp;"'!H58"))+N(INDIRECT("'"&amp;Сводка!$B$3&amp;"'!H81")))-1,"")</f>
        <v>-5.9464816650148689E-2</v>
      </c>
      <c r="N13" s="13">
        <f t="array" aca="1" ref="N13" ca="1">N(INDIRECT("'"&amp;Сводка!$B$2&amp;"'!C8"))+N(INDIRECT("'"&amp;Сводка!$B$2&amp;"'!C35"))+N(INDIRECT("'"&amp;Сводка!$B$2&amp;"'!C58"))+N(INDIRECT("'"&amp;Сводка!$B$2&amp;"'!C81"))</f>
        <v>352</v>
      </c>
      <c r="O13" s="47">
        <f t="shared" ca="1" si="0"/>
        <v>13.966631181840926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45">
      <c r="A14" s="12" t="s">
        <v>45</v>
      </c>
      <c r="B14" s="13">
        <f t="array" aca="1" ref="B14" ca="1">IF(INDIRECT("'"&amp;Сводка!$B$2&amp;"'!D9")="","—",INDIRECT("'"&amp;Сводка!$B$2&amp;"'!D9"))</f>
        <v>322545</v>
      </c>
      <c r="C14" s="13" t="str">
        <f t="array" aca="1" ref="C14" ca="1">IF(INDIRECT("'"&amp;Сводка!$B$2&amp;"'!D36")="","—",INDIRECT("'"&amp;Сводка!$B$2&amp;"'!D36"))</f>
        <v>—</v>
      </c>
      <c r="D14" s="13">
        <f t="array" aca="1" ref="D14" ca="1">IF(INDIRECT("'"&amp;Сводка!$B$2&amp;"'!D59")="","—",INDIRECT("'"&amp;Сводка!$B$2&amp;"'!D59"))</f>
        <v>33790</v>
      </c>
      <c r="E14" s="13">
        <f t="array" aca="1" ref="E14" ca="1">IF(INDIRECT("'"&amp;Сводка!$B$2&amp;"'!D82")="","—",INDIRECT("'"&amp;Сводка!$B$2&amp;"'!D82"))</f>
        <v>154133</v>
      </c>
      <c r="F14" s="13">
        <f t="array" aca="1" ref="F14" ca="1">N(INDIRECT("'"&amp;Сводка!$B$2&amp;"'!D9"))+N(INDIRECT("'"&amp;Сводка!$B$2&amp;"'!D36"))+N(INDIRECT("'"&amp;Сводка!$B$2&amp;"'!D59"))+N(INDIRECT("'"&amp;Сводка!$B$2&amp;"'!D82"))</f>
        <v>510468</v>
      </c>
      <c r="G14" s="16">
        <f t="array" aca="1" ref="G14" ca="1">IFERROR(F14/(N(INDIRECT("'"&amp;Сводка!$B$3&amp;"'!D9"))+N(INDIRECT("'"&amp;Сводка!$B$3&amp;"'!D36"))+N(INDIRECT("'"&amp;Сводка!$B$3&amp;"'!D59"))+N(INDIRECT("'"&amp;Сводка!$B$3&amp;"'!D82")))-1,"")</f>
        <v>-0.26576616098924255</v>
      </c>
      <c r="H14" s="13">
        <f t="array" aca="1" ref="H14" ca="1">IF(INDIRECT("'"&amp;Сводка!$B$2&amp;"'!H9")="","—",INDIRECT("'"&amp;Сводка!$B$2&amp;"'!H9"))</f>
        <v>4156</v>
      </c>
      <c r="I14" s="13" t="str">
        <f t="array" aca="1" ref="I14" ca="1">IF(INDIRECT("'"&amp;Сводка!$B$2&amp;"'!H36")="","—",INDIRECT("'"&amp;Сводка!$B$2&amp;"'!H36"))</f>
        <v>—</v>
      </c>
      <c r="J14" s="13">
        <f t="array" aca="1" ref="J14" ca="1">IF(INDIRECT("'"&amp;Сводка!$B$2&amp;"'!H59")="","—",INDIRECT("'"&amp;Сводка!$B$2&amp;"'!H59"))</f>
        <v>258</v>
      </c>
      <c r="K14" s="13">
        <f t="array" aca="1" ref="K14" ca="1">IF(INDIRECT("'"&amp;Сводка!$B$2&amp;"'!H82")="","—",INDIRECT("'"&amp;Сводка!$B$2&amp;"'!H82"))</f>
        <v>3296</v>
      </c>
      <c r="L14" s="13">
        <f t="array" aca="1" ref="L14" ca="1">N(INDIRECT("'"&amp;Сводка!$B$2&amp;"'!H9"))+N(INDIRECT("'"&amp;Сводка!$B$2&amp;"'!H36"))+N(INDIRECT("'"&amp;Сводка!$B$2&amp;"'!H59"))+N(INDIRECT("'"&amp;Сводка!$B$2&amp;"'!H82"))</f>
        <v>7710</v>
      </c>
      <c r="M14" s="16">
        <f t="array" aca="1" ref="M14" ca="1">IFERROR(L14/(N(INDIRECT("'"&amp;Сводка!$B$3&amp;"'!H9"))+N(INDIRECT("'"&amp;Сводка!$B$3&amp;"'!H36"))+N(INDIRECT("'"&amp;Сводка!$B$3&amp;"'!H59"))+N(INDIRECT("'"&amp;Сводка!$B$3&amp;"'!H82")))-1,"")</f>
        <v>-0.11154643927172159</v>
      </c>
      <c r="N14" s="13">
        <f t="array" aca="1" ref="N14" ca="1">N(INDIRECT("'"&amp;Сводка!$B$2&amp;"'!C9"))+N(INDIRECT("'"&amp;Сводка!$B$2&amp;"'!C36"))+N(INDIRECT("'"&amp;Сводка!$B$2&amp;"'!C59"))+N(INDIRECT("'"&amp;Сводка!$B$2&amp;"'!C82"))</f>
        <v>292</v>
      </c>
      <c r="O14" s="47">
        <f t="shared" ca="1" si="0"/>
        <v>15.103787113002186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45">
      <c r="A15" s="12" t="s">
        <v>46</v>
      </c>
      <c r="B15" s="13">
        <f t="array" aca="1" ref="B15" ca="1">IF(INDIRECT("'"&amp;Сводка!$B$2&amp;"'!D10")="","—",INDIRECT("'"&amp;Сводка!$B$2&amp;"'!D10"))</f>
        <v>167913</v>
      </c>
      <c r="C15" s="13">
        <f t="array" aca="1" ref="C15" ca="1">IF(INDIRECT("'"&amp;Сводка!$B$2&amp;"'!D37")="","—",INDIRECT("'"&amp;Сводка!$B$2&amp;"'!D37"))</f>
        <v>5607</v>
      </c>
      <c r="D15" s="13">
        <f t="array" aca="1" ref="D15" ca="1">IF(INDIRECT("'"&amp;Сводка!$B$2&amp;"'!D60")="","—",INDIRECT("'"&amp;Сводка!$B$2&amp;"'!D60"))</f>
        <v>61713</v>
      </c>
      <c r="E15" s="13">
        <f t="array" aca="1" ref="E15" ca="1">IF(INDIRECT("'"&amp;Сводка!$B$2&amp;"'!D83")="","—",INDIRECT("'"&amp;Сводка!$B$2&amp;"'!D83"))</f>
        <v>85318</v>
      </c>
      <c r="F15" s="13">
        <f t="array" aca="1" ref="F15" ca="1">N(INDIRECT("'"&amp;Сводка!$B$2&amp;"'!D10"))+N(INDIRECT("'"&amp;Сводка!$B$2&amp;"'!D37"))+N(INDIRECT("'"&amp;Сводка!$B$2&amp;"'!D60"))+N(INDIRECT("'"&amp;Сводка!$B$2&amp;"'!D83"))</f>
        <v>320551</v>
      </c>
      <c r="G15" s="16">
        <f t="array" aca="1" ref="G15" ca="1">IFERROR(F15/(N(INDIRECT("'"&amp;Сводка!$B$3&amp;"'!D10"))+N(INDIRECT("'"&amp;Сводка!$B$3&amp;"'!D37"))+N(INDIRECT("'"&amp;Сводка!$B$3&amp;"'!D60"))+N(INDIRECT("'"&amp;Сводка!$B$3&amp;"'!D83")))-1,"")</f>
        <v>-0.14014828405731794</v>
      </c>
      <c r="H15" s="13">
        <f t="array" aca="1" ref="H15" ca="1">IF(INDIRECT("'"&amp;Сводка!$B$2&amp;"'!H10")="","—",INDIRECT("'"&amp;Сводка!$B$2&amp;"'!H10"))</f>
        <v>1192</v>
      </c>
      <c r="I15" s="13">
        <f t="array" aca="1" ref="I15" ca="1">IF(INDIRECT("'"&amp;Сводка!$B$2&amp;"'!H37")="","—",INDIRECT("'"&amp;Сводка!$B$2&amp;"'!H37"))</f>
        <v>18</v>
      </c>
      <c r="J15" s="13">
        <f t="array" aca="1" ref="J15" ca="1">IF(INDIRECT("'"&amp;Сводка!$B$2&amp;"'!H60")="","—",INDIRECT("'"&amp;Сводка!$B$2&amp;"'!H60"))</f>
        <v>260</v>
      </c>
      <c r="K15" s="13">
        <f t="array" aca="1" ref="K15" ca="1">IF(INDIRECT("'"&amp;Сводка!$B$2&amp;"'!H83")="","—",INDIRECT("'"&amp;Сводка!$B$2&amp;"'!H83"))</f>
        <v>546</v>
      </c>
      <c r="L15" s="13">
        <f t="array" aca="1" ref="L15" ca="1">N(INDIRECT("'"&amp;Сводка!$B$2&amp;"'!H10"))+N(INDIRECT("'"&amp;Сводка!$B$2&amp;"'!H37"))+N(INDIRECT("'"&amp;Сводка!$B$2&amp;"'!H60"))+N(INDIRECT("'"&amp;Сводка!$B$2&amp;"'!H83"))</f>
        <v>2016</v>
      </c>
      <c r="M15" s="16">
        <f t="array" aca="1" ref="M15" ca="1">IFERROR(L15/(N(INDIRECT("'"&amp;Сводка!$B$3&amp;"'!H10"))+N(INDIRECT("'"&amp;Сводка!$B$3&amp;"'!H37"))+N(INDIRECT("'"&amp;Сводка!$B$3&amp;"'!H60"))+N(INDIRECT("'"&amp;Сводка!$B$3&amp;"'!H83")))-1,"")</f>
        <v>-7.011070110701112E-2</v>
      </c>
      <c r="N15" s="13">
        <f t="array" aca="1" ref="N15" ca="1">N(INDIRECT("'"&amp;Сводка!$B$2&amp;"'!C10"))+N(INDIRECT("'"&amp;Сводка!$B$2&amp;"'!C37"))+N(INDIRECT("'"&amp;Сводка!$B$2&amp;"'!C60"))+N(INDIRECT("'"&amp;Сводка!$B$2&amp;"'!C83"))</f>
        <v>531</v>
      </c>
      <c r="O15" s="47">
        <f t="shared" ca="1" si="0"/>
        <v>6.2891708339702577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45">
      <c r="A16" s="12" t="s">
        <v>47</v>
      </c>
      <c r="B16" s="13">
        <f t="array" aca="1" ref="B16" ca="1">IF(INDIRECT("'"&amp;Сводка!$B$2&amp;"'!D11")="","—",INDIRECT("'"&amp;Сводка!$B$2&amp;"'!D11"))</f>
        <v>407601</v>
      </c>
      <c r="C16" s="13">
        <f t="array" aca="1" ref="C16" ca="1">IF(INDIRECT("'"&amp;Сводка!$B$2&amp;"'!D38")="","—",INDIRECT("'"&amp;Сводка!$B$2&amp;"'!D38"))</f>
        <v>9151</v>
      </c>
      <c r="D16" s="13">
        <f t="array" aca="1" ref="D16" ca="1">IF(INDIRECT("'"&amp;Сводка!$B$2&amp;"'!D61")="","—",INDIRECT("'"&amp;Сводка!$B$2&amp;"'!D61"))</f>
        <v>13926</v>
      </c>
      <c r="E16" s="13">
        <f t="array" aca="1" ref="E16" ca="1">IF(INDIRECT("'"&amp;Сводка!$B$2&amp;"'!D84")="","—",INDIRECT("'"&amp;Сводка!$B$2&amp;"'!D84"))</f>
        <v>27813</v>
      </c>
      <c r="F16" s="13">
        <f t="array" aca="1" ref="F16" ca="1">N(INDIRECT("'"&amp;Сводка!$B$2&amp;"'!D11"))+N(INDIRECT("'"&amp;Сводка!$B$2&amp;"'!D38"))+N(INDIRECT("'"&amp;Сводка!$B$2&amp;"'!D61"))+N(INDIRECT("'"&amp;Сводка!$B$2&amp;"'!D84"))</f>
        <v>458491</v>
      </c>
      <c r="G16" s="16">
        <f t="array" aca="1" ref="G16" ca="1">IFERROR(F16/(N(INDIRECT("'"&amp;Сводка!$B$3&amp;"'!D11"))+N(INDIRECT("'"&amp;Сводка!$B$3&amp;"'!D38"))+N(INDIRECT("'"&amp;Сводка!$B$3&amp;"'!D61"))+N(INDIRECT("'"&amp;Сводка!$B$3&amp;"'!D84")))-1,"")</f>
        <v>-0.31003664326614144</v>
      </c>
      <c r="H16" s="13">
        <f t="array" aca="1" ref="H16" ca="1">IF(INDIRECT("'"&amp;Сводка!$B$2&amp;"'!H11")="","—",INDIRECT("'"&amp;Сводка!$B$2&amp;"'!H11"))</f>
        <v>3694</v>
      </c>
      <c r="I16" s="13">
        <f t="array" aca="1" ref="I16" ca="1">IF(INDIRECT("'"&amp;Сводка!$B$2&amp;"'!H38")="","—",INDIRECT("'"&amp;Сводка!$B$2&amp;"'!H38"))</f>
        <v>151</v>
      </c>
      <c r="J16" s="13">
        <f t="array" aca="1" ref="J16" ca="1">IF(INDIRECT("'"&amp;Сводка!$B$2&amp;"'!H61")="","—",INDIRECT("'"&amp;Сводка!$B$2&amp;"'!H61"))</f>
        <v>164</v>
      </c>
      <c r="K16" s="13">
        <f t="array" aca="1" ref="K16" ca="1">IF(INDIRECT("'"&amp;Сводка!$B$2&amp;"'!H84")="","—",INDIRECT("'"&amp;Сводка!$B$2&amp;"'!H84"))</f>
        <v>400</v>
      </c>
      <c r="L16" s="13">
        <f t="array" aca="1" ref="L16" ca="1">N(INDIRECT("'"&amp;Сводка!$B$2&amp;"'!H11"))+N(INDIRECT("'"&amp;Сводка!$B$2&amp;"'!H38"))+N(INDIRECT("'"&amp;Сводка!$B$2&amp;"'!H61"))+N(INDIRECT("'"&amp;Сводка!$B$2&amp;"'!H84"))</f>
        <v>4409</v>
      </c>
      <c r="M16" s="16">
        <f t="array" aca="1" ref="M16" ca="1">IFERROR(L16/(N(INDIRECT("'"&amp;Сводка!$B$3&amp;"'!H11"))+N(INDIRECT("'"&amp;Сводка!$B$3&amp;"'!H38"))+N(INDIRECT("'"&amp;Сводка!$B$3&amp;"'!H61"))+N(INDIRECT("'"&amp;Сводка!$B$3&amp;"'!H84")))-1,"")</f>
        <v>-0.15874833047128412</v>
      </c>
      <c r="N16" s="13">
        <f t="array" aca="1" ref="N16" ca="1">N(INDIRECT("'"&amp;Сводка!$B$2&amp;"'!C11"))+N(INDIRECT("'"&amp;Сводка!$B$2&amp;"'!C38"))+N(INDIRECT("'"&amp;Сводка!$B$2&amp;"'!C61"))+N(INDIRECT("'"&amp;Сводка!$B$2&amp;"'!C84"))</f>
        <v>431</v>
      </c>
      <c r="O16" s="47">
        <f t="shared" ca="1" si="0"/>
        <v>9.6163283466851048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45">
      <c r="A17" s="12" t="s">
        <v>48</v>
      </c>
      <c r="B17" s="13">
        <f t="array" aca="1" ref="B17" ca="1">IF(INDIRECT("'"&amp;Сводка!$B$2&amp;"'!D12")="","—",INDIRECT("'"&amp;Сводка!$B$2&amp;"'!D12"))</f>
        <v>111561</v>
      </c>
      <c r="C17" s="13">
        <f t="array" aca="1" ref="C17" ca="1">IF(INDIRECT("'"&amp;Сводка!$B$2&amp;"'!D39")="","—",INDIRECT("'"&amp;Сводка!$B$2&amp;"'!D39"))</f>
        <v>4189</v>
      </c>
      <c r="D17" s="13">
        <f t="array" aca="1" ref="D17" ca="1">IF(INDIRECT("'"&amp;Сводка!$B$2&amp;"'!D62")="","—",INDIRECT("'"&amp;Сводка!$B$2&amp;"'!D62"))</f>
        <v>5247</v>
      </c>
      <c r="E17" s="13">
        <f t="array" aca="1" ref="E17" ca="1">IF(INDIRECT("'"&amp;Сводка!$B$2&amp;"'!D85")="","—",INDIRECT("'"&amp;Сводка!$B$2&amp;"'!D85"))</f>
        <v>8781</v>
      </c>
      <c r="F17" s="13">
        <f t="array" aca="1" ref="F17" ca="1">N(INDIRECT("'"&amp;Сводка!$B$2&amp;"'!D12"))+N(INDIRECT("'"&amp;Сводка!$B$2&amp;"'!D39"))+N(INDIRECT("'"&amp;Сводка!$B$2&amp;"'!D62"))+N(INDIRECT("'"&amp;Сводка!$B$2&amp;"'!D85"))</f>
        <v>129778</v>
      </c>
      <c r="G17" s="16">
        <f t="array" aca="1" ref="G17" ca="1">IFERROR(F17/(N(INDIRECT("'"&amp;Сводка!$B$3&amp;"'!D12"))+N(INDIRECT("'"&amp;Сводка!$B$3&amp;"'!D39"))+N(INDIRECT("'"&amp;Сводка!$B$3&amp;"'!D62"))+N(INDIRECT("'"&amp;Сводка!$B$3&amp;"'!D85")))-1,"")</f>
        <v>-0.25916073457131927</v>
      </c>
      <c r="H17" s="13">
        <f t="array" aca="1" ref="H17" ca="1">IF(INDIRECT("'"&amp;Сводка!$B$2&amp;"'!H12")="","—",INDIRECT("'"&amp;Сводка!$B$2&amp;"'!H12"))</f>
        <v>1930</v>
      </c>
      <c r="I17" s="13">
        <f t="array" aca="1" ref="I17" ca="1">IF(INDIRECT("'"&amp;Сводка!$B$2&amp;"'!H39")="","—",INDIRECT("'"&amp;Сводка!$B$2&amp;"'!H39"))</f>
        <v>3</v>
      </c>
      <c r="J17" s="13">
        <f t="array" aca="1" ref="J17" ca="1">IF(INDIRECT("'"&amp;Сводка!$B$2&amp;"'!H62")="","—",INDIRECT("'"&amp;Сводка!$B$2&amp;"'!H62"))</f>
        <v>18</v>
      </c>
      <c r="K17" s="13">
        <f t="array" aca="1" ref="K17" ca="1">IF(INDIRECT("'"&amp;Сводка!$B$2&amp;"'!H85")="","—",INDIRECT("'"&amp;Сводка!$B$2&amp;"'!H85"))</f>
        <v>612</v>
      </c>
      <c r="L17" s="13">
        <f t="array" aca="1" ref="L17" ca="1">N(INDIRECT("'"&amp;Сводка!$B$2&amp;"'!H12"))+N(INDIRECT("'"&amp;Сводка!$B$2&amp;"'!H39"))+N(INDIRECT("'"&amp;Сводка!$B$2&amp;"'!H62"))+N(INDIRECT("'"&amp;Сводка!$B$2&amp;"'!H85"))</f>
        <v>2563</v>
      </c>
      <c r="M17" s="16">
        <f t="array" aca="1" ref="M17" ca="1">IFERROR(L17/(N(INDIRECT("'"&amp;Сводка!$B$3&amp;"'!H12"))+N(INDIRECT("'"&amp;Сводка!$B$3&amp;"'!H39"))+N(INDIRECT("'"&amp;Сводка!$B$3&amp;"'!H62"))+N(INDIRECT("'"&amp;Сводка!$B$3&amp;"'!H85")))-1,"")</f>
        <v>-0.25255176436278803</v>
      </c>
      <c r="N17" s="13">
        <f t="array" aca="1" ref="N17" ca="1">N(INDIRECT("'"&amp;Сводка!$B$2&amp;"'!C12"))+N(INDIRECT("'"&amp;Сводка!$B$2&amp;"'!C39"))+N(INDIRECT("'"&amp;Сводка!$B$2&amp;"'!C62"))+N(INDIRECT("'"&amp;Сводка!$B$2&amp;"'!C85"))</f>
        <v>250</v>
      </c>
      <c r="O17" s="47">
        <f t="shared" ca="1" si="0"/>
        <v>19.749110018647229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45">
      <c r="A18" s="12" t="s">
        <v>49</v>
      </c>
      <c r="B18" s="13">
        <f t="array" aca="1" ref="B18" ca="1">IF(INDIRECT("'"&amp;Сводка!$B$2&amp;"'!D13")="","—",INDIRECT("'"&amp;Сводка!$B$2&amp;"'!D13"))</f>
        <v>33284</v>
      </c>
      <c r="C18" s="13" t="str">
        <f t="array" aca="1" ref="C18" ca="1">IF(INDIRECT("'"&amp;Сводка!$B$2&amp;"'!D40")="","—",INDIRECT("'"&amp;Сводка!$B$2&amp;"'!D40"))</f>
        <v>—</v>
      </c>
      <c r="D18" s="13">
        <f t="array" aca="1" ref="D18" ca="1">IF(INDIRECT("'"&amp;Сводка!$B$2&amp;"'!D63")="","—",INDIRECT("'"&amp;Сводка!$B$2&amp;"'!D63"))</f>
        <v>19689</v>
      </c>
      <c r="E18" s="13">
        <f t="array" aca="1" ref="E18" ca="1">IF(INDIRECT("'"&amp;Сводка!$B$2&amp;"'!D86")="","—",INDIRECT("'"&amp;Сводка!$B$2&amp;"'!D86"))</f>
        <v>46599</v>
      </c>
      <c r="F18" s="13">
        <f t="array" aca="1" ref="F18" ca="1">N(INDIRECT("'"&amp;Сводка!$B$2&amp;"'!D13"))+N(INDIRECT("'"&amp;Сводка!$B$2&amp;"'!D40"))+N(INDIRECT("'"&amp;Сводка!$B$2&amp;"'!D63"))+N(INDIRECT("'"&amp;Сводка!$B$2&amp;"'!D86"))</f>
        <v>99572</v>
      </c>
      <c r="G18" s="16">
        <f t="array" aca="1" ref="G18" ca="1">IFERROR(F18/(N(INDIRECT("'"&amp;Сводка!$B$3&amp;"'!D13"))+N(INDIRECT("'"&amp;Сводка!$B$3&amp;"'!D40"))+N(INDIRECT("'"&amp;Сводка!$B$3&amp;"'!D63"))+N(INDIRECT("'"&amp;Сводка!$B$3&amp;"'!D86")))-1,"")</f>
        <v>-0.34628868551320269</v>
      </c>
      <c r="H18" s="13">
        <f t="array" aca="1" ref="H18" ca="1">IF(INDIRECT("'"&amp;Сводка!$B$2&amp;"'!H13")="","—",INDIRECT("'"&amp;Сводка!$B$2&amp;"'!H13"))</f>
        <v>353</v>
      </c>
      <c r="I18" s="13" t="str">
        <f t="array" aca="1" ref="I18" ca="1">IF(INDIRECT("'"&amp;Сводка!$B$2&amp;"'!H40")="","—",INDIRECT("'"&amp;Сводка!$B$2&amp;"'!H40"))</f>
        <v>—</v>
      </c>
      <c r="J18" s="13">
        <f t="array" aca="1" ref="J18" ca="1">IF(INDIRECT("'"&amp;Сводка!$B$2&amp;"'!H63")="","—",INDIRECT("'"&amp;Сводка!$B$2&amp;"'!H63"))</f>
        <v>58</v>
      </c>
      <c r="K18" s="13">
        <f t="array" aca="1" ref="K18" ca="1">IF(INDIRECT("'"&amp;Сводка!$B$2&amp;"'!H86")="","—",INDIRECT("'"&amp;Сводка!$B$2&amp;"'!H86"))</f>
        <v>423</v>
      </c>
      <c r="L18" s="13">
        <f t="array" aca="1" ref="L18" ca="1">N(INDIRECT("'"&amp;Сводка!$B$2&amp;"'!H13"))+N(INDIRECT("'"&amp;Сводка!$B$2&amp;"'!H40"))+N(INDIRECT("'"&amp;Сводка!$B$2&amp;"'!H63"))+N(INDIRECT("'"&amp;Сводка!$B$2&amp;"'!H86"))</f>
        <v>834</v>
      </c>
      <c r="M18" s="16">
        <f t="array" aca="1" ref="M18" ca="1">IFERROR(L18/(N(INDIRECT("'"&amp;Сводка!$B$3&amp;"'!H13"))+N(INDIRECT("'"&amp;Сводка!$B$3&amp;"'!H40"))+N(INDIRECT("'"&amp;Сводка!$B$3&amp;"'!H63"))+N(INDIRECT("'"&amp;Сводка!$B$3&amp;"'!H86")))-1,"")</f>
        <v>-0.38811445341159212</v>
      </c>
      <c r="N18" s="13">
        <f t="array" aca="1" ref="N18" ca="1">N(INDIRECT("'"&amp;Сводка!$B$2&amp;"'!C13"))+N(INDIRECT("'"&amp;Сводка!$B$2&amp;"'!C40"))+N(INDIRECT("'"&amp;Сводка!$B$2&amp;"'!C63"))+N(INDIRECT("'"&amp;Сводка!$B$2&amp;"'!C86"))</f>
        <v>169</v>
      </c>
      <c r="O18" s="47">
        <f t="shared" ca="1" si="0"/>
        <v>8.3758486321455816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45">
      <c r="A19" s="12" t="s">
        <v>50</v>
      </c>
      <c r="B19" s="13">
        <f t="array" aca="1" ref="B19" ca="1">IF(INDIRECT("'"&amp;Сводка!$B$2&amp;"'!D14")="","—",INDIRECT("'"&amp;Сводка!$B$2&amp;"'!D14"))</f>
        <v>48840</v>
      </c>
      <c r="C19" s="13">
        <f t="array" aca="1" ref="C19" ca="1">IF(INDIRECT("'"&amp;Сводка!$B$2&amp;"'!D41")="","—",INDIRECT("'"&amp;Сводка!$B$2&amp;"'!D41"))</f>
        <v>12390</v>
      </c>
      <c r="D19" s="13">
        <f t="array" aca="1" ref="D19" ca="1">IF(INDIRECT("'"&amp;Сводка!$B$2&amp;"'!D64")="","—",INDIRECT("'"&amp;Сводка!$B$2&amp;"'!D64"))</f>
        <v>6279</v>
      </c>
      <c r="E19" s="13">
        <f t="array" aca="1" ref="E19" ca="1">IF(INDIRECT("'"&amp;Сводка!$B$2&amp;"'!D87")="","—",INDIRECT("'"&amp;Сводка!$B$2&amp;"'!D87"))</f>
        <v>14339</v>
      </c>
      <c r="F19" s="13">
        <f t="array" aca="1" ref="F19" ca="1">N(INDIRECT("'"&amp;Сводка!$B$2&amp;"'!D14"))+N(INDIRECT("'"&amp;Сводка!$B$2&amp;"'!D41"))+N(INDIRECT("'"&amp;Сводка!$B$2&amp;"'!D64"))+N(INDIRECT("'"&amp;Сводка!$B$2&amp;"'!D87"))</f>
        <v>81848</v>
      </c>
      <c r="G19" s="16">
        <f t="array" aca="1" ref="G19" ca="1">IFERROR(F19/(N(INDIRECT("'"&amp;Сводка!$B$3&amp;"'!D14"))+N(INDIRECT("'"&amp;Сводка!$B$3&amp;"'!D41"))+N(INDIRECT("'"&amp;Сводка!$B$3&amp;"'!D64"))+N(INDIRECT("'"&amp;Сводка!$B$3&amp;"'!D87")))-1,"")</f>
        <v>-0.32219783859881579</v>
      </c>
      <c r="H19" s="13">
        <f t="array" aca="1" ref="H19" ca="1">IF(INDIRECT("'"&amp;Сводка!$B$2&amp;"'!H14")="","—",INDIRECT("'"&amp;Сводка!$B$2&amp;"'!H14"))</f>
        <v>534</v>
      </c>
      <c r="I19" s="13">
        <f t="array" aca="1" ref="I19" ca="1">IF(INDIRECT("'"&amp;Сводка!$B$2&amp;"'!H41")="","—",INDIRECT("'"&amp;Сводка!$B$2&amp;"'!H41"))</f>
        <v>121</v>
      </c>
      <c r="J19" s="13">
        <f t="array" aca="1" ref="J19" ca="1">IF(INDIRECT("'"&amp;Сводка!$B$2&amp;"'!H64")="","—",INDIRECT("'"&amp;Сводка!$B$2&amp;"'!H64"))</f>
        <v>8</v>
      </c>
      <c r="K19" s="13">
        <f t="array" aca="1" ref="K19" ca="1">IF(INDIRECT("'"&amp;Сводка!$B$2&amp;"'!H87")="","—",INDIRECT("'"&amp;Сводка!$B$2&amp;"'!H87"))</f>
        <v>70</v>
      </c>
      <c r="L19" s="13">
        <f t="array" aca="1" ref="L19" ca="1">N(INDIRECT("'"&amp;Сводка!$B$2&amp;"'!H14"))+N(INDIRECT("'"&amp;Сводка!$B$2&amp;"'!H41"))+N(INDIRECT("'"&amp;Сводка!$B$2&amp;"'!H64"))+N(INDIRECT("'"&amp;Сводка!$B$2&amp;"'!H87"))</f>
        <v>733</v>
      </c>
      <c r="M19" s="16">
        <f t="array" aca="1" ref="M19" ca="1">IFERROR(L19/(N(INDIRECT("'"&amp;Сводка!$B$3&amp;"'!H14"))+N(INDIRECT("'"&amp;Сводка!$B$3&amp;"'!H41"))+N(INDIRECT("'"&amp;Сводка!$B$3&amp;"'!H64"))+N(INDIRECT("'"&amp;Сводка!$B$3&amp;"'!H87")))-1,"")</f>
        <v>-0.25583756345177666</v>
      </c>
      <c r="N19" s="13">
        <f t="array" aca="1" ref="N19" ca="1">N(INDIRECT("'"&amp;Сводка!$B$2&amp;"'!C14"))+N(INDIRECT("'"&amp;Сводка!$B$2&amp;"'!C41"))+N(INDIRECT("'"&amp;Сводка!$B$2&amp;"'!C64"))+N(INDIRECT("'"&amp;Сводка!$B$2&amp;"'!C87"))</f>
        <v>219</v>
      </c>
      <c r="O19" s="47">
        <f t="shared" ca="1" si="0"/>
        <v>8.9556250610888473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45">
      <c r="A20" s="12" t="s">
        <v>51</v>
      </c>
      <c r="B20" s="13">
        <f t="array" aca="1" ref="B20" ca="1">IF(INDIRECT("'"&amp;Сводка!$B$2&amp;"'!D15")="","—",INDIRECT("'"&amp;Сводка!$B$2&amp;"'!D15"))</f>
        <v>30735</v>
      </c>
      <c r="C20" s="13">
        <f t="array" aca="1" ref="C20" ca="1">IF(INDIRECT("'"&amp;Сводка!$B$2&amp;"'!D42")="","—",INDIRECT("'"&amp;Сводка!$B$2&amp;"'!D42"))</f>
        <v>6594</v>
      </c>
      <c r="D20" s="13">
        <f t="array" aca="1" ref="D20" ca="1">IF(INDIRECT("'"&amp;Сводка!$B$2&amp;"'!D65")="","—",INDIRECT("'"&amp;Сводка!$B$2&amp;"'!D65"))</f>
        <v>2837</v>
      </c>
      <c r="E20" s="13">
        <f t="array" aca="1" ref="E20" ca="1">IF(INDIRECT("'"&amp;Сводка!$B$2&amp;"'!D88")="","—",INDIRECT("'"&amp;Сводка!$B$2&amp;"'!D88"))</f>
        <v>7067</v>
      </c>
      <c r="F20" s="13">
        <f t="array" aca="1" ref="F20" ca="1">N(INDIRECT("'"&amp;Сводка!$B$2&amp;"'!D15"))+N(INDIRECT("'"&amp;Сводка!$B$2&amp;"'!D42"))+N(INDIRECT("'"&amp;Сводка!$B$2&amp;"'!D65"))+N(INDIRECT("'"&amp;Сводка!$B$2&amp;"'!D88"))</f>
        <v>47233</v>
      </c>
      <c r="G20" s="16">
        <f t="array" aca="1" ref="G20" ca="1">IFERROR(F20/(N(INDIRECT("'"&amp;Сводка!$B$3&amp;"'!D15"))+N(INDIRECT("'"&amp;Сводка!$B$3&amp;"'!D42"))+N(INDIRECT("'"&amp;Сводка!$B$3&amp;"'!D65"))+N(INDIRECT("'"&amp;Сводка!$B$3&amp;"'!D88")))-1,"")</f>
        <v>-0.26776218897759863</v>
      </c>
      <c r="H20" s="13">
        <f t="array" aca="1" ref="H20" ca="1">IF(INDIRECT("'"&amp;Сводка!$B$2&amp;"'!H15")="","—",INDIRECT("'"&amp;Сводка!$B$2&amp;"'!H15"))</f>
        <v>302</v>
      </c>
      <c r="I20" s="13">
        <f t="array" aca="1" ref="I20" ca="1">IF(INDIRECT("'"&amp;Сводка!$B$2&amp;"'!H42")="","—",INDIRECT("'"&amp;Сводка!$B$2&amp;"'!H42"))</f>
        <v>83</v>
      </c>
      <c r="J20" s="13">
        <f t="array" aca="1" ref="J20" ca="1">IF(INDIRECT("'"&amp;Сводка!$B$2&amp;"'!H65")="","—",INDIRECT("'"&amp;Сводка!$B$2&amp;"'!H65"))</f>
        <v>4</v>
      </c>
      <c r="K20" s="13">
        <f t="array" aca="1" ref="K20" ca="1">IF(INDIRECT("'"&amp;Сводка!$B$2&amp;"'!H88")="","—",INDIRECT("'"&amp;Сводка!$B$2&amp;"'!H88"))</f>
        <v>69</v>
      </c>
      <c r="L20" s="13">
        <f t="array" aca="1" ref="L20" ca="1">N(INDIRECT("'"&amp;Сводка!$B$2&amp;"'!H15"))+N(INDIRECT("'"&amp;Сводка!$B$2&amp;"'!H42"))+N(INDIRECT("'"&amp;Сводка!$B$2&amp;"'!H65"))+N(INDIRECT("'"&amp;Сводка!$B$2&amp;"'!H88"))</f>
        <v>458</v>
      </c>
      <c r="M20" s="16">
        <f t="array" aca="1" ref="M20" ca="1">IFERROR(L20/(N(INDIRECT("'"&amp;Сводка!$B$3&amp;"'!H15"))+N(INDIRECT("'"&amp;Сводка!$B$3&amp;"'!H42"))+N(INDIRECT("'"&amp;Сводка!$B$3&amp;"'!H65"))+N(INDIRECT("'"&amp;Сводка!$B$3&amp;"'!H88")))-1,"")</f>
        <v>-0.17773788150807901</v>
      </c>
      <c r="N20" s="13">
        <f t="array" aca="1" ref="N20" ca="1">N(INDIRECT("'"&amp;Сводка!$B$2&amp;"'!C15"))+N(INDIRECT("'"&amp;Сводка!$B$2&amp;"'!C42"))+N(INDIRECT("'"&amp;Сводка!$B$2&amp;"'!C65"))+N(INDIRECT("'"&amp;Сводка!$B$2&amp;"'!C88"))</f>
        <v>119</v>
      </c>
      <c r="O20" s="47">
        <f t="shared" ca="1" si="0"/>
        <v>9.6966104206804573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45">
      <c r="A21" s="12" t="s">
        <v>52</v>
      </c>
      <c r="B21" s="13">
        <f t="array" aca="1" ref="B21" ca="1">IF(INDIRECT("'"&amp;Сводка!$B$2&amp;"'!D16")="","—",INDIRECT("'"&amp;Сводка!$B$2&amp;"'!D16"))</f>
        <v>99250</v>
      </c>
      <c r="C21" s="13">
        <f t="array" aca="1" ref="C21" ca="1">IF(INDIRECT("'"&amp;Сводка!$B$2&amp;"'!D43")="","—",INDIRECT("'"&amp;Сводка!$B$2&amp;"'!D43"))</f>
        <v>2452</v>
      </c>
      <c r="D21" s="13">
        <f t="array" aca="1" ref="D21" ca="1">IF(INDIRECT("'"&amp;Сводка!$B$2&amp;"'!D66")="","—",INDIRECT("'"&amp;Сводка!$B$2&amp;"'!D66"))</f>
        <v>3969</v>
      </c>
      <c r="E21" s="13">
        <f t="array" aca="1" ref="E21" ca="1">IF(INDIRECT("'"&amp;Сводка!$B$2&amp;"'!D89")="","—",INDIRECT("'"&amp;Сводка!$B$2&amp;"'!D89"))</f>
        <v>8708</v>
      </c>
      <c r="F21" s="13">
        <f t="array" aca="1" ref="F21" ca="1">N(INDIRECT("'"&amp;Сводка!$B$2&amp;"'!D16"))+N(INDIRECT("'"&amp;Сводка!$B$2&amp;"'!D43"))+N(INDIRECT("'"&amp;Сводка!$B$2&amp;"'!D66"))+N(INDIRECT("'"&amp;Сводка!$B$2&amp;"'!D89"))</f>
        <v>114379</v>
      </c>
      <c r="G21" s="16">
        <f t="array" aca="1" ref="G21" ca="1">IFERROR(F21/(N(INDIRECT("'"&amp;Сводка!$B$3&amp;"'!D16"))+N(INDIRECT("'"&amp;Сводка!$B$3&amp;"'!D43"))+N(INDIRECT("'"&amp;Сводка!$B$3&amp;"'!D66"))+N(INDIRECT("'"&amp;Сводка!$B$3&amp;"'!D89")))-1,"")</f>
        <v>-0.36238613938657416</v>
      </c>
      <c r="H21" s="13">
        <f t="array" aca="1" ref="H21" ca="1">IF(INDIRECT("'"&amp;Сводка!$B$2&amp;"'!H16")="","—",INDIRECT("'"&amp;Сводка!$B$2&amp;"'!H16"))</f>
        <v>1001</v>
      </c>
      <c r="I21" s="13">
        <f t="array" aca="1" ref="I21" ca="1">IF(INDIRECT("'"&amp;Сводка!$B$2&amp;"'!H43")="","—",INDIRECT("'"&amp;Сводка!$B$2&amp;"'!H43"))</f>
        <v>11</v>
      </c>
      <c r="J21" s="13">
        <f t="array" aca="1" ref="J21" ca="1">IF(INDIRECT("'"&amp;Сводка!$B$2&amp;"'!H66")="","—",INDIRECT("'"&amp;Сводка!$B$2&amp;"'!H66"))</f>
        <v>11</v>
      </c>
      <c r="K21" s="13">
        <f t="array" aca="1" ref="K21" ca="1">IF(INDIRECT("'"&amp;Сводка!$B$2&amp;"'!H89")="","—",INDIRECT("'"&amp;Сводка!$B$2&amp;"'!H89"))</f>
        <v>138</v>
      </c>
      <c r="L21" s="13">
        <f t="array" aca="1" ref="L21" ca="1">N(INDIRECT("'"&amp;Сводка!$B$2&amp;"'!H16"))+N(INDIRECT("'"&amp;Сводка!$B$2&amp;"'!H43"))+N(INDIRECT("'"&amp;Сводка!$B$2&amp;"'!H66"))+N(INDIRECT("'"&amp;Сводка!$B$2&amp;"'!H89"))</f>
        <v>1161</v>
      </c>
      <c r="M21" s="16">
        <f t="array" aca="1" ref="M21" ca="1">IFERROR(L21/(N(INDIRECT("'"&amp;Сводка!$B$3&amp;"'!H16"))+N(INDIRECT("'"&amp;Сводка!$B$3&amp;"'!H43"))+N(INDIRECT("'"&amp;Сводка!$B$3&amp;"'!H66"))+N(INDIRECT("'"&amp;Сводка!$B$3&amp;"'!H89")))-1,"")</f>
        <v>-0.33581235697940504</v>
      </c>
      <c r="N21" s="13">
        <f t="array" aca="1" ref="N21" ca="1">N(INDIRECT("'"&amp;Сводка!$B$2&amp;"'!C16"))+N(INDIRECT("'"&amp;Сводка!$B$2&amp;"'!C43"))+N(INDIRECT("'"&amp;Сводка!$B$2&amp;"'!C66"))+N(INDIRECT("'"&amp;Сводка!$B$2&amp;"'!C89"))</f>
        <v>194</v>
      </c>
      <c r="O21" s="47">
        <f t="shared" ca="1" si="0"/>
        <v>10.150464683202337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45">
      <c r="A22" s="12" t="s">
        <v>53</v>
      </c>
      <c r="B22" s="13">
        <f t="array" aca="1" ref="B22" ca="1">IF(INDIRECT("'"&amp;Сводка!$B$2&amp;"'!D17")="","—",INDIRECT("'"&amp;Сводка!$B$2&amp;"'!D17"))</f>
        <v>156420</v>
      </c>
      <c r="C22" s="13" t="str">
        <f t="array" aca="1" ref="C22" ca="1">IF(INDIRECT("'"&amp;Сводка!$B$2&amp;"'!D44")="","—",INDIRECT("'"&amp;Сводка!$B$2&amp;"'!D44"))</f>
        <v>—</v>
      </c>
      <c r="D22" s="13">
        <f t="array" aca="1" ref="D22" ca="1">IF(INDIRECT("'"&amp;Сводка!$B$2&amp;"'!D67")="","—",INDIRECT("'"&amp;Сводка!$B$2&amp;"'!D67"))</f>
        <v>6617</v>
      </c>
      <c r="E22" s="13">
        <f t="array" aca="1" ref="E22" ca="1">IF(INDIRECT("'"&amp;Сводка!$B$2&amp;"'!D90")="","—",INDIRECT("'"&amp;Сводка!$B$2&amp;"'!D90"))</f>
        <v>33281</v>
      </c>
      <c r="F22" s="13">
        <f t="array" aca="1" ref="F22" ca="1">N(INDIRECT("'"&amp;Сводка!$B$2&amp;"'!D17"))+N(INDIRECT("'"&amp;Сводка!$B$2&amp;"'!D44"))+N(INDIRECT("'"&amp;Сводка!$B$2&amp;"'!D67"))+N(INDIRECT("'"&amp;Сводка!$B$2&amp;"'!D90"))</f>
        <v>196318</v>
      </c>
      <c r="G22" s="16">
        <f t="array" aca="1" ref="G22" ca="1">IFERROR(F22/(N(INDIRECT("'"&amp;Сводка!$B$3&amp;"'!D17"))+N(INDIRECT("'"&amp;Сводка!$B$3&amp;"'!D44"))+N(INDIRECT("'"&amp;Сводка!$B$3&amp;"'!D67"))+N(INDIRECT("'"&amp;Сводка!$B$3&amp;"'!D90")))-1,"")</f>
        <v>-0.24315217684635815</v>
      </c>
      <c r="H22" s="13">
        <f t="array" aca="1" ref="H22" ca="1">IF(INDIRECT("'"&amp;Сводка!$B$2&amp;"'!H17")="","—",INDIRECT("'"&amp;Сводка!$B$2&amp;"'!H17"))</f>
        <v>1581</v>
      </c>
      <c r="I22" s="13" t="str">
        <f t="array" aca="1" ref="I22" ca="1">IF(INDIRECT("'"&amp;Сводка!$B$2&amp;"'!H44")="","—",INDIRECT("'"&amp;Сводка!$B$2&amp;"'!H44"))</f>
        <v>—</v>
      </c>
      <c r="J22" s="13">
        <f t="array" aca="1" ref="J22" ca="1">IF(INDIRECT("'"&amp;Сводка!$B$2&amp;"'!H67")="","—",INDIRECT("'"&amp;Сводка!$B$2&amp;"'!H67"))</f>
        <v>70</v>
      </c>
      <c r="K22" s="13">
        <f t="array" aca="1" ref="K22" ca="1">IF(INDIRECT("'"&amp;Сводка!$B$2&amp;"'!H90")="","—",INDIRECT("'"&amp;Сводка!$B$2&amp;"'!H90"))</f>
        <v>711</v>
      </c>
      <c r="L22" s="13">
        <f t="array" aca="1" ref="L22" ca="1">N(INDIRECT("'"&amp;Сводка!$B$2&amp;"'!H17"))+N(INDIRECT("'"&amp;Сводка!$B$2&amp;"'!H44"))+N(INDIRECT("'"&amp;Сводка!$B$2&amp;"'!H67"))+N(INDIRECT("'"&amp;Сводка!$B$2&amp;"'!H90"))</f>
        <v>2362</v>
      </c>
      <c r="M22" s="16">
        <f t="array" aca="1" ref="M22" ca="1">IFERROR(L22/(N(INDIRECT("'"&amp;Сводка!$B$3&amp;"'!H17"))+N(INDIRECT("'"&amp;Сводка!$B$3&amp;"'!H44"))+N(INDIRECT("'"&amp;Сводка!$B$3&amp;"'!H67"))+N(INDIRECT("'"&amp;Сводка!$B$3&amp;"'!H90")))-1,"")</f>
        <v>-0.36861801657310878</v>
      </c>
      <c r="N22" s="13">
        <f t="array" aca="1" ref="N22" ca="1">N(INDIRECT("'"&amp;Сводка!$B$2&amp;"'!C17"))+N(INDIRECT("'"&amp;Сводка!$B$2&amp;"'!C44"))+N(INDIRECT("'"&amp;Сводка!$B$2&amp;"'!C67"))+N(INDIRECT("'"&amp;Сводка!$B$2&amp;"'!C90"))</f>
        <v>175</v>
      </c>
      <c r="O22" s="47">
        <f t="shared" ca="1" si="0"/>
        <v>12.031499913405799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45">
      <c r="A23" s="12" t="s">
        <v>54</v>
      </c>
      <c r="B23" s="13">
        <f t="array" aca="1" ref="B23" ca="1">IF(INDIRECT("'"&amp;Сводка!$B$2&amp;"'!D18")="","—",INDIRECT("'"&amp;Сводка!$B$2&amp;"'!D18"))</f>
        <v>146062</v>
      </c>
      <c r="C23" s="13">
        <f t="array" aca="1" ref="C23" ca="1">IF(INDIRECT("'"&amp;Сводка!$B$2&amp;"'!D45")="","—",INDIRECT("'"&amp;Сводка!$B$2&amp;"'!D45"))</f>
        <v>14463</v>
      </c>
      <c r="D23" s="13">
        <f t="array" aca="1" ref="D23" ca="1">IF(INDIRECT("'"&amp;Сводка!$B$2&amp;"'!D68")="","—",INDIRECT("'"&amp;Сводка!$B$2&amp;"'!D68"))</f>
        <v>19788</v>
      </c>
      <c r="E23" s="13">
        <f t="array" aca="1" ref="E23" ca="1">IF(INDIRECT("'"&amp;Сводка!$B$2&amp;"'!D91")="","—",INDIRECT("'"&amp;Сводка!$B$2&amp;"'!D91"))</f>
        <v>81701</v>
      </c>
      <c r="F23" s="13">
        <f t="array" aca="1" ref="F23" ca="1">N(INDIRECT("'"&amp;Сводка!$B$2&amp;"'!D18"))+N(INDIRECT("'"&amp;Сводка!$B$2&amp;"'!D45"))+N(INDIRECT("'"&amp;Сводка!$B$2&amp;"'!D68"))+N(INDIRECT("'"&amp;Сводка!$B$2&amp;"'!D91"))</f>
        <v>262014</v>
      </c>
      <c r="G23" s="16">
        <f t="array" aca="1" ref="G23" ca="1">IFERROR(F23/(N(INDIRECT("'"&amp;Сводка!$B$3&amp;"'!D18"))+N(INDIRECT("'"&amp;Сводка!$B$3&amp;"'!D45"))+N(INDIRECT("'"&amp;Сводка!$B$3&amp;"'!D68"))+N(INDIRECT("'"&amp;Сводка!$B$3&amp;"'!D91")))-1,"")</f>
        <v>-0.25616188686315811</v>
      </c>
      <c r="H23" s="13">
        <f t="array" aca="1" ref="H23" ca="1">IF(INDIRECT("'"&amp;Сводка!$B$2&amp;"'!H18")="","—",INDIRECT("'"&amp;Сводка!$B$2&amp;"'!H18"))</f>
        <v>1294</v>
      </c>
      <c r="I23" s="13">
        <f t="array" aca="1" ref="I23" ca="1">IF(INDIRECT("'"&amp;Сводка!$B$2&amp;"'!H45")="","—",INDIRECT("'"&amp;Сводка!$B$2&amp;"'!H45"))</f>
        <v>201</v>
      </c>
      <c r="J23" s="13">
        <f t="array" aca="1" ref="J23" ca="1">IF(INDIRECT("'"&amp;Сводка!$B$2&amp;"'!H68")="","—",INDIRECT("'"&amp;Сводка!$B$2&amp;"'!H68"))</f>
        <v>84</v>
      </c>
      <c r="K23" s="13">
        <f t="array" aca="1" ref="K23" ca="1">IF(INDIRECT("'"&amp;Сводка!$B$2&amp;"'!H91")="","—",INDIRECT("'"&amp;Сводка!$B$2&amp;"'!H91"))</f>
        <v>1051</v>
      </c>
      <c r="L23" s="13">
        <f t="array" aca="1" ref="L23" ca="1">N(INDIRECT("'"&amp;Сводка!$B$2&amp;"'!H18"))+N(INDIRECT("'"&amp;Сводка!$B$2&amp;"'!H45"))+N(INDIRECT("'"&amp;Сводка!$B$2&amp;"'!H68"))+N(INDIRECT("'"&amp;Сводка!$B$2&amp;"'!H91"))</f>
        <v>2630</v>
      </c>
      <c r="M23" s="16">
        <f t="array" aca="1" ref="M23" ca="1">IFERROR(L23/(N(INDIRECT("'"&amp;Сводка!$B$3&amp;"'!H18"))+N(INDIRECT("'"&amp;Сводка!$B$3&amp;"'!H45"))+N(INDIRECT("'"&amp;Сводка!$B$3&amp;"'!H68"))+N(INDIRECT("'"&amp;Сводка!$B$3&amp;"'!H91")))-1,"")</f>
        <v>-0.28822733423545333</v>
      </c>
      <c r="N23" s="13">
        <f t="array" aca="1" ref="N23" ca="1">N(INDIRECT("'"&amp;Сводка!$B$2&amp;"'!C18"))+N(INDIRECT("'"&amp;Сводка!$B$2&amp;"'!C45"))+N(INDIRECT("'"&amp;Сводка!$B$2&amp;"'!C68"))+N(INDIRECT("'"&amp;Сводка!$B$2&amp;"'!C91"))</f>
        <v>237</v>
      </c>
      <c r="O23" s="47">
        <f t="shared" ca="1" si="0"/>
        <v>10.037631576938637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45">
      <c r="A24" s="12" t="s">
        <v>55</v>
      </c>
      <c r="B24" s="13">
        <f t="array" aca="1" ref="B24" ca="1">IF(INDIRECT("'"&amp;Сводка!$B$2&amp;"'!D19")="","—",INDIRECT("'"&amp;Сводка!$B$2&amp;"'!D19"))</f>
        <v>117530</v>
      </c>
      <c r="C24" s="13">
        <f t="array" aca="1" ref="C24" ca="1">IF(INDIRECT("'"&amp;Сводка!$B$2&amp;"'!D46")="","—",INDIRECT("'"&amp;Сводка!$B$2&amp;"'!D46"))</f>
        <v>22558</v>
      </c>
      <c r="D24" s="13">
        <f t="array" aca="1" ref="D24" ca="1">IF(INDIRECT("'"&amp;Сводка!$B$2&amp;"'!D69")="","—",INDIRECT("'"&amp;Сводка!$B$2&amp;"'!D69"))</f>
        <v>37154</v>
      </c>
      <c r="E24" s="13">
        <f t="array" aca="1" ref="E24" ca="1">IF(INDIRECT("'"&amp;Сводка!$B$2&amp;"'!D92")="","—",INDIRECT("'"&amp;Сводка!$B$2&amp;"'!D92"))</f>
        <v>41251</v>
      </c>
      <c r="F24" s="13">
        <f t="array" aca="1" ref="F24" ca="1">N(INDIRECT("'"&amp;Сводка!$B$2&amp;"'!D19"))+N(INDIRECT("'"&amp;Сводка!$B$2&amp;"'!D46"))+N(INDIRECT("'"&amp;Сводка!$B$2&amp;"'!D69"))+N(INDIRECT("'"&amp;Сводка!$B$2&amp;"'!D92"))</f>
        <v>218493</v>
      </c>
      <c r="G24" s="16">
        <f t="array" aca="1" ref="G24" ca="1">IFERROR(F24/(N(INDIRECT("'"&amp;Сводка!$B$3&amp;"'!D19"))+N(INDIRECT("'"&amp;Сводка!$B$3&amp;"'!D46"))+N(INDIRECT("'"&amp;Сводка!$B$3&amp;"'!D69"))+N(INDIRECT("'"&amp;Сводка!$B$3&amp;"'!D92")))-1,"")</f>
        <v>-0.27150059015343986</v>
      </c>
      <c r="H24" s="13">
        <f t="array" aca="1" ref="H24" ca="1">IF(INDIRECT("'"&amp;Сводка!$B$2&amp;"'!H19")="","—",INDIRECT("'"&amp;Сводка!$B$2&amp;"'!H19"))</f>
        <v>1073</v>
      </c>
      <c r="I24" s="13">
        <f t="array" aca="1" ref="I24" ca="1">IF(INDIRECT("'"&amp;Сводка!$B$2&amp;"'!H46")="","—",INDIRECT("'"&amp;Сводка!$B$2&amp;"'!H46"))</f>
        <v>342</v>
      </c>
      <c r="J24" s="13">
        <f t="array" aca="1" ref="J24" ca="1">IF(INDIRECT("'"&amp;Сводка!$B$2&amp;"'!H69")="","—",INDIRECT("'"&amp;Сводка!$B$2&amp;"'!H69"))</f>
        <v>218</v>
      </c>
      <c r="K24" s="13">
        <f t="array" aca="1" ref="K24" ca="1">IF(INDIRECT("'"&amp;Сводка!$B$2&amp;"'!H92")="","—",INDIRECT("'"&amp;Сводка!$B$2&amp;"'!H92"))</f>
        <v>557</v>
      </c>
      <c r="L24" s="13">
        <f t="array" aca="1" ref="L24" ca="1">N(INDIRECT("'"&amp;Сводка!$B$2&amp;"'!H19"))+N(INDIRECT("'"&amp;Сводка!$B$2&amp;"'!H46"))+N(INDIRECT("'"&amp;Сводка!$B$2&amp;"'!H69"))+N(INDIRECT("'"&amp;Сводка!$B$2&amp;"'!H92"))</f>
        <v>2190</v>
      </c>
      <c r="M24" s="16">
        <f t="array" aca="1" ref="M24" ca="1">IFERROR(L24/(N(INDIRECT("'"&amp;Сводка!$B$3&amp;"'!H19"))+N(INDIRECT("'"&amp;Сводка!$B$3&amp;"'!H46"))+N(INDIRECT("'"&amp;Сводка!$B$3&amp;"'!H69"))+N(INDIRECT("'"&amp;Сводка!$B$3&amp;"'!H92")))-1,"")</f>
        <v>-0.36650274804743999</v>
      </c>
      <c r="N24" s="13">
        <f t="array" aca="1" ref="N24" ca="1">N(INDIRECT("'"&amp;Сводка!$B$2&amp;"'!C19"))+N(INDIRECT("'"&amp;Сводка!$B$2&amp;"'!C46"))+N(INDIRECT("'"&amp;Сводка!$B$2&amp;"'!C69"))+N(INDIRECT("'"&amp;Сводка!$B$2&amp;"'!C92"))</f>
        <v>310</v>
      </c>
      <c r="O24" s="47">
        <f t="shared" ca="1" si="0"/>
        <v>10.02320440471777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45">
      <c r="A25" s="25" t="s">
        <v>92</v>
      </c>
      <c r="B25" s="26">
        <f ca="1">SUM(B12:B24)</f>
        <v>2017594</v>
      </c>
      <c r="C25" s="26">
        <f ca="1">SUM(C12:C24)</f>
        <v>86867</v>
      </c>
      <c r="D25" s="26">
        <f ca="1">SUM(D12:D24)</f>
        <v>296223</v>
      </c>
      <c r="E25" s="26">
        <f ca="1">SUM(E12:E24)</f>
        <v>754222</v>
      </c>
      <c r="F25" s="26">
        <f ca="1">SUM(F12:F24)</f>
        <v>3154906</v>
      </c>
      <c r="G25" s="28">
        <f t="array" aca="1" ref="G25" ca="1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>-0.25146088108170561</v>
      </c>
      <c r="H25" s="26">
        <f ca="1">SUM(H12:H24)</f>
        <v>21472</v>
      </c>
      <c r="I25" s="26">
        <f ca="1">SUM(I12:I24)</f>
        <v>1000</v>
      </c>
      <c r="J25" s="26">
        <f ca="1">SUM(J12:J24)</f>
        <v>1761</v>
      </c>
      <c r="K25" s="26">
        <f ca="1">SUM(K12:K24)</f>
        <v>11128</v>
      </c>
      <c r="L25" s="26">
        <f ca="1">SUM(L12:L24)</f>
        <v>35361</v>
      </c>
      <c r="M25" s="28">
        <f t="array" aca="1" ref="M25" ca="1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>-0.20237746148467284</v>
      </c>
      <c r="N25" s="26">
        <f ca="1">SUM(N12:N24)</f>
        <v>3664</v>
      </c>
      <c r="O25" s="52">
        <f t="shared" ca="1" si="0"/>
        <v>11.20825786885568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45">
      <c r="A26" s="2"/>
      <c r="B26" s="53"/>
      <c r="C26" s="53"/>
      <c r="D26" s="53"/>
      <c r="E26" s="53"/>
      <c r="F26" s="53"/>
      <c r="G26" s="54"/>
      <c r="H26" s="53"/>
      <c r="I26" s="53"/>
      <c r="J26" s="53"/>
      <c r="K26" s="53"/>
      <c r="L26" s="53"/>
      <c r="M26" s="54"/>
      <c r="N26" s="53"/>
      <c r="O26" s="5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45">
      <c r="A27" s="43" t="s">
        <v>93</v>
      </c>
      <c r="B27" s="44"/>
      <c r="C27" s="44"/>
      <c r="D27" s="44"/>
      <c r="E27" s="44"/>
      <c r="F27" s="44"/>
      <c r="G27" s="45"/>
      <c r="H27" s="44"/>
      <c r="I27" s="44"/>
      <c r="J27" s="44"/>
      <c r="K27" s="44"/>
      <c r="L27" s="44"/>
      <c r="M27" s="45"/>
      <c r="N27" s="44"/>
      <c r="O27" s="4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45">
      <c r="A28" s="12" t="s">
        <v>56</v>
      </c>
      <c r="B28" s="13">
        <f t="array" aca="1" ref="B28" ca="1">IF(INDIRECT("'"&amp;Сводка!$B$2&amp;"'!D20")="","—",INDIRECT("'"&amp;Сводка!$B$2&amp;"'!D20"))</f>
        <v>54324</v>
      </c>
      <c r="C28" s="13" t="s">
        <v>94</v>
      </c>
      <c r="D28" s="13">
        <f t="array" aca="1" ref="D28" ca="1">IF(INDIRECT("'"&amp;Сводка!$B$2&amp;"'!D71")="","—",INDIRECT("'"&amp;Сводка!$B$2&amp;"'!D71"))</f>
        <v>4176</v>
      </c>
      <c r="E28" s="13">
        <f t="array" aca="1" ref="E28" ca="1">IF(INDIRECT("'"&amp;Сводка!$B$2&amp;"'!D93")="","—",INDIRECT("'"&amp;Сводка!$B$2&amp;"'!D93"))</f>
        <v>8577</v>
      </c>
      <c r="F28" s="13">
        <f t="array" aca="1" ref="F28" ca="1">N(INDIRECT("'"&amp;Сводка!$B$2&amp;"'!D20"))+N(INDIRECT("'"&amp;Сводка!$B$2&amp;"'!D71"))+N(INDIRECT("'"&amp;Сводка!$B$2&amp;"'!D93"))</f>
        <v>67077</v>
      </c>
      <c r="G28" s="16">
        <f t="array" aca="1" ref="G28" ca="1">IFERROR(F28/(N(INDIRECT("'"&amp;Сводка!$B$3&amp;"'!D20"))+N(INDIRECT("'"&amp;Сводка!$B$3&amp;"'!D71"))+N(INDIRECT("'"&amp;Сводка!$B$3&amp;"'!D93")))-1,"")</f>
        <v>1.3155550952775474</v>
      </c>
      <c r="H28" s="13">
        <f t="array" aca="1" ref="H28" ca="1">IF(INDIRECT("'"&amp;Сводка!$B$2&amp;"'!H20")="","—",INDIRECT("'"&amp;Сводка!$B$2&amp;"'!H20"))</f>
        <v>1597</v>
      </c>
      <c r="I28" s="13" t="s">
        <v>94</v>
      </c>
      <c r="J28" s="13">
        <f t="array" aca="1" ref="J28" ca="1">IF(INDIRECT("'"&amp;Сводка!$B$2&amp;"'!H71")="","—",INDIRECT("'"&amp;Сводка!$B$2&amp;"'!H71"))</f>
        <v>449</v>
      </c>
      <c r="K28" s="13">
        <f t="array" aca="1" ref="K28" ca="1">IF(INDIRECT("'"&amp;Сводка!$B$2&amp;"'!H93")="","—",INDIRECT("'"&amp;Сводка!$B$2&amp;"'!H93"))</f>
        <v>702</v>
      </c>
      <c r="L28" s="13">
        <f t="array" aca="1" ref="L28" ca="1">N(INDIRECT("'"&amp;Сводка!$B$2&amp;"'!H20"))+N(INDIRECT("'"&amp;Сводка!$B$2&amp;"'!H71"))+N(INDIRECT("'"&amp;Сводка!$B$2&amp;"'!H93"))</f>
        <v>2748</v>
      </c>
      <c r="M28" s="16">
        <f t="array" aca="1" ref="M28" ca="1">IFERROR(L28/(N(INDIRECT("'"&amp;Сводка!$B$3&amp;"'!H20"))+N(INDIRECT("'"&amp;Сводка!$B$3&amp;"'!H71"))+N(INDIRECT("'"&amp;Сводка!$B$3&amp;"'!H93")))-1,"")</f>
        <v>-9.0367428003972239E-2</v>
      </c>
      <c r="N28" s="13">
        <f t="array" aca="1" ref="N28" ca="1">N(INDIRECT("'"&amp;Сводка!$B$2&amp;"'!C20"))+N(INDIRECT("'"&amp;Сводка!$B$2&amp;"'!C71"))+N(INDIRECT("'"&amp;Сводка!$B$2&amp;"'!C93"))</f>
        <v>65</v>
      </c>
      <c r="O28" s="47">
        <f t="shared" ref="O28:O39" ca="1" si="1">IFERROR(L28/F28*1000,"")</f>
        <v>40.967842926785629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45">
      <c r="A29" s="12" t="s">
        <v>61</v>
      </c>
      <c r="B29" s="13">
        <f t="array" aca="1" ref="B29" ca="1">IF(INDIRECT("'"&amp;Сводка!$B$2&amp;"'!D25")="","—",INDIRECT("'"&amp;Сводка!$B$2&amp;"'!D25"))</f>
        <v>10255</v>
      </c>
      <c r="C29" s="13" t="s">
        <v>94</v>
      </c>
      <c r="D29" s="13">
        <f t="array" aca="1" ref="D29" ca="1">IF(INDIRECT("'"&amp;Сводка!$B$2&amp;"'!D72")="","—",INDIRECT("'"&amp;Сводка!$B$2&amp;"'!D72"))</f>
        <v>172</v>
      </c>
      <c r="E29" s="13">
        <f t="array" aca="1" ref="E29" ca="1">IF(INDIRECT("'"&amp;Сводка!$B$2&amp;"'!D94")="","—",INDIRECT("'"&amp;Сводка!$B$2&amp;"'!D94"))</f>
        <v>764</v>
      </c>
      <c r="F29" s="13">
        <f t="array" aca="1" ref="F29" ca="1">N(INDIRECT("'"&amp;Сводка!$B$2&amp;"'!D25"))+N(INDIRECT("'"&amp;Сводка!$B$2&amp;"'!D72"))+N(INDIRECT("'"&amp;Сводка!$B$2&amp;"'!D94"))</f>
        <v>11191</v>
      </c>
      <c r="G29" s="16">
        <f t="array" aca="1" ref="G29" ca="1">IFERROR(F29/(N(INDIRECT("'"&amp;Сводка!$B$3&amp;"'!D25"))+N(INDIRECT("'"&amp;Сводка!$B$3&amp;"'!D72"))+N(INDIRECT("'"&amp;Сводка!$B$3&amp;"'!D94")))-1,"")</f>
        <v>-0.49175711885190065</v>
      </c>
      <c r="H29" s="13">
        <f t="array" aca="1" ref="H29" ca="1">IF(INDIRECT("'"&amp;Сводка!$B$2&amp;"'!H25")="","—",INDIRECT("'"&amp;Сводка!$B$2&amp;"'!H25"))</f>
        <v>95</v>
      </c>
      <c r="I29" s="13" t="s">
        <v>94</v>
      </c>
      <c r="J29" s="13">
        <f t="array" aca="1" ref="J29" ca="1">IF(INDIRECT("'"&amp;Сводка!$B$2&amp;"'!H72")="","—",INDIRECT("'"&amp;Сводка!$B$2&amp;"'!H72"))</f>
        <v>27</v>
      </c>
      <c r="K29" s="13">
        <f t="array" aca="1" ref="K29" ca="1">IF(INDIRECT("'"&amp;Сводка!$B$2&amp;"'!H94")="","—",INDIRECT("'"&amp;Сводка!$B$2&amp;"'!H94"))</f>
        <v>21</v>
      </c>
      <c r="L29" s="13">
        <f t="array" aca="1" ref="L29" ca="1">N(INDIRECT("'"&amp;Сводка!$B$2&amp;"'!H25"))+N(INDIRECT("'"&amp;Сводка!$B$2&amp;"'!H72"))+N(INDIRECT("'"&amp;Сводка!$B$2&amp;"'!H94"))</f>
        <v>143</v>
      </c>
      <c r="M29" s="16">
        <f t="array" aca="1" ref="M29" ca="1">IFERROR(L29/(N(INDIRECT("'"&amp;Сводка!$B$3&amp;"'!H25"))+N(INDIRECT("'"&amp;Сводка!$B$3&amp;"'!H72"))+N(INDIRECT("'"&amp;Сводка!$B$3&amp;"'!H94")))-1,"")</f>
        <v>-0.40416666666666667</v>
      </c>
      <c r="N29" s="13">
        <f t="array" aca="1" ref="N29" ca="1">N(INDIRECT("'"&amp;Сводка!$B$2&amp;"'!C25"))+N(INDIRECT("'"&amp;Сводка!$B$2&amp;"'!C72"))+N(INDIRECT("'"&amp;Сводка!$B$2&amp;"'!C94"))</f>
        <v>21</v>
      </c>
      <c r="O29" s="47">
        <f t="shared" ca="1" si="1"/>
        <v>12.778125279242248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45">
      <c r="A30" s="12" t="s">
        <v>68</v>
      </c>
      <c r="B30" s="13" t="s">
        <v>94</v>
      </c>
      <c r="C30" s="13" t="s">
        <v>94</v>
      </c>
      <c r="D30" s="13">
        <f t="array" aca="1" ref="D30" ca="1">IF(INDIRECT("'"&amp;Сводка!$B$2&amp;"'!D55")="","—",INDIRECT("'"&amp;Сводка!$B$2&amp;"'!D55"))</f>
        <v>6440</v>
      </c>
      <c r="E30" s="13">
        <f t="array" aca="1" ref="E30" ca="1">IF(INDIRECT("'"&amp;Сводка!$B$2&amp;"'!D78")="","—",INDIRECT("'"&amp;Сводка!$B$2&amp;"'!D78"))</f>
        <v>826</v>
      </c>
      <c r="F30" s="13">
        <f t="array" aca="1" ref="F30" ca="1">N(INDIRECT("'"&amp;Сводка!$B$2&amp;"'!D55"))+N(INDIRECT("'"&amp;Сводка!$B$2&amp;"'!D78"))</f>
        <v>7266</v>
      </c>
      <c r="G30" s="16">
        <f t="array" aca="1" ref="G30" ca="1">IFERROR(F30/(N(INDIRECT("'"&amp;Сводка!$B$3&amp;"'!D55"))+N(INDIRECT("'"&amp;Сводка!$B$3&amp;"'!D78")))-1,"")</f>
        <v>-0.79608217332734621</v>
      </c>
      <c r="H30" s="13" t="s">
        <v>94</v>
      </c>
      <c r="I30" s="13" t="s">
        <v>94</v>
      </c>
      <c r="J30" s="13">
        <f t="array" aca="1" ref="J30" ca="1">IF(INDIRECT("'"&amp;Сводка!$B$2&amp;"'!H55")="","—",INDIRECT("'"&amp;Сводка!$B$2&amp;"'!H55"))</f>
        <v>59</v>
      </c>
      <c r="K30" s="13">
        <f t="array" aca="1" ref="K30" ca="1">IF(INDIRECT("'"&amp;Сводка!$B$2&amp;"'!H78")="","—",INDIRECT("'"&amp;Сводка!$B$2&amp;"'!H78"))</f>
        <v>37</v>
      </c>
      <c r="L30" s="13">
        <f t="array" aca="1" ref="L30" ca="1">N(INDIRECT("'"&amp;Сводка!$B$2&amp;"'!H55"))+N(INDIRECT("'"&amp;Сводка!$B$2&amp;"'!H78"))</f>
        <v>96</v>
      </c>
      <c r="M30" s="16">
        <f t="array" aca="1" ref="M30" ca="1">IFERROR(L30/(N(INDIRECT("'"&amp;Сводка!$B$3&amp;"'!H55"))+N(INDIRECT("'"&amp;Сводка!$B$3&amp;"'!H78")))-1,"")</f>
        <v>0.77777777777777768</v>
      </c>
      <c r="N30" s="13">
        <f t="array" aca="1" ref="N30" ca="1">N(INDIRECT("'"&amp;Сводка!$B$2&amp;"'!C55"))+N(INDIRECT("'"&amp;Сводка!$B$2&amp;"'!C78"))</f>
        <v>15</v>
      </c>
      <c r="O30" s="47">
        <f t="shared" ca="1" si="1"/>
        <v>13.212221304706853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45">
      <c r="A31" s="12" t="s">
        <v>69</v>
      </c>
      <c r="B31" s="13" t="s">
        <v>94</v>
      </c>
      <c r="C31" s="13" t="s">
        <v>94</v>
      </c>
      <c r="D31" s="13">
        <f t="array" aca="1" ref="D31" ca="1">IF(INDIRECT("'"&amp;Сводка!$B$2&amp;"'!D56")="","—",INDIRECT("'"&amp;Сводка!$B$2&amp;"'!D56"))</f>
        <v>2278</v>
      </c>
      <c r="E31" s="13">
        <f t="array" aca="1" ref="E31" ca="1">IF(INDIRECT("'"&amp;Сводка!$B$2&amp;"'!D79")="","—",INDIRECT("'"&amp;Сводка!$B$2&amp;"'!D79"))</f>
        <v>85</v>
      </c>
      <c r="F31" s="13">
        <f t="array" aca="1" ref="F31" ca="1">N(INDIRECT("'"&amp;Сводка!$B$2&amp;"'!D56"))+N(INDIRECT("'"&amp;Сводка!$B$2&amp;"'!D79"))</f>
        <v>2363</v>
      </c>
      <c r="G31" s="16">
        <f t="array" aca="1" ref="G31" ca="1">IFERROR(F31/(N(INDIRECT("'"&amp;Сводка!$B$3&amp;"'!D56"))+N(INDIRECT("'"&amp;Сводка!$B$3&amp;"'!D79")))-1,"")</f>
        <v>0.27454153182308527</v>
      </c>
      <c r="H31" s="13" t="s">
        <v>94</v>
      </c>
      <c r="I31" s="13" t="s">
        <v>94</v>
      </c>
      <c r="J31" s="13">
        <f t="array" aca="1" ref="J31" ca="1">IF(INDIRECT("'"&amp;Сводка!$B$2&amp;"'!H56")="","—",INDIRECT("'"&amp;Сводка!$B$2&amp;"'!H56"))</f>
        <v>12</v>
      </c>
      <c r="K31" s="13">
        <f t="array" aca="1" ref="K31" ca="1">IF(INDIRECT("'"&amp;Сводка!$B$2&amp;"'!H79")="","—",INDIRECT("'"&amp;Сводка!$B$2&amp;"'!H79"))</f>
        <v>1</v>
      </c>
      <c r="L31" s="13">
        <f t="array" aca="1" ref="L31" ca="1">N(INDIRECT("'"&amp;Сводка!$B$2&amp;"'!H56"))+N(INDIRECT("'"&amp;Сводка!$B$2&amp;"'!H79"))</f>
        <v>13</v>
      </c>
      <c r="M31" s="16">
        <f t="array" aca="1" ref="M31" ca="1">IFERROR(L31/(N(INDIRECT("'"&amp;Сводка!$B$3&amp;"'!H56"))+N(INDIRECT("'"&amp;Сводка!$B$3&amp;"'!H79")))-1,"")</f>
        <v>8.3333333333333259E-2</v>
      </c>
      <c r="N31" s="13">
        <f t="array" aca="1" ref="N31" ca="1">N(INDIRECT("'"&amp;Сводка!$B$2&amp;"'!C56"))+N(INDIRECT("'"&amp;Сводка!$B$2&amp;"'!C79"))</f>
        <v>12</v>
      </c>
      <c r="O31" s="47">
        <f t="shared" ca="1" si="1"/>
        <v>5.5014811680067703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45">
      <c r="A32" s="12" t="s">
        <v>57</v>
      </c>
      <c r="B32" s="13">
        <f t="array" aca="1" ref="B32" ca="1">IF(INDIRECT("'"&amp;Сводка!$B$2&amp;"'!D21")="","—",INDIRECT("'"&amp;Сводка!$B$2&amp;"'!D21"))</f>
        <v>10388</v>
      </c>
      <c r="C32" s="13" t="s">
        <v>94</v>
      </c>
      <c r="D32" s="13" t="s">
        <v>94</v>
      </c>
      <c r="E32" s="13" t="s">
        <v>94</v>
      </c>
      <c r="F32" s="13">
        <f t="array" aca="1" ref="F32" ca="1">N(INDIRECT("'"&amp;Сводка!$B$2&amp;"'!D21"))</f>
        <v>10388</v>
      </c>
      <c r="G32" s="16">
        <f t="array" aca="1" ref="G32" ca="1">IFERROR(F32/(N(INDIRECT("'"&amp;Сводка!$B$3&amp;"'!D21")))-1,"")</f>
        <v>-2.5881470367591919E-2</v>
      </c>
      <c r="H32" s="13">
        <f t="array" aca="1" ref="H32" ca="1">IF(INDIRECT("'"&amp;Сводка!$B$2&amp;"'!H21")="","—",INDIRECT("'"&amp;Сводка!$B$2&amp;"'!H21"))</f>
        <v>300</v>
      </c>
      <c r="I32" s="13" t="s">
        <v>94</v>
      </c>
      <c r="J32" s="13" t="s">
        <v>94</v>
      </c>
      <c r="K32" s="13" t="s">
        <v>94</v>
      </c>
      <c r="L32" s="13">
        <f t="array" aca="1" ref="L32" ca="1">N(INDIRECT("'"&amp;Сводка!$B$2&amp;"'!H21"))</f>
        <v>300</v>
      </c>
      <c r="M32" s="16">
        <f t="array" aca="1" ref="M32" ca="1">IFERROR(L32/(N(INDIRECT("'"&amp;Сводка!$B$3&amp;"'!H21")))-1,"")</f>
        <v>-0.23469387755102045</v>
      </c>
      <c r="N32" s="13">
        <f t="array" aca="1" ref="N32" ca="1">N(INDIRECT("'"&amp;Сводка!$B$2&amp;"'!C21"))</f>
        <v>11</v>
      </c>
      <c r="O32" s="47">
        <f t="shared" ca="1" si="1"/>
        <v>28.879476318829418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45">
      <c r="A33" s="12" t="s">
        <v>58</v>
      </c>
      <c r="B33" s="13">
        <f t="array" aca="1" ref="B33" ca="1">IF(INDIRECT("'"&amp;Сводка!$B$2&amp;"'!D22")="","—",INDIRECT("'"&amp;Сводка!$B$2&amp;"'!D22"))</f>
        <v>2665</v>
      </c>
      <c r="C33" s="13" t="s">
        <v>94</v>
      </c>
      <c r="D33" s="13" t="s">
        <v>94</v>
      </c>
      <c r="E33" s="13" t="s">
        <v>94</v>
      </c>
      <c r="F33" s="13">
        <f t="array" aca="1" ref="F33" ca="1">N(INDIRECT("'"&amp;Сводка!$B$2&amp;"'!D22"))</f>
        <v>2665</v>
      </c>
      <c r="G33" s="16">
        <f t="array" aca="1" ref="G33" ca="1">IFERROR(F33/(N(INDIRECT("'"&amp;Сводка!$B$3&amp;"'!D22")))-1,"")</f>
        <v>-0.68296454913157267</v>
      </c>
      <c r="H33" s="13">
        <f t="array" aca="1" ref="H33" ca="1">IF(INDIRECT("'"&amp;Сводка!$B$2&amp;"'!H22")="","—",INDIRECT("'"&amp;Сводка!$B$2&amp;"'!H22"))</f>
        <v>108</v>
      </c>
      <c r="I33" s="13" t="s">
        <v>94</v>
      </c>
      <c r="J33" s="13" t="s">
        <v>94</v>
      </c>
      <c r="K33" s="13" t="s">
        <v>94</v>
      </c>
      <c r="L33" s="13">
        <f t="array" aca="1" ref="L33" ca="1">N(INDIRECT("'"&amp;Сводка!$B$2&amp;"'!H22"))</f>
        <v>108</v>
      </c>
      <c r="M33" s="16">
        <f t="array" aca="1" ref="M33" ca="1">IFERROR(L33/(N(INDIRECT("'"&amp;Сводка!$B$3&amp;"'!H22")))-1,"")</f>
        <v>-0.3532934131736527</v>
      </c>
      <c r="N33" s="13">
        <f t="array" aca="1" ref="N33" ca="1">N(INDIRECT("'"&amp;Сводка!$B$2&amp;"'!C22"))</f>
        <v>14</v>
      </c>
      <c r="O33" s="47">
        <f t="shared" ca="1" si="1"/>
        <v>40.525328330206385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45">
      <c r="A34" s="12" t="s">
        <v>63</v>
      </c>
      <c r="B34" s="13">
        <f t="array" aca="1" ref="B34" ca="1">IF(INDIRECT("'"&amp;Сводка!$B$2&amp;"'!D27")="","—",INDIRECT("'"&amp;Сводка!$B$2&amp;"'!D27"))</f>
        <v>2184</v>
      </c>
      <c r="C34" s="13" t="s">
        <v>94</v>
      </c>
      <c r="D34" s="13" t="s">
        <v>94</v>
      </c>
      <c r="E34" s="13" t="s">
        <v>94</v>
      </c>
      <c r="F34" s="13">
        <f t="array" aca="1" ref="F34" ca="1">N(INDIRECT("'"&amp;Сводка!$B$2&amp;"'!D27"))</f>
        <v>2184</v>
      </c>
      <c r="G34" s="16">
        <f t="array" aca="1" ref="G34" ca="1">IFERROR(F34/(N(INDIRECT("'"&amp;Сводка!$B$3&amp;"'!D27")))-1,"")</f>
        <v>0.19083969465648853</v>
      </c>
      <c r="H34" s="13">
        <f t="array" aca="1" ref="H34" ca="1">IF(INDIRECT("'"&amp;Сводка!$B$2&amp;"'!H27")="","—",INDIRECT("'"&amp;Сводка!$B$2&amp;"'!H27"))</f>
        <v>27</v>
      </c>
      <c r="I34" s="13" t="s">
        <v>94</v>
      </c>
      <c r="J34" s="13" t="s">
        <v>94</v>
      </c>
      <c r="K34" s="13" t="s">
        <v>94</v>
      </c>
      <c r="L34" s="13">
        <f t="array" aca="1" ref="L34" ca="1">N(INDIRECT("'"&amp;Сводка!$B$2&amp;"'!H27"))</f>
        <v>27</v>
      </c>
      <c r="M34" s="16">
        <f t="array" aca="1" ref="M34" ca="1">IFERROR(L34/(N(INDIRECT("'"&amp;Сводка!$B$3&amp;"'!H27")))-1,"")</f>
        <v>-0.25</v>
      </c>
      <c r="N34" s="13">
        <f t="array" aca="1" ref="N34" ca="1">N(INDIRECT("'"&amp;Сводка!$B$2&amp;"'!C27"))</f>
        <v>10</v>
      </c>
      <c r="O34" s="47">
        <f t="shared" ca="1" si="1"/>
        <v>12.362637362637361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45">
      <c r="A35" s="12" t="s">
        <v>64</v>
      </c>
      <c r="B35" s="13">
        <f t="array" aca="1" ref="B35" ca="1">IF(INDIRECT("'"&amp;Сводка!$B$2&amp;"'!D28")="","—",INDIRECT("'"&amp;Сводка!$B$2&amp;"'!D28"))</f>
        <v>7159</v>
      </c>
      <c r="C35" s="13" t="s">
        <v>94</v>
      </c>
      <c r="D35" s="13" t="s">
        <v>94</v>
      </c>
      <c r="E35" s="13" t="s">
        <v>94</v>
      </c>
      <c r="F35" s="13">
        <f t="array" aca="1" ref="F35" ca="1">N(INDIRECT("'"&amp;Сводка!$B$2&amp;"'!D28"))</f>
        <v>7159</v>
      </c>
      <c r="G35" s="16">
        <f t="array" aca="1" ref="G35" ca="1">IFERROR(F35/(N(INDIRECT("'"&amp;Сводка!$B$3&amp;"'!D28")))-1,"")</f>
        <v>0.32623193775472403</v>
      </c>
      <c r="H35" s="13">
        <f t="array" aca="1" ref="H35" ca="1">IF(INDIRECT("'"&amp;Сводка!$B$2&amp;"'!H28")="","—",INDIRECT("'"&amp;Сводка!$B$2&amp;"'!H28"))</f>
        <v>30</v>
      </c>
      <c r="I35" s="13" t="s">
        <v>94</v>
      </c>
      <c r="J35" s="13" t="s">
        <v>94</v>
      </c>
      <c r="K35" s="13" t="s">
        <v>94</v>
      </c>
      <c r="L35" s="13">
        <f t="array" aca="1" ref="L35" ca="1">N(INDIRECT("'"&amp;Сводка!$B$2&amp;"'!H28"))</f>
        <v>30</v>
      </c>
      <c r="M35" s="16">
        <f t="array" aca="1" ref="M35" ca="1">IFERROR(L35/(N(INDIRECT("'"&amp;Сводка!$B$3&amp;"'!H28")))-1,"")</f>
        <v>-0.4</v>
      </c>
      <c r="N35" s="13">
        <f t="array" aca="1" ref="N35" ca="1">N(INDIRECT("'"&amp;Сводка!$B$2&amp;"'!C28"))</f>
        <v>20</v>
      </c>
      <c r="O35" s="47">
        <f t="shared" ca="1" si="1"/>
        <v>4.1905294035479814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45">
      <c r="A36" s="12" t="s">
        <v>59</v>
      </c>
      <c r="B36" s="13">
        <f t="array" aca="1" ref="B36" ca="1">IF(INDIRECT("'"&amp;Сводка!$B$2&amp;"'!D23")="","—",INDIRECT("'"&amp;Сводка!$B$2&amp;"'!D23"))</f>
        <v>13070</v>
      </c>
      <c r="C36" s="13" t="str">
        <f t="array" aca="1" ref="C36" ca="1">IF(INDIRECT("'"&amp;Сводка!$B$2&amp;"'!D47")="","—",INDIRECT("'"&amp;Сводка!$B$2&amp;"'!D47"))</f>
        <v>—</v>
      </c>
      <c r="D36" s="13" t="s">
        <v>94</v>
      </c>
      <c r="E36" s="13" t="s">
        <v>94</v>
      </c>
      <c r="F36" s="13">
        <f t="array" aca="1" ref="F36" ca="1">N(INDIRECT("'"&amp;Сводка!$B$2&amp;"'!D23"))+N(INDIRECT("'"&amp;Сводка!$B$2&amp;"'!D47"))</f>
        <v>13070</v>
      </c>
      <c r="G36" s="16">
        <f t="array" aca="1" ref="G36" ca="1">IFERROR(F36/(N(INDIRECT("'"&amp;Сводка!$B$3&amp;"'!D23"))+N(INDIRECT("'"&amp;Сводка!$B$3&amp;"'!D47")))-1,"")</f>
        <v>-0.20936422478978889</v>
      </c>
      <c r="H36" s="13">
        <f t="array" aca="1" ref="H36" ca="1">IF(INDIRECT("'"&amp;Сводка!$B$2&amp;"'!H23")="","—",INDIRECT("'"&amp;Сводка!$B$2&amp;"'!H23"))</f>
        <v>344</v>
      </c>
      <c r="I36" s="13" t="str">
        <f t="array" aca="1" ref="I36" ca="1">IF(INDIRECT("'"&amp;Сводка!$B$2&amp;"'!H47")="","—",INDIRECT("'"&amp;Сводка!$B$2&amp;"'!H47"))</f>
        <v>—</v>
      </c>
      <c r="J36" s="13" t="s">
        <v>94</v>
      </c>
      <c r="K36" s="13" t="s">
        <v>94</v>
      </c>
      <c r="L36" s="13">
        <f t="array" aca="1" ref="L36" ca="1">N(INDIRECT("'"&amp;Сводка!$B$2&amp;"'!H23"))+N(INDIRECT("'"&amp;Сводка!$B$2&amp;"'!H47"))</f>
        <v>344</v>
      </c>
      <c r="M36" s="16">
        <f t="array" aca="1" ref="M36" ca="1">IFERROR(L36/(N(INDIRECT("'"&amp;Сводка!$B$3&amp;"'!H23"))+N(INDIRECT("'"&amp;Сводка!$B$3&amp;"'!H47")))-1,"")</f>
        <v>10.466666666666667</v>
      </c>
      <c r="N36" s="13">
        <f t="array" aca="1" ref="N36" ca="1">N(INDIRECT("'"&amp;Сводка!$B$2&amp;"'!C23"))+N(INDIRECT("'"&amp;Сводка!$B$2&amp;"'!C47"))</f>
        <v>9</v>
      </c>
      <c r="O36" s="47">
        <f t="shared" ca="1" si="1"/>
        <v>26.319816373374142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45">
      <c r="A37" s="12" t="s">
        <v>60</v>
      </c>
      <c r="B37" s="13">
        <f t="array" aca="1" ref="B37" ca="1">IF(INDIRECT("'"&amp;Сводка!$B$2&amp;"'!D24")="","—",INDIRECT("'"&amp;Сводка!$B$2&amp;"'!D24"))</f>
        <v>5841</v>
      </c>
      <c r="C37" s="13" t="str">
        <f t="array" aca="1" ref="C37" ca="1">IF(INDIRECT("'"&amp;Сводка!$B$2&amp;"'!D48")="","—",INDIRECT("'"&amp;Сводка!$B$2&amp;"'!D48"))</f>
        <v>—</v>
      </c>
      <c r="D37" s="13" t="s">
        <v>94</v>
      </c>
      <c r="E37" s="13" t="s">
        <v>94</v>
      </c>
      <c r="F37" s="13">
        <f t="array" aca="1" ref="F37" ca="1">N(INDIRECT("'"&amp;Сводка!$B$2&amp;"'!D24"))+N(INDIRECT("'"&amp;Сводка!$B$2&amp;"'!D48"))</f>
        <v>5841</v>
      </c>
      <c r="G37" s="16">
        <f t="array" aca="1" ref="G37" ca="1">IFERROR(F37/(N(INDIRECT("'"&amp;Сводка!$B$3&amp;"'!D24"))+N(INDIRECT("'"&amp;Сводка!$B$3&amp;"'!D48")))-1,"")</f>
        <v>-0.524658203125</v>
      </c>
      <c r="H37" s="13">
        <f t="array" aca="1" ref="H37" ca="1">IF(INDIRECT("'"&amp;Сводка!$B$2&amp;"'!H24")="","—",INDIRECT("'"&amp;Сводка!$B$2&amp;"'!H24"))</f>
        <v>202</v>
      </c>
      <c r="I37" s="13" t="str">
        <f t="array" aca="1" ref="I37" ca="1">IF(INDIRECT("'"&amp;Сводка!$B$2&amp;"'!H48")="","—",INDIRECT("'"&amp;Сводка!$B$2&amp;"'!H48"))</f>
        <v>—</v>
      </c>
      <c r="J37" s="13" t="s">
        <v>94</v>
      </c>
      <c r="K37" s="13" t="s">
        <v>94</v>
      </c>
      <c r="L37" s="13">
        <f t="array" aca="1" ref="L37" ca="1">N(INDIRECT("'"&amp;Сводка!$B$2&amp;"'!H24"))+N(INDIRECT("'"&amp;Сводка!$B$2&amp;"'!H48"))</f>
        <v>202</v>
      </c>
      <c r="M37" s="16">
        <f t="array" aca="1" ref="M37" ca="1">IFERROR(L37/(N(INDIRECT("'"&amp;Сводка!$B$3&amp;"'!H24"))+N(INDIRECT("'"&amp;Сводка!$B$3&amp;"'!H48")))-1,"")</f>
        <v>-0.65351629502572894</v>
      </c>
      <c r="N37" s="13">
        <f t="array" aca="1" ref="N37" ca="1">N(INDIRECT("'"&amp;Сводка!$B$2&amp;"'!C24"))+N(INDIRECT("'"&amp;Сводка!$B$2&amp;"'!C48"))</f>
        <v>5</v>
      </c>
      <c r="O37" s="47">
        <f t="shared" ca="1" si="1"/>
        <v>34.583119328882042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45">
      <c r="A38" s="12" t="s">
        <v>65</v>
      </c>
      <c r="B38" s="13">
        <f t="array" aca="1" ref="B38" ca="1">IF(INDIRECT("'"&amp;Сводка!$B$2&amp;"'!D29")="","—",INDIRECT("'"&amp;Сводка!$B$2&amp;"'!D29"))</f>
        <v>10725</v>
      </c>
      <c r="C38" s="13" t="str">
        <f t="array" aca="1" ref="C38" ca="1">IF(INDIRECT("'"&amp;Сводка!$B$2&amp;"'!D50")="","—",INDIRECT("'"&amp;Сводка!$B$2&amp;"'!D50"))</f>
        <v>—</v>
      </c>
      <c r="D38" s="13">
        <f t="array" aca="1" ref="D38" ca="1">IF(INDIRECT("'"&amp;Сводка!$B$2&amp;"'!D73")="","—",INDIRECT("'"&amp;Сводка!$B$2&amp;"'!D73"))</f>
        <v>1846</v>
      </c>
      <c r="E38" s="13">
        <f t="array" aca="1" ref="E38" ca="1">IF(INDIRECT("'"&amp;Сводка!$B$2&amp;"'!D95")="","—",INDIRECT("'"&amp;Сводка!$B$2&amp;"'!D95"))</f>
        <v>4119</v>
      </c>
      <c r="F38" s="13">
        <f t="array" aca="1" ref="F38" ca="1">N(INDIRECT("'"&amp;Сводка!$B$2&amp;"'!D29"))+N(INDIRECT("'"&amp;Сводка!$B$2&amp;"'!D50"))+N(INDIRECT("'"&amp;Сводка!$B$2&amp;"'!D73"))+N(INDIRECT("'"&amp;Сводка!$B$2&amp;"'!D95"))</f>
        <v>16690</v>
      </c>
      <c r="G38" s="16">
        <f t="array" aca="1" ref="G38" ca="1">IFERROR(F38/(N(INDIRECT("'"&amp;Сводка!$B$3&amp;"'!D29"))+N(INDIRECT("'"&amp;Сводка!$B$3&amp;"'!D50"))+N(INDIRECT("'"&amp;Сводка!$B$3&amp;"'!D73"))+N(INDIRECT("'"&amp;Сводка!$B$3&amp;"'!D95")))-1,"")</f>
        <v>1.4111528459982665</v>
      </c>
      <c r="H38" s="13">
        <f t="array" aca="1" ref="H38" ca="1">IF(INDIRECT("'"&amp;Сводка!$B$2&amp;"'!H29")="","—",INDIRECT("'"&amp;Сводка!$B$2&amp;"'!H29"))</f>
        <v>253</v>
      </c>
      <c r="I38" s="13" t="str">
        <f t="array" aca="1" ref="I38" ca="1">IF(INDIRECT("'"&amp;Сводка!$B$2&amp;"'!H50")="","—",INDIRECT("'"&amp;Сводка!$B$2&amp;"'!H50"))</f>
        <v>—</v>
      </c>
      <c r="J38" s="13">
        <f t="array" aca="1" ref="J38" ca="1">IF(INDIRECT("'"&amp;Сводка!$B$2&amp;"'!H73")="","—",INDIRECT("'"&amp;Сводка!$B$2&amp;"'!H73"))</f>
        <v>41</v>
      </c>
      <c r="K38" s="13">
        <f t="array" aca="1" ref="K38" ca="1">IF(INDIRECT("'"&amp;Сводка!$B$2&amp;"'!H95")="","—",INDIRECT("'"&amp;Сводка!$B$2&amp;"'!H95"))</f>
        <v>95</v>
      </c>
      <c r="L38" s="13">
        <f t="array" aca="1" ref="L38" ca="1">N(INDIRECT("'"&amp;Сводка!$B$2&amp;"'!H29"))+N(INDIRECT("'"&amp;Сводка!$B$2&amp;"'!H50"))+N(INDIRECT("'"&amp;Сводка!$B$2&amp;"'!H73"))+N(INDIRECT("'"&amp;Сводка!$B$2&amp;"'!H95"))</f>
        <v>389</v>
      </c>
      <c r="M38" s="16">
        <f t="array" aca="1" ref="M38" ca="1">IFERROR(L38/(N(INDIRECT("'"&amp;Сводка!$B$3&amp;"'!H29"))+N(INDIRECT("'"&amp;Сводка!$B$3&amp;"'!H50"))+N(INDIRECT("'"&amp;Сводка!$B$3&amp;"'!H73"))+N(INDIRECT("'"&amp;Сводка!$B$3&amp;"'!H95")))-1,"")</f>
        <v>1.4465408805031448</v>
      </c>
      <c r="N38" s="13">
        <f t="array" aca="1" ref="N38" ca="1">N(INDIRECT("'"&amp;Сводка!$B$2&amp;"'!C29"))+N(INDIRECT("'"&amp;Сводка!$B$2&amp;"'!C50"))+N(INDIRECT("'"&amp;Сводка!$B$2&amp;"'!C73"))+N(INDIRECT("'"&amp;Сводка!$B$2&amp;"'!C95"))</f>
        <v>21</v>
      </c>
      <c r="O38" s="47">
        <f t="shared" ca="1" si="1"/>
        <v>23.307369682444577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45">
      <c r="A39" s="25" t="s">
        <v>95</v>
      </c>
      <c r="B39" s="26">
        <f ca="1">SUM(B28:B38)</f>
        <v>116611</v>
      </c>
      <c r="C39" s="26">
        <f ca="1">SUM(C28:C38)</f>
        <v>0</v>
      </c>
      <c r="D39" s="26">
        <f ca="1">SUM(D28:D38)</f>
        <v>14912</v>
      </c>
      <c r="E39" s="26">
        <f ca="1">SUM(E28:E38)</f>
        <v>14371</v>
      </c>
      <c r="F39" s="26">
        <f ca="1">SUM(F28:F38)</f>
        <v>145894</v>
      </c>
      <c r="G39" s="28">
        <f t="array" aca="1" ref="G39" ca="1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>-3.0707698849291809E-2</v>
      </c>
      <c r="H39" s="26">
        <f ca="1">SUM(H28:H38)</f>
        <v>2956</v>
      </c>
      <c r="I39" s="26">
        <f ca="1">SUM(I28:I38)</f>
        <v>0</v>
      </c>
      <c r="J39" s="26">
        <f ca="1">SUM(J28:J38)</f>
        <v>588</v>
      </c>
      <c r="K39" s="26">
        <f ca="1">SUM(K28:K38)</f>
        <v>856</v>
      </c>
      <c r="L39" s="26">
        <f ca="1">SUM(L28:L38)</f>
        <v>4400</v>
      </c>
      <c r="M39" s="28">
        <f t="array" aca="1" ref="M39" ca="1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>-7.251264755480602E-2</v>
      </c>
      <c r="N39" s="26">
        <f ca="1">SUM(N28:N38)</f>
        <v>203</v>
      </c>
      <c r="O39" s="52">
        <f t="shared" ca="1" si="1"/>
        <v>30.158882476318425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45">
      <c r="A40" s="2"/>
      <c r="B40" s="53"/>
      <c r="C40" s="53"/>
      <c r="D40" s="53"/>
      <c r="E40" s="53"/>
      <c r="F40" s="53"/>
      <c r="G40" s="54"/>
      <c r="H40" s="53"/>
      <c r="I40" s="53"/>
      <c r="J40" s="53"/>
      <c r="K40" s="53"/>
      <c r="L40" s="53"/>
      <c r="M40" s="54"/>
      <c r="N40" s="53"/>
      <c r="O40" s="5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45">
      <c r="A41" s="43" t="s">
        <v>96</v>
      </c>
      <c r="B41" s="44"/>
      <c r="C41" s="44"/>
      <c r="D41" s="44"/>
      <c r="E41" s="44"/>
      <c r="F41" s="44"/>
      <c r="G41" s="45"/>
      <c r="H41" s="44"/>
      <c r="I41" s="44"/>
      <c r="J41" s="44"/>
      <c r="K41" s="44"/>
      <c r="L41" s="44"/>
      <c r="M41" s="45"/>
      <c r="N41" s="44"/>
      <c r="O41" s="4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45">
      <c r="A42" s="12" t="s">
        <v>62</v>
      </c>
      <c r="B42" s="13">
        <f t="array" aca="1" ref="B42" ca="1">IF(INDIRECT("'"&amp;Сводка!$B$2&amp;"'!D26")="","—",INDIRECT("'"&amp;Сводка!$B$2&amp;"'!D26"))</f>
        <v>32051</v>
      </c>
      <c r="C42" s="13">
        <f t="array" aca="1" ref="C42" ca="1">IF(INDIRECT("'"&amp;Сводка!$B$2&amp;"'!D49")="","—",INDIRECT("'"&amp;Сводка!$B$2&amp;"'!D49"))</f>
        <v>10157</v>
      </c>
      <c r="D42" s="13">
        <f t="array" aca="1" ref="D42" ca="1">IF(INDIRECT("'"&amp;Сводка!$B$2&amp;"'!D70")="","—",INDIRECT("'"&amp;Сводка!$B$2&amp;"'!D70"))</f>
        <v>4025</v>
      </c>
      <c r="E42" s="13" t="s">
        <v>94</v>
      </c>
      <c r="F42" s="13">
        <f t="array" aca="1" ref="F42" ca="1">N(INDIRECT("'"&amp;Сводка!$B$2&amp;"'!D26"))+N(INDIRECT("'"&amp;Сводка!$B$2&amp;"'!D49"))+N(INDIRECT("'"&amp;Сводка!$B$2&amp;"'!D70"))</f>
        <v>46233</v>
      </c>
      <c r="G42" s="16">
        <f t="array" aca="1" ref="G42" ca="1">IFERROR(F42/(N(INDIRECT("'"&amp;Сводка!$B$3&amp;"'!D26"))+N(INDIRECT("'"&amp;Сводка!$B$3&amp;"'!D49"))+N(INDIRECT("'"&amp;Сводка!$B$3&amp;"'!D70")))-1,"")</f>
        <v>-0.58324243926623698</v>
      </c>
      <c r="H42" s="13">
        <f t="array" aca="1" ref="H42" ca="1">IF(INDIRECT("'"&amp;Сводка!$B$2&amp;"'!H26")="","—",INDIRECT("'"&amp;Сводка!$B$2&amp;"'!H26"))</f>
        <v>122</v>
      </c>
      <c r="I42" s="13">
        <f t="array" aca="1" ref="I42" ca="1">IF(INDIRECT("'"&amp;Сводка!$B$2&amp;"'!H49")="","—",INDIRECT("'"&amp;Сводка!$B$2&amp;"'!H49"))</f>
        <v>1</v>
      </c>
      <c r="J42" s="13">
        <f t="array" aca="1" ref="J42" ca="1">IF(INDIRECT("'"&amp;Сводка!$B$2&amp;"'!H70")="","—",INDIRECT("'"&amp;Сводка!$B$2&amp;"'!H70"))</f>
        <v>2</v>
      </c>
      <c r="K42" s="13" t="s">
        <v>94</v>
      </c>
      <c r="L42" s="13">
        <f t="array" aca="1" ref="L42" ca="1">N(INDIRECT("'"&amp;Сводка!$B$2&amp;"'!H26"))+N(INDIRECT("'"&amp;Сводка!$B$2&amp;"'!H49"))+N(INDIRECT("'"&amp;Сводка!$B$2&amp;"'!H70"))</f>
        <v>125</v>
      </c>
      <c r="M42" s="16">
        <f t="array" aca="1" ref="M42" ca="1">IFERROR(L42/(N(INDIRECT("'"&amp;Сводка!$B$3&amp;"'!H26"))+N(INDIRECT("'"&amp;Сводка!$B$3&amp;"'!H49"))+N(INDIRECT("'"&amp;Сводка!$B$3&amp;"'!H70")))-1,"")</f>
        <v>-0.71590909090909083</v>
      </c>
      <c r="N42" s="13">
        <f t="array" aca="1" ref="N42" ca="1">N(INDIRECT("'"&amp;Сводка!$B$2&amp;"'!C26"))+N(INDIRECT("'"&amp;Сводка!$B$2&amp;"'!C49"))+N(INDIRECT("'"&amp;Сводка!$B$2&amp;"'!C70"))</f>
        <v>678</v>
      </c>
      <c r="O42" s="47">
        <f ca="1">IFERROR(L42/F42*1000,"")</f>
        <v>2.7036964938463868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45">
      <c r="A43" s="12" t="s">
        <v>41</v>
      </c>
      <c r="B43" s="13">
        <f t="array" aca="1" ref="B43" ca="1">IF(INDIRECT("'"&amp;Сводка!$B$2&amp;"'!D5")="","—",INDIRECT("'"&amp;Сводка!$B$2&amp;"'!D5"))</f>
        <v>3977</v>
      </c>
      <c r="C43" s="13" t="s">
        <v>94</v>
      </c>
      <c r="D43" s="13" t="s">
        <v>94</v>
      </c>
      <c r="E43" s="13" t="s">
        <v>94</v>
      </c>
      <c r="F43" s="13">
        <f t="array" aca="1" ref="F43" ca="1">N(INDIRECT("'"&amp;Сводка!$B$2&amp;"'!D5"))</f>
        <v>3977</v>
      </c>
      <c r="G43" s="16">
        <f t="array" aca="1" ref="G43" ca="1">IFERROR(F43/(N(INDIRECT("'"&amp;Сводка!$B$3&amp;"'!D5")))-1,"")</f>
        <v>-5.8252427184465994E-2</v>
      </c>
      <c r="H43" s="13">
        <f t="array" aca="1" ref="H43" ca="1">IF(INDIRECT("'"&amp;Сводка!$B$2&amp;"'!H5")="","—",INDIRECT("'"&amp;Сводка!$B$2&amp;"'!H5"))</f>
        <v>12</v>
      </c>
      <c r="I43" s="13" t="s">
        <v>94</v>
      </c>
      <c r="J43" s="13" t="s">
        <v>94</v>
      </c>
      <c r="K43" s="13" t="s">
        <v>94</v>
      </c>
      <c r="L43" s="13">
        <f t="array" aca="1" ref="L43" ca="1">N(INDIRECT("'"&amp;Сводка!$B$2&amp;"'!H5"))</f>
        <v>12</v>
      </c>
      <c r="M43" s="16">
        <f t="array" aca="1" ref="M43" ca="1">IFERROR(L43/(N(INDIRECT("'"&amp;Сводка!$B$3&amp;"'!H5")))-1,"")</f>
        <v>0.19999999999999996</v>
      </c>
      <c r="N43" s="13">
        <f t="array" aca="1" ref="N43" ca="1">N(INDIRECT("'"&amp;Сводка!$B$2&amp;"'!C5"))</f>
        <v>243</v>
      </c>
      <c r="O43" s="47">
        <f ca="1">IFERROR(L43/F43*1000,"")</f>
        <v>3.0173497611264772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5" t="s">
        <v>97</v>
      </c>
      <c r="B44" s="26">
        <f ca="1">SUM(B42:B43)</f>
        <v>36028</v>
      </c>
      <c r="C44" s="26">
        <f ca="1">SUM(C42:C43)</f>
        <v>10157</v>
      </c>
      <c r="D44" s="26">
        <f ca="1">SUM(D42:D43)</f>
        <v>4025</v>
      </c>
      <c r="E44" s="26">
        <f>SUM(E42:E43)</f>
        <v>0</v>
      </c>
      <c r="F44" s="26">
        <f ca="1">SUM(F42:F43)</f>
        <v>50210</v>
      </c>
      <c r="G44" s="28">
        <f t="array" aca="1" ref="G44" ca="1">IFERROR(F44/(N(INDIRECT("'"&amp;Сводка!$B$3&amp;"'!D26"))+N(INDIRECT("'"&amp;Сводка!$B$3&amp;"'!D49"))+N(INDIRECT("'"&amp;Сводка!$B$3&amp;"'!D70"))+N(INDIRECT("'"&amp;Сводка!$B$3&amp;"'!D5")))-1,"")</f>
        <v>-0.56399034370169687</v>
      </c>
      <c r="H44" s="26">
        <f ca="1">SUM(H42:H43)</f>
        <v>134</v>
      </c>
      <c r="I44" s="26">
        <f ca="1">SUM(I42:I43)</f>
        <v>1</v>
      </c>
      <c r="J44" s="26">
        <f ca="1">SUM(J42:J43)</f>
        <v>2</v>
      </c>
      <c r="K44" s="26">
        <f>SUM(K42:K43)</f>
        <v>0</v>
      </c>
      <c r="L44" s="26">
        <f ca="1">SUM(L42:L43)</f>
        <v>137</v>
      </c>
      <c r="M44" s="28">
        <f t="array" aca="1" ref="M44" ca="1">IFERROR(L44/(N(INDIRECT("'"&amp;Сводка!$B$3&amp;"'!H26"))+N(INDIRECT("'"&amp;Сводка!$B$3&amp;"'!H49"))+N(INDIRECT("'"&amp;Сводка!$B$3&amp;"'!H70"))+N(INDIRECT("'"&amp;Сводка!$B$3&amp;"'!H5")))-1,"")</f>
        <v>-0.69555555555555548</v>
      </c>
      <c r="N44" s="26">
        <f ca="1">SUM(N42:N43)</f>
        <v>921</v>
      </c>
      <c r="O44" s="52">
        <f ca="1">IFERROR(L44/F44*1000,"")</f>
        <v>2.728540131447919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53"/>
      <c r="C45" s="53"/>
      <c r="D45" s="53"/>
      <c r="E45" s="53"/>
      <c r="F45" s="53"/>
      <c r="G45" s="54"/>
      <c r="H45" s="53"/>
      <c r="I45" s="53"/>
      <c r="J45" s="53"/>
      <c r="K45" s="53"/>
      <c r="L45" s="53"/>
      <c r="M45" s="54"/>
      <c r="N45" s="53"/>
      <c r="O45" s="5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53"/>
      <c r="C46" s="53"/>
      <c r="D46" s="53"/>
      <c r="E46" s="53"/>
      <c r="F46" s="53"/>
      <c r="G46" s="54"/>
      <c r="H46" s="53"/>
      <c r="I46" s="53"/>
      <c r="J46" s="53"/>
      <c r="K46" s="53"/>
      <c r="L46" s="53"/>
      <c r="M46" s="54"/>
      <c r="N46" s="53"/>
      <c r="O46" s="5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G3"/>
    <mergeCell ref="H3:M3"/>
  </mergeCells>
  <conditionalFormatting sqref="G6:G46">
    <cfRule type="expression" dxfId="7" priority="1" stopIfTrue="1">
      <formula>AND(ISNUMBER(G6),G6&gt;=0.2)</formula>
    </cfRule>
    <cfRule type="expression" dxfId="6" priority="2" stopIfTrue="1">
      <formula>AND(ISNUMBER(G6),G6&lt;=-0.2)</formula>
    </cfRule>
    <cfRule type="expression" dxfId="5" priority="3" stopIfTrue="1">
      <formula>AND(ISNUMBER(G6),G6&gt;0)</formula>
    </cfRule>
    <cfRule type="expression" dxfId="4" priority="4" stopIfTrue="1">
      <formula>AND(ISNUMBER(G6),G6&lt;0)</formula>
    </cfRule>
  </conditionalFormatting>
  <conditionalFormatting sqref="M6:M46">
    <cfRule type="expression" dxfId="3" priority="5" stopIfTrue="1">
      <formula>AND(ISNUMBER(M6),M6&gt;=0.2)</formula>
    </cfRule>
    <cfRule type="expression" dxfId="2" priority="6" stopIfTrue="1">
      <formula>AND(ISNUMBER(M6),M6&lt;=-0.2)</formula>
    </cfRule>
    <cfRule type="expression" dxfId="1" priority="7" stopIfTrue="1">
      <formula>AND(ISNUMBER(M6),M6&gt;0)</formula>
    </cfRule>
    <cfRule type="expression" dxfId="0" priority="8" stopIfTrue="1">
      <formula>AND(ISNUMBER(M6),M6&lt;0)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3984375" defaultRowHeight="15" customHeight="1" x14ac:dyDescent="0.45"/>
  <cols>
    <col min="1" max="1" width="16" style="56" customWidth="1"/>
    <col min="2" max="2" width="24" style="56" customWidth="1"/>
    <col min="3" max="3" width="46" style="56" customWidth="1"/>
    <col min="4" max="4" width="22" style="56" customWidth="1"/>
    <col min="5" max="6" width="8.73046875" style="56" customWidth="1"/>
  </cols>
  <sheetData>
    <row r="1" spans="1:26" ht="17.25" customHeight="1" x14ac:dyDescent="0.5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45">
      <c r="A3" s="39" t="s">
        <v>6</v>
      </c>
      <c r="B3" s="39" t="s">
        <v>31</v>
      </c>
      <c r="C3" s="39" t="s">
        <v>99</v>
      </c>
      <c r="D3" s="39" t="s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45">
      <c r="A4" s="12" t="s">
        <v>22</v>
      </c>
      <c r="B4" s="12" t="s">
        <v>37</v>
      </c>
      <c r="C4" s="12" t="s">
        <v>101</v>
      </c>
      <c r="D4" s="1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45">
      <c r="A5" s="12" t="s">
        <v>22</v>
      </c>
      <c r="B5" s="12" t="s">
        <v>39</v>
      </c>
      <c r="C5" s="12" t="s">
        <v>102</v>
      </c>
      <c r="D5" s="1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45">
      <c r="A6" s="12" t="s">
        <v>22</v>
      </c>
      <c r="B6" s="12" t="s">
        <v>41</v>
      </c>
      <c r="C6" s="12" t="s">
        <v>103</v>
      </c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45">
      <c r="A7" s="12" t="s">
        <v>22</v>
      </c>
      <c r="B7" s="12" t="s">
        <v>42</v>
      </c>
      <c r="C7" s="12" t="s">
        <v>104</v>
      </c>
      <c r="D7" s="1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45">
      <c r="A8" s="12" t="s">
        <v>22</v>
      </c>
      <c r="B8" s="12" t="s">
        <v>43</v>
      </c>
      <c r="C8" s="12" t="s">
        <v>105</v>
      </c>
      <c r="D8" s="1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45">
      <c r="A9" s="12" t="s">
        <v>22</v>
      </c>
      <c r="B9" s="12" t="s">
        <v>44</v>
      </c>
      <c r="C9" s="12" t="s">
        <v>106</v>
      </c>
      <c r="D9" s="1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45">
      <c r="A10" s="12" t="s">
        <v>22</v>
      </c>
      <c r="B10" s="12" t="s">
        <v>45</v>
      </c>
      <c r="C10" s="12" t="s">
        <v>107</v>
      </c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45">
      <c r="A11" s="12" t="s">
        <v>22</v>
      </c>
      <c r="B11" s="12" t="s">
        <v>46</v>
      </c>
      <c r="C11" s="12" t="s">
        <v>108</v>
      </c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45">
      <c r="A12" s="12" t="s">
        <v>22</v>
      </c>
      <c r="B12" s="12" t="s">
        <v>47</v>
      </c>
      <c r="C12" s="12" t="s">
        <v>109</v>
      </c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45">
      <c r="A13" s="12" t="s">
        <v>22</v>
      </c>
      <c r="B13" s="12" t="s">
        <v>48</v>
      </c>
      <c r="C13" s="12" t="s">
        <v>110</v>
      </c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45">
      <c r="A14" s="12" t="s">
        <v>22</v>
      </c>
      <c r="B14" s="12" t="s">
        <v>49</v>
      </c>
      <c r="C14" s="12" t="s">
        <v>111</v>
      </c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45">
      <c r="A15" s="12" t="s">
        <v>22</v>
      </c>
      <c r="B15" s="12" t="s">
        <v>50</v>
      </c>
      <c r="C15" s="12" t="s">
        <v>112</v>
      </c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45">
      <c r="A16" s="12" t="s">
        <v>22</v>
      </c>
      <c r="B16" s="12" t="s">
        <v>51</v>
      </c>
      <c r="C16" s="12" t="s">
        <v>113</v>
      </c>
      <c r="D16" s="1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45">
      <c r="A17" s="12" t="s">
        <v>22</v>
      </c>
      <c r="B17" s="12" t="s">
        <v>52</v>
      </c>
      <c r="C17" s="12" t="s">
        <v>114</v>
      </c>
      <c r="D17" s="1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45">
      <c r="A18" s="12" t="s">
        <v>22</v>
      </c>
      <c r="B18" s="12" t="s">
        <v>53</v>
      </c>
      <c r="C18" s="12" t="s">
        <v>115</v>
      </c>
      <c r="D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45">
      <c r="A19" s="12" t="s">
        <v>22</v>
      </c>
      <c r="B19" s="12" t="s">
        <v>54</v>
      </c>
      <c r="C19" s="12" t="s">
        <v>116</v>
      </c>
      <c r="D19" s="1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45">
      <c r="A20" s="12" t="s">
        <v>22</v>
      </c>
      <c r="B20" s="12" t="s">
        <v>55</v>
      </c>
      <c r="C20" s="12" t="s">
        <v>117</v>
      </c>
      <c r="D20" s="1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45">
      <c r="A21" s="12" t="s">
        <v>22</v>
      </c>
      <c r="B21" s="12" t="s">
        <v>56</v>
      </c>
      <c r="C21" s="12" t="s">
        <v>118</v>
      </c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45">
      <c r="A22" s="12" t="s">
        <v>22</v>
      </c>
      <c r="B22" s="12" t="s">
        <v>57</v>
      </c>
      <c r="C22" s="12" t="s">
        <v>119</v>
      </c>
      <c r="D22" s="1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45">
      <c r="A23" s="12" t="s">
        <v>22</v>
      </c>
      <c r="B23" s="12" t="s">
        <v>58</v>
      </c>
      <c r="C23" s="12" t="s">
        <v>120</v>
      </c>
      <c r="D23" s="1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45">
      <c r="A24" s="12" t="s">
        <v>22</v>
      </c>
      <c r="B24" s="12" t="s">
        <v>59</v>
      </c>
      <c r="C24" s="12" t="s">
        <v>121</v>
      </c>
      <c r="D24" s="1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45">
      <c r="A25" s="12" t="s">
        <v>22</v>
      </c>
      <c r="B25" s="12" t="s">
        <v>60</v>
      </c>
      <c r="C25" s="12" t="s">
        <v>122</v>
      </c>
      <c r="D25" s="1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45">
      <c r="A26" s="12" t="s">
        <v>22</v>
      </c>
      <c r="B26" s="12" t="s">
        <v>61</v>
      </c>
      <c r="C26" s="12" t="s">
        <v>123</v>
      </c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45">
      <c r="A27" s="12" t="s">
        <v>22</v>
      </c>
      <c r="B27" s="12" t="s">
        <v>62</v>
      </c>
      <c r="C27" s="12" t="s">
        <v>124</v>
      </c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45">
      <c r="A28" s="12" t="s">
        <v>22</v>
      </c>
      <c r="B28" s="12" t="s">
        <v>63</v>
      </c>
      <c r="C28" s="12" t="s">
        <v>125</v>
      </c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45">
      <c r="A29" s="12" t="s">
        <v>22</v>
      </c>
      <c r="B29" s="12" t="s">
        <v>64</v>
      </c>
      <c r="C29" s="12" t="s">
        <v>126</v>
      </c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45">
      <c r="A30" s="12" t="s">
        <v>22</v>
      </c>
      <c r="B30" s="12" t="s">
        <v>65</v>
      </c>
      <c r="C30" s="12" t="s">
        <v>127</v>
      </c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45">
      <c r="A31" s="12" t="s">
        <v>23</v>
      </c>
      <c r="B31" s="12" t="s">
        <v>37</v>
      </c>
      <c r="C31" s="12" t="s">
        <v>128</v>
      </c>
      <c r="D31" s="12" t="s">
        <v>129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45">
      <c r="A32" s="12" t="s">
        <v>23</v>
      </c>
      <c r="B32" s="12" t="s">
        <v>39</v>
      </c>
      <c r="C32" s="12" t="s">
        <v>130</v>
      </c>
      <c r="D32" s="12" t="s">
        <v>131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45">
      <c r="A33" s="12" t="s">
        <v>23</v>
      </c>
      <c r="B33" s="12" t="s">
        <v>42</v>
      </c>
      <c r="C33" s="12" t="s">
        <v>132</v>
      </c>
      <c r="D33" s="12" t="s">
        <v>133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45">
      <c r="A34" s="12" t="s">
        <v>23</v>
      </c>
      <c r="B34" s="12" t="s">
        <v>43</v>
      </c>
      <c r="C34" s="12" t="s">
        <v>134</v>
      </c>
      <c r="D34" s="12" t="s">
        <v>135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45">
      <c r="A35" s="12" t="s">
        <v>23</v>
      </c>
      <c r="B35" s="12" t="s">
        <v>44</v>
      </c>
      <c r="C35" s="12" t="s">
        <v>136</v>
      </c>
      <c r="D35" s="12" t="s">
        <v>137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45">
      <c r="A36" s="12" t="s">
        <v>23</v>
      </c>
      <c r="B36" s="12" t="s">
        <v>45</v>
      </c>
      <c r="C36" s="12" t="s">
        <v>138</v>
      </c>
      <c r="D36" s="12" t="s">
        <v>139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45">
      <c r="A37" s="12" t="s">
        <v>23</v>
      </c>
      <c r="B37" s="12" t="s">
        <v>46</v>
      </c>
      <c r="C37" s="12" t="s">
        <v>140</v>
      </c>
      <c r="D37" s="12" t="s">
        <v>141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45">
      <c r="A38" s="12" t="s">
        <v>23</v>
      </c>
      <c r="B38" s="12" t="s">
        <v>47</v>
      </c>
      <c r="C38" s="12" t="s">
        <v>142</v>
      </c>
      <c r="D38" s="12" t="s">
        <v>143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45">
      <c r="A39" s="12" t="s">
        <v>23</v>
      </c>
      <c r="B39" s="12" t="s">
        <v>48</v>
      </c>
      <c r="C39" s="12" t="s">
        <v>144</v>
      </c>
      <c r="D39" s="12" t="s">
        <v>145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45">
      <c r="A40" s="12" t="s">
        <v>23</v>
      </c>
      <c r="B40" s="12" t="s">
        <v>49</v>
      </c>
      <c r="C40" s="12" t="s">
        <v>146</v>
      </c>
      <c r="D40" s="12" t="s">
        <v>147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45">
      <c r="A41" s="12" t="s">
        <v>23</v>
      </c>
      <c r="B41" s="12" t="s">
        <v>50</v>
      </c>
      <c r="C41" s="12" t="s">
        <v>148</v>
      </c>
      <c r="D41" s="12" t="s">
        <v>149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45">
      <c r="A42" s="12" t="s">
        <v>23</v>
      </c>
      <c r="B42" s="12" t="s">
        <v>51</v>
      </c>
      <c r="C42" s="12" t="s">
        <v>150</v>
      </c>
      <c r="D42" s="12" t="s">
        <v>151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45">
      <c r="A43" s="12" t="s">
        <v>23</v>
      </c>
      <c r="B43" s="12" t="s">
        <v>52</v>
      </c>
      <c r="C43" s="12" t="s">
        <v>152</v>
      </c>
      <c r="D43" s="12" t="s">
        <v>153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12" t="s">
        <v>23</v>
      </c>
      <c r="B44" s="12" t="s">
        <v>53</v>
      </c>
      <c r="C44" s="12" t="s">
        <v>154</v>
      </c>
      <c r="D44" s="12" t="s">
        <v>155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12" t="s">
        <v>23</v>
      </c>
      <c r="B45" s="12" t="s">
        <v>54</v>
      </c>
      <c r="C45" s="12" t="s">
        <v>156</v>
      </c>
      <c r="D45" s="12" t="s">
        <v>157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12" t="s">
        <v>23</v>
      </c>
      <c r="B46" s="12" t="s">
        <v>55</v>
      </c>
      <c r="C46" s="12" t="s">
        <v>158</v>
      </c>
      <c r="D46" s="12" t="s">
        <v>159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12" t="s">
        <v>23</v>
      </c>
      <c r="B47" s="12" t="s">
        <v>59</v>
      </c>
      <c r="C47" s="12" t="s">
        <v>160</v>
      </c>
      <c r="D47" s="12" t="s">
        <v>161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12" t="s">
        <v>23</v>
      </c>
      <c r="B48" s="12" t="s">
        <v>60</v>
      </c>
      <c r="C48" s="12" t="s">
        <v>162</v>
      </c>
      <c r="D48" s="12" t="s">
        <v>163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12" t="s">
        <v>23</v>
      </c>
      <c r="B49" s="12" t="s">
        <v>62</v>
      </c>
      <c r="C49" s="12" t="s">
        <v>164</v>
      </c>
      <c r="D49" s="12" t="s">
        <v>165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12" t="s">
        <v>23</v>
      </c>
      <c r="B50" s="12" t="s">
        <v>65</v>
      </c>
      <c r="C50" s="12" t="s">
        <v>166</v>
      </c>
      <c r="D50" s="12" t="s">
        <v>167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12" t="s">
        <v>24</v>
      </c>
      <c r="B51" s="12" t="s">
        <v>37</v>
      </c>
      <c r="C51" s="12" t="s">
        <v>168</v>
      </c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12" t="s">
        <v>24</v>
      </c>
      <c r="B52" s="12" t="s">
        <v>39</v>
      </c>
      <c r="C52" s="12" t="s">
        <v>169</v>
      </c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12" t="s">
        <v>24</v>
      </c>
      <c r="B53" s="12" t="s">
        <v>42</v>
      </c>
      <c r="C53" s="12" t="s">
        <v>170</v>
      </c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12" t="s">
        <v>24</v>
      </c>
      <c r="B54" s="12" t="s">
        <v>68</v>
      </c>
      <c r="C54" s="12" t="s">
        <v>171</v>
      </c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12" t="s">
        <v>24</v>
      </c>
      <c r="B55" s="12" t="s">
        <v>69</v>
      </c>
      <c r="C55" s="12" t="s">
        <v>172</v>
      </c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12" t="s">
        <v>24</v>
      </c>
      <c r="B56" s="12" t="s">
        <v>43</v>
      </c>
      <c r="C56" s="12" t="s">
        <v>173</v>
      </c>
      <c r="D56" s="1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12" t="s">
        <v>24</v>
      </c>
      <c r="B57" s="12" t="s">
        <v>44</v>
      </c>
      <c r="C57" s="12" t="s">
        <v>174</v>
      </c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12" t="s">
        <v>24</v>
      </c>
      <c r="B58" s="12" t="s">
        <v>45</v>
      </c>
      <c r="C58" s="12" t="s">
        <v>175</v>
      </c>
      <c r="D58" s="1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12" t="s">
        <v>24</v>
      </c>
      <c r="B59" s="12" t="s">
        <v>46</v>
      </c>
      <c r="C59" s="12" t="s">
        <v>176</v>
      </c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12" t="s">
        <v>24</v>
      </c>
      <c r="B60" s="12" t="s">
        <v>47</v>
      </c>
      <c r="C60" s="12" t="s">
        <v>177</v>
      </c>
      <c r="D60" s="1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12" t="s">
        <v>24</v>
      </c>
      <c r="B61" s="12" t="s">
        <v>48</v>
      </c>
      <c r="C61" s="12" t="s">
        <v>178</v>
      </c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12" t="s">
        <v>24</v>
      </c>
      <c r="B62" s="12" t="s">
        <v>49</v>
      </c>
      <c r="C62" s="12" t="s">
        <v>179</v>
      </c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12" t="s">
        <v>24</v>
      </c>
      <c r="B63" s="12" t="s">
        <v>50</v>
      </c>
      <c r="C63" s="12" t="s">
        <v>180</v>
      </c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12" t="s">
        <v>24</v>
      </c>
      <c r="B64" s="12" t="s">
        <v>51</v>
      </c>
      <c r="C64" s="12" t="s">
        <v>181</v>
      </c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12" t="s">
        <v>24</v>
      </c>
      <c r="B65" s="12" t="s">
        <v>52</v>
      </c>
      <c r="C65" s="12" t="s">
        <v>182</v>
      </c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12" t="s">
        <v>24</v>
      </c>
      <c r="B66" s="12" t="s">
        <v>53</v>
      </c>
      <c r="C66" s="12" t="s">
        <v>183</v>
      </c>
      <c r="D66" s="1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12" t="s">
        <v>24</v>
      </c>
      <c r="B67" s="12" t="s">
        <v>54</v>
      </c>
      <c r="C67" s="12" t="s">
        <v>184</v>
      </c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12" t="s">
        <v>24</v>
      </c>
      <c r="B68" s="12" t="s">
        <v>55</v>
      </c>
      <c r="C68" s="12" t="s">
        <v>185</v>
      </c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12" t="s">
        <v>24</v>
      </c>
      <c r="B69" s="12" t="s">
        <v>62</v>
      </c>
      <c r="C69" s="12" t="s">
        <v>186</v>
      </c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12" t="s">
        <v>24</v>
      </c>
      <c r="B70" s="12" t="s">
        <v>56</v>
      </c>
      <c r="C70" s="12" t="s">
        <v>187</v>
      </c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12" t="s">
        <v>24</v>
      </c>
      <c r="B71" s="12" t="s">
        <v>61</v>
      </c>
      <c r="C71" s="12" t="s">
        <v>188</v>
      </c>
      <c r="D71" s="1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12" t="s">
        <v>24</v>
      </c>
      <c r="B72" s="12" t="s">
        <v>65</v>
      </c>
      <c r="C72" s="12" t="s">
        <v>189</v>
      </c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12" t="s">
        <v>25</v>
      </c>
      <c r="B73" s="12" t="s">
        <v>37</v>
      </c>
      <c r="C73" s="12" t="s">
        <v>190</v>
      </c>
      <c r="D73" s="12" t="s">
        <v>191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12" t="s">
        <v>25</v>
      </c>
      <c r="B74" s="12" t="s">
        <v>39</v>
      </c>
      <c r="C74" s="12" t="s">
        <v>192</v>
      </c>
      <c r="D74" s="12" t="s">
        <v>193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12" t="s">
        <v>25</v>
      </c>
      <c r="B75" s="12" t="s">
        <v>42</v>
      </c>
      <c r="C75" s="12" t="s">
        <v>194</v>
      </c>
      <c r="D75" s="12" t="s">
        <v>195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12" t="s">
        <v>25</v>
      </c>
      <c r="B76" s="12" t="s">
        <v>68</v>
      </c>
      <c r="C76" s="12" t="s">
        <v>196</v>
      </c>
      <c r="D76" s="12" t="s">
        <v>197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12" t="s">
        <v>25</v>
      </c>
      <c r="B77" s="12" t="s">
        <v>69</v>
      </c>
      <c r="C77" s="12" t="s">
        <v>198</v>
      </c>
      <c r="D77" s="12" t="s">
        <v>199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12" t="s">
        <v>25</v>
      </c>
      <c r="B78" s="12" t="s">
        <v>43</v>
      </c>
      <c r="C78" s="12" t="s">
        <v>200</v>
      </c>
      <c r="D78" s="12" t="s">
        <v>201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12" t="s">
        <v>25</v>
      </c>
      <c r="B79" s="12" t="s">
        <v>44</v>
      </c>
      <c r="C79" s="12" t="s">
        <v>202</v>
      </c>
      <c r="D79" s="12" t="s">
        <v>203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12" t="s">
        <v>25</v>
      </c>
      <c r="B80" s="12" t="s">
        <v>45</v>
      </c>
      <c r="C80" s="12" t="s">
        <v>204</v>
      </c>
      <c r="D80" s="12" t="s">
        <v>205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12" t="s">
        <v>25</v>
      </c>
      <c r="B81" s="12" t="s">
        <v>46</v>
      </c>
      <c r="C81" s="12" t="s">
        <v>206</v>
      </c>
      <c r="D81" s="12" t="s">
        <v>207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12" t="s">
        <v>25</v>
      </c>
      <c r="B82" s="12" t="s">
        <v>47</v>
      </c>
      <c r="C82" s="12" t="s">
        <v>208</v>
      </c>
      <c r="D82" s="12" t="s">
        <v>209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12" t="s">
        <v>25</v>
      </c>
      <c r="B83" s="12" t="s">
        <v>48</v>
      </c>
      <c r="C83" s="12" t="s">
        <v>210</v>
      </c>
      <c r="D83" s="12" t="s">
        <v>211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12" t="s">
        <v>25</v>
      </c>
      <c r="B84" s="12" t="s">
        <v>49</v>
      </c>
      <c r="C84" s="12" t="s">
        <v>212</v>
      </c>
      <c r="D84" s="12" t="s">
        <v>213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12" t="s">
        <v>25</v>
      </c>
      <c r="B85" s="12" t="s">
        <v>50</v>
      </c>
      <c r="C85" s="12" t="s">
        <v>214</v>
      </c>
      <c r="D85" s="12" t="s">
        <v>215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12" t="s">
        <v>25</v>
      </c>
      <c r="B86" s="12" t="s">
        <v>51</v>
      </c>
      <c r="C86" s="12" t="s">
        <v>216</v>
      </c>
      <c r="D86" s="12" t="s">
        <v>217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12" t="s">
        <v>25</v>
      </c>
      <c r="B87" s="12" t="s">
        <v>52</v>
      </c>
      <c r="C87" s="12" t="s">
        <v>218</v>
      </c>
      <c r="D87" s="12" t="s">
        <v>219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12" t="s">
        <v>25</v>
      </c>
      <c r="B88" s="12" t="s">
        <v>53</v>
      </c>
      <c r="C88" s="12" t="s">
        <v>220</v>
      </c>
      <c r="D88" s="12" t="s">
        <v>221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12" t="s">
        <v>25</v>
      </c>
      <c r="B89" s="12" t="s">
        <v>54</v>
      </c>
      <c r="C89" s="12" t="s">
        <v>222</v>
      </c>
      <c r="D89" s="12" t="s">
        <v>223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12" t="s">
        <v>25</v>
      </c>
      <c r="B90" s="12" t="s">
        <v>55</v>
      </c>
      <c r="C90" s="12" t="s">
        <v>224</v>
      </c>
      <c r="D90" s="12" t="s">
        <v>225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12" t="s">
        <v>25</v>
      </c>
      <c r="B91" s="12" t="s">
        <v>56</v>
      </c>
      <c r="C91" s="12" t="s">
        <v>226</v>
      </c>
      <c r="D91" s="12" t="s">
        <v>227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12" t="s">
        <v>25</v>
      </c>
      <c r="B92" s="12" t="s">
        <v>61</v>
      </c>
      <c r="C92" s="12" t="s">
        <v>228</v>
      </c>
      <c r="D92" s="12" t="s">
        <v>229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12" t="s">
        <v>25</v>
      </c>
      <c r="B93" s="12" t="s">
        <v>65</v>
      </c>
      <c r="C93" s="12" t="s">
        <v>230</v>
      </c>
      <c r="D93" s="12" t="s">
        <v>231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Сводка</vt:lpstr>
      <vt:lpstr>21-27.09</vt:lpstr>
      <vt:lpstr>14-20.09</vt:lpstr>
      <vt:lpstr>07-13.09</vt:lpstr>
      <vt:lpstr>31.08-06.09</vt:lpstr>
      <vt:lpstr>24-30.08</vt:lpstr>
      <vt:lpstr>Редакции</vt:lpstr>
      <vt:lpstr>Адреса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2026-09-28T06:43:36Z</dcterms:created>
  <dcterms:modified xsi:type="dcterms:W3CDTF">2026-10-02T04:48:25Z</dcterms:modified>
</cp:coreProperties>
</file>