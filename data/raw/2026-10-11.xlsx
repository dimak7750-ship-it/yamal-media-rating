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ка" sheetId="1" state="visible" r:id="rId3"/>
    <sheet name="05-11.10" sheetId="2" state="visible" r:id="rId4"/>
    <sheet name="28.09-04.10" sheetId="3" state="visible" r:id="rId5"/>
    <sheet name="21-27.09" sheetId="4" state="visible" r:id="rId6"/>
    <sheet name="14-20.09" sheetId="5" state="visible" r:id="rId7"/>
    <sheet name="07-13.09" sheetId="6" state="visible" r:id="rId8"/>
    <sheet name="31.08-06.09" sheetId="7" state="visible" r:id="rId9"/>
    <sheet name="24-30.08" sheetId="8" state="visible" r:id="rId10"/>
    <sheet name="Редакции" sheetId="9" state="visible" r:id="rId11"/>
    <sheet name="Адреса" sheetId="10" state="visible" r:id="rId12"/>
  </sheets>
  <definedNames>
    <definedName function="false" hidden="true" localSheetId="7" name="_xlnm._FilterDatabase" vbProcedure="false">'24-30.08'!$A$2:$O$96</definedName>
    <definedName function="false" hidden="true" localSheetId="6" name="_xlnm._FilterDatabase" vbProcedure="false">'31.08-06.09'!$A$2:$O$96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<sst xmlns="http://schemas.openxmlformats.org/spreadsheetml/2006/main" count="1929" uniqueCount="236">
  <si>
    <t xml:space="preserve">Еженедельный съём соцсетей</t>
  </si>
  <si>
    <t xml:space="preserve">Текущая неделя — лист:</t>
  </si>
  <si>
    <t xml:space="preserve">05-11.10</t>
  </si>
  <si>
    <t xml:space="preserve">Прошлая неделя — лист:</t>
  </si>
  <si>
    <t xml:space="preserve">28.09-04.10</t>
  </si>
  <si>
    <t xml:space="preserve">снято 12.10.2026 · ВК 27/27 (Барков), ТГ 22/22 (Барков), МАКС 21/21 (MaxStat), ОК 20/20 (админские выгрузки)</t>
  </si>
  <si>
    <t xml:space="preserve">Площадка</t>
  </si>
  <si>
    <t xml:space="preserve">Публикаций</t>
  </si>
  <si>
    <t xml:space="preserve">Просмотры</t>
  </si>
  <si>
    <t xml:space="preserve">Просмотры
пред. неделя
(сопост. периметр)</t>
  </si>
  <si>
    <t xml:space="preserve">Δ %</t>
  </si>
  <si>
    <t xml:space="preserve">Лайки</t>
  </si>
  <si>
    <t xml:space="preserve">Лайки
пред. неделя
(сопост. периметр)</t>
  </si>
  <si>
    <t xml:space="preserve">Лайков на 1000
просмотров</t>
  </si>
  <si>
    <t xml:space="preserve">Подписчики</t>
  </si>
  <si>
    <t xml:space="preserve">Прирост
подписчиков</t>
  </si>
  <si>
    <t xml:space="preserve">Δ % просмотров
пред. неделя</t>
  </si>
  <si>
    <t xml:space="preserve">Ускорение
просмотров, п.п.</t>
  </si>
  <si>
    <t xml:space="preserve">Δ % лайков
пред. неделя</t>
  </si>
  <si>
    <t xml:space="preserve">Ускорение
лайков, п.п.</t>
  </si>
  <si>
    <t xml:space="preserve">Прирост подписч.
пред. неделя</t>
  </si>
  <si>
    <t xml:space="preserve">Ускорение
подписчиков, чел.</t>
  </si>
  <si>
    <t xml:space="preserve">ВКонтакте</t>
  </si>
  <si>
    <t xml:space="preserve">Одноклассники</t>
  </si>
  <si>
    <t xml:space="preserve">Telegram</t>
  </si>
  <si>
    <t xml:space="preserve">МАКС</t>
  </si>
  <si>
    <t xml:space="preserve">ИТОГО</t>
  </si>
  <si>
    <t xml:space="preserve">ускорение =  насколько прирост этой недели отличается от прироста прошлой, в процентных пунктах.</t>
  </si>
  <si>
    <t xml:space="preserve">Плюс — рост ускорился, минус — рост замедлился (или падение усилилось). Считается от Δ % листа прошлой недели.</t>
  </si>
  <si>
    <t xml:space="preserve">Недельный съём · 05–11.10.2026</t>
  </si>
  <si>
    <t xml:space="preserve">Лист прошлой недели (питает колонки E, I, O):</t>
  </si>
  <si>
    <t xml:space="preserve">Ресурс</t>
  </si>
  <si>
    <t xml:space="preserve">Просмотры
пред. неделя</t>
  </si>
  <si>
    <t xml:space="preserve">Δ просмотров</t>
  </si>
  <si>
    <t xml:space="preserve">Лайки
пред. неделя</t>
  </si>
  <si>
    <t xml:space="preserve">Δ лайков</t>
  </si>
  <si>
    <t xml:space="preserve">Ср. просмотров
на пост</t>
  </si>
  <si>
    <t xml:space="preserve">Ямал-Медиа</t>
  </si>
  <si>
    <t xml:space="preserve">Колонки E и I берут прошлую неделю только по строкам, снятым в текущей — сравнение идёт по сопоставимому периметру.</t>
  </si>
  <si>
    <t xml:space="preserve">Север-Пресс</t>
  </si>
  <si>
    <t xml:space="preserve">ОК: «просмотры» = VIEWS листа Topics, лайки = сумма LIKES листа Actions (по группе, как в прошлых съёмах).</t>
  </si>
  <si>
    <t xml:space="preserve">Лента СП</t>
  </si>
  <si>
    <t xml:space="preserve">Красный Север</t>
  </si>
  <si>
    <t xml:space="preserve">Новый Уренгой</t>
  </si>
  <si>
    <t xml:space="preserve">Надым</t>
  </si>
  <si>
    <t xml:space="preserve">Ноябрьск</t>
  </si>
  <si>
    <t xml:space="preserve">Салехард</t>
  </si>
  <si>
    <t xml:space="preserve">Приуралье</t>
  </si>
  <si>
    <t xml:space="preserve">Лабытнанги</t>
  </si>
  <si>
    <t xml:space="preserve">Пуровский</t>
  </si>
  <si>
    <t xml:space="preserve">Тазовский</t>
  </si>
  <si>
    <t xml:space="preserve">Красноселькуп</t>
  </si>
  <si>
    <t xml:space="preserve">Ямальский</t>
  </si>
  <si>
    <t xml:space="preserve">Шурышкарский</t>
  </si>
  <si>
    <t xml:space="preserve">Муравленко</t>
  </si>
  <si>
    <t xml:space="preserve">Губкинский</t>
  </si>
  <si>
    <t xml:space="preserve">Не олени</t>
  </si>
  <si>
    <t xml:space="preserve">Этноарктика</t>
  </si>
  <si>
    <t xml:space="preserve">ЗажгиФакел</t>
  </si>
  <si>
    <t xml:space="preserve">Нярьяна Нгэрм</t>
  </si>
  <si>
    <t xml:space="preserve">Лух Авт</t>
  </si>
  <si>
    <t xml:space="preserve">Ямальский меридиан</t>
  </si>
  <si>
    <t xml:space="preserve">МК-Ямал</t>
  </si>
  <si>
    <t xml:space="preserve">Арктика Вконтакте</t>
  </si>
  <si>
    <t xml:space="preserve">Ямал Live</t>
  </si>
  <si>
    <t xml:space="preserve">Морошка</t>
  </si>
  <si>
    <t xml:space="preserve">Итого ВКонтакте</t>
  </si>
  <si>
    <t xml:space="preserve">Итого Одноклассники</t>
  </si>
  <si>
    <t xml:space="preserve">СМП</t>
  </si>
  <si>
    <t xml:space="preserve">СШХ</t>
  </si>
  <si>
    <t xml:space="preserve">Итого Telegram</t>
  </si>
  <si>
    <t xml:space="preserve">Итого МАКС</t>
  </si>
  <si>
    <t xml:space="preserve">ИТОГО по холдингу</t>
  </si>
  <si>
    <t xml:space="preserve">Недельный съём · 28.09–04.10.2026</t>
  </si>
  <si>
    <t xml:space="preserve">21-27.09</t>
  </si>
  <si>
    <t xml:space="preserve">Недельный съём · 21–27.09.2026</t>
  </si>
  <si>
    <t xml:space="preserve">14-20.09</t>
  </si>
  <si>
    <t xml:space="preserve">Недельный съём · 14–20.09.2026</t>
  </si>
  <si>
    <t xml:space="preserve">07-13.09</t>
  </si>
  <si>
    <t xml:space="preserve">Недельный съём · 07–13.09.2026</t>
  </si>
  <si>
    <t xml:space="preserve">31.08-06.09</t>
  </si>
  <si>
    <t xml:space="preserve">Недельный съём · 31.08–06.09.2026</t>
  </si>
  <si>
    <t xml:space="preserve">24-30.08</t>
  </si>
  <si>
    <t xml:space="preserve">Недельный съём · 24–30.08.2026 (базовая неделя)</t>
  </si>
  <si>
    <t xml:space="preserve">Сравнение редакций по всем площадкам</t>
  </si>
  <si>
    <t xml:space="preserve">Неделя берётся из ячеек B2 и B3 листа «Сводка». «—» — у редакции нет аккаунта на этой площадке.</t>
  </si>
  <si>
    <t xml:space="preserve">Пока блок площадки не заполнен, Δ % здесь занижен: читать после того, как приедут ВК, ОК и ТГ.</t>
  </si>
  <si>
    <t xml:space="preserve">Редакция</t>
  </si>
  <si>
    <t xml:space="preserve">ВК</t>
  </si>
  <si>
    <t xml:space="preserve">ОК</t>
  </si>
  <si>
    <t xml:space="preserve">ТГ</t>
  </si>
  <si>
    <t xml:space="preserve">Итого</t>
  </si>
  <si>
    <t xml:space="preserve">Δ % к пред.</t>
  </si>
  <si>
    <t xml:space="preserve">Головные</t>
  </si>
  <si>
    <t xml:space="preserve">Итого · Головные</t>
  </si>
  <si>
    <t xml:space="preserve">Города и районы</t>
  </si>
  <si>
    <t xml:space="preserve">Итого · Города и районы</t>
  </si>
  <si>
    <t xml:space="preserve">Тематические и нишевые</t>
  </si>
  <si>
    <t xml:space="preserve">—</t>
  </si>
  <si>
    <t xml:space="preserve">Итого · Тематические и нишевые</t>
  </si>
  <si>
    <t xml:space="preserve">Вне редакционного периметра</t>
  </si>
  <si>
    <t xml:space="preserve">Итого · Вне редакционного периметра</t>
  </si>
  <si>
    <t xml:space="preserve">Реестр площадок · адреса и идентификаторы</t>
  </si>
  <si>
    <t xml:space="preserve">Адрес</t>
  </si>
  <si>
    <t xml:space="preserve">ID для API</t>
  </si>
  <si>
    <t xml:space="preserve">https://vk.com/yamal.media</t>
  </si>
  <si>
    <t xml:space="preserve">https://vk.com/severpress</t>
  </si>
  <si>
    <t xml:space="preserve">https://vk.com/novosti_yamala</t>
  </si>
  <si>
    <t xml:space="preserve">https://vk.com/ksyanao</t>
  </si>
  <si>
    <t xml:space="preserve">https://vk.com/yamalmedianur</t>
  </si>
  <si>
    <t xml:space="preserve">https://vk.com/trknadym</t>
  </si>
  <si>
    <t xml:space="preserve">https://vk.com/migtv</t>
  </si>
  <si>
    <t xml:space="preserve">https://vk.com/salekhardonline</t>
  </si>
  <si>
    <t xml:space="preserve">https://vk.com/iapriuralye</t>
  </si>
  <si>
    <t xml:space="preserve">https://vk.com/ialbt</t>
  </si>
  <si>
    <t xml:space="preserve">https://vk.com/purmedia</t>
  </si>
  <si>
    <t xml:space="preserve">https://vk.com/studiafakt</t>
  </si>
  <si>
    <t xml:space="preserve">https://vk.com/smi_krasnoselkup</t>
  </si>
  <si>
    <t xml:space="preserve">https://vk.com/yamaltv</t>
  </si>
  <si>
    <t xml:space="preserve">https://vk.com/trvmujitrv</t>
  </si>
  <si>
    <t xml:space="preserve">https://vk.com/muravlenko24</t>
  </si>
  <si>
    <t xml:space="preserve">https://vk.com/gubvektor</t>
  </si>
  <si>
    <t xml:space="preserve">https://vk.com/ne_oleni</t>
  </si>
  <si>
    <t xml:space="preserve">https://vk.com/etnoarktika</t>
  </si>
  <si>
    <t xml:space="preserve">https://vk.com/fakelcommunity</t>
  </si>
  <si>
    <t xml:space="preserve">https://vk.com/nn.yanao</t>
  </si>
  <si>
    <t xml:space="preserve">https://vk.com/la.yanao</t>
  </si>
  <si>
    <t xml:space="preserve">https://vk.com/ymerid</t>
  </si>
  <si>
    <t xml:space="preserve">https://vk.com/mkyamal</t>
  </si>
  <si>
    <t xml:space="preserve">https://vk.com/arcticavk</t>
  </si>
  <si>
    <t xml:space="preserve">https://vk.com/yamallife</t>
  </si>
  <si>
    <t xml:space="preserve">https://vk.com/moroshkaYM</t>
  </si>
  <si>
    <t xml:space="preserve">https://ok.ru/yamal.media.89</t>
  </si>
  <si>
    <t xml:space="preserve">54376669315327</t>
  </si>
  <si>
    <t xml:space="preserve">https://ok.ru/novostiyanao</t>
  </si>
  <si>
    <t xml:space="preserve">56412115304496</t>
  </si>
  <si>
    <t xml:space="preserve">https://ok.ru/krasnysever</t>
  </si>
  <si>
    <t xml:space="preserve">52110876147922</t>
  </si>
  <si>
    <t xml:space="preserve">https://ok.ru/group/70000055266559</t>
  </si>
  <si>
    <t xml:space="preserve">70000055266559</t>
  </si>
  <si>
    <t xml:space="preserve">https://ok.ru/trknadym</t>
  </si>
  <si>
    <t xml:space="preserve">58425128648765</t>
  </si>
  <si>
    <t xml:space="preserve">https://ok.ru/tvmig</t>
  </si>
  <si>
    <t xml:space="preserve">53869509607675</t>
  </si>
  <si>
    <t xml:space="preserve">https://ok.ru/polyarnykrug</t>
  </si>
  <si>
    <t xml:space="preserve">55935921029300</t>
  </si>
  <si>
    <t xml:space="preserve">https://ok.ru/iapriuralye</t>
  </si>
  <si>
    <t xml:space="preserve">53560145412301</t>
  </si>
  <si>
    <t xml:space="preserve">https://ok.ru/ialbt</t>
  </si>
  <si>
    <t xml:space="preserve">60442457145504</t>
  </si>
  <si>
    <t xml:space="preserve">https://ok.ru/purmedia</t>
  </si>
  <si>
    <t xml:space="preserve">52382505763003</t>
  </si>
  <si>
    <t xml:space="preserve">https://ok.ru/tvfakt</t>
  </si>
  <si>
    <t xml:space="preserve">54536542486554</t>
  </si>
  <si>
    <t xml:space="preserve">https://ok.ru/mbusmikras</t>
  </si>
  <si>
    <t xml:space="preserve">64337877008639</t>
  </si>
  <si>
    <t xml:space="preserve">https://ok.ru/novostiyamala</t>
  </si>
  <si>
    <t xml:space="preserve">57174821896250</t>
  </si>
  <si>
    <t xml:space="preserve">https://ok.ru/spmuzhi</t>
  </si>
  <si>
    <t xml:space="preserve">52994913140974</t>
  </si>
  <si>
    <t xml:space="preserve">https://ok.ru/muravlenko24</t>
  </si>
  <si>
    <t xml:space="preserve">54543736504430</t>
  </si>
  <si>
    <t xml:space="preserve">https://ok.ru/gubkins</t>
  </si>
  <si>
    <t xml:space="preserve">52443888418982</t>
  </si>
  <si>
    <t xml:space="preserve">https://ok.ru/nn.yanao</t>
  </si>
  <si>
    <t xml:space="preserve">53850510655624</t>
  </si>
  <si>
    <t xml:space="preserve">https://ok.ru/la.yanao</t>
  </si>
  <si>
    <t xml:space="preserve">55104233996390</t>
  </si>
  <si>
    <t xml:space="preserve">https://ok.ru/mkyamal</t>
  </si>
  <si>
    <t xml:space="preserve">59360899432491</t>
  </si>
  <si>
    <t xml:space="preserve">https://ok.ru/moroshkaym</t>
  </si>
  <si>
    <t xml:space="preserve">70000054026751</t>
  </si>
  <si>
    <t xml:space="preserve">https://t.me/yamalmedia_89</t>
  </si>
  <si>
    <t xml:space="preserve">https://t.me/sever_press</t>
  </si>
  <si>
    <t xml:space="preserve">https://t.me/ksyamal</t>
  </si>
  <si>
    <t xml:space="preserve">https://t.me/sevmorput</t>
  </si>
  <si>
    <t xml:space="preserve">https://t.me/sev_shir_hod</t>
  </si>
  <si>
    <t xml:space="preserve">https://t.me/tvimpulse</t>
  </si>
  <si>
    <t xml:space="preserve">https://t.me/trknadym89</t>
  </si>
  <si>
    <t xml:space="preserve">https://t.me/mig_noyabrsk</t>
  </si>
  <si>
    <t xml:space="preserve">https://t.me/SALEKHARDonline</t>
  </si>
  <si>
    <t xml:space="preserve">https://t.me/iapriuralye</t>
  </si>
  <si>
    <t xml:space="preserve">https://t.me/ia_lbt</t>
  </si>
  <si>
    <t xml:space="preserve">https://t.me/trkluch</t>
  </si>
  <si>
    <t xml:space="preserve">https://t.me/studiya_fakt</t>
  </si>
  <si>
    <t xml:space="preserve">https://t.me/smi_Krasnoselkup</t>
  </si>
  <si>
    <t xml:space="preserve">https://t.me/yamaltv</t>
  </si>
  <si>
    <t xml:space="preserve">https://t.me/ShuryshkaryYM</t>
  </si>
  <si>
    <t xml:space="preserve">https://t.me/muravlenko24</t>
  </si>
  <si>
    <t xml:space="preserve">https://t.me/vektor_gbk</t>
  </si>
  <si>
    <t xml:space="preserve">https://t.me/mk_yamal</t>
  </si>
  <si>
    <t xml:space="preserve">https://t.me/ne_oleni</t>
  </si>
  <si>
    <t xml:space="preserve">https://t.me/ymerid</t>
  </si>
  <si>
    <t xml:space="preserve">https://t.me/moroshkaYM</t>
  </si>
  <si>
    <t xml:space="preserve">https://max.ru/yamal_media</t>
  </si>
  <si>
    <t xml:space="preserve">-68434029368759</t>
  </si>
  <si>
    <t xml:space="preserve">https://max.ru/severpress</t>
  </si>
  <si>
    <t xml:space="preserve">-71615612821553</t>
  </si>
  <si>
    <t xml:space="preserve">https://max.ru/ksyanao</t>
  </si>
  <si>
    <t xml:space="preserve">-71619244236849</t>
  </si>
  <si>
    <t xml:space="preserve">https://max.ru/sevmorput</t>
  </si>
  <si>
    <t xml:space="preserve">-73250828361777</t>
  </si>
  <si>
    <t xml:space="preserve">https://max.ru/sshh_yamal_media</t>
  </si>
  <si>
    <t xml:space="preserve">-73313587333658</t>
  </si>
  <si>
    <t xml:space="preserve">https://max.ru/tvimpulse</t>
  </si>
  <si>
    <t xml:space="preserve">-68441049030798</t>
  </si>
  <si>
    <t xml:space="preserve">https://max.ru/trknadym</t>
  </si>
  <si>
    <t xml:space="preserve">-68502470350143</t>
  </si>
  <si>
    <t xml:space="preserve">https://max.ru/migtv</t>
  </si>
  <si>
    <t xml:space="preserve">-68507922347300</t>
  </si>
  <si>
    <t xml:space="preserve">https://max.ru/salechard_yamal_media</t>
  </si>
  <si>
    <t xml:space="preserve">-73313476643354</t>
  </si>
  <si>
    <t xml:space="preserve">https://max.ru/priuralye_yamal_media</t>
  </si>
  <si>
    <t xml:space="preserve">-73313540934170</t>
  </si>
  <si>
    <t xml:space="preserve">https://max.ru/ialbt</t>
  </si>
  <si>
    <t xml:space="preserve">-69147007172717</t>
  </si>
  <si>
    <t xml:space="preserve">https://max.ru/purmedia</t>
  </si>
  <si>
    <t xml:space="preserve">-69023342335238</t>
  </si>
  <si>
    <t xml:space="preserve">https://max.ru/id8910000166_gos</t>
  </si>
  <si>
    <t xml:space="preserve">-69134405869614</t>
  </si>
  <si>
    <t xml:space="preserve">https://max.ru/yamalmedia_89</t>
  </si>
  <si>
    <t xml:space="preserve">-72809031742768</t>
  </si>
  <si>
    <t xml:space="preserve">https://max.ru/yamaltv</t>
  </si>
  <si>
    <t xml:space="preserve">-68429251360033</t>
  </si>
  <si>
    <t xml:space="preserve">https://max.ru/id8907001650_gos</t>
  </si>
  <si>
    <t xml:space="preserve">-69214461979261</t>
  </si>
  <si>
    <t xml:space="preserve">https://max.ru/muravlenko24</t>
  </si>
  <si>
    <t xml:space="preserve">-69134827489818</t>
  </si>
  <si>
    <t xml:space="preserve">https://max.ru/gubvektor</t>
  </si>
  <si>
    <t xml:space="preserve">-69026728416632</t>
  </si>
  <si>
    <t xml:space="preserve">https://max.ru/ne_oleni_pishut</t>
  </si>
  <si>
    <t xml:space="preserve">-71761351254065</t>
  </si>
  <si>
    <t xml:space="preserve">https://max.ru/channel_ymerid</t>
  </si>
  <si>
    <t xml:space="preserve">-70906859438144</t>
  </si>
  <si>
    <t xml:space="preserve">https://max.ru/channel_moroshkaYM</t>
  </si>
  <si>
    <t xml:space="preserve">-77160880316465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</si>
</sst>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\+#,##0;\-#,##0;0"/>
    <numFmt numFmtId="169" formatCode="\+0.0%;\-0.0%;0.0%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b val="1"/>
        <color rgb="FF003300"/>
      </font>
      <fill>
        <patternFill>
          <bgColor rgb="FF63BE7B"/>
        </patternFill>
      </fill>
    </dxf>
    <dxf>
      <font>
        <b val="1"/>
        <color rgb="FF60000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003300"/>
          <bgColor rgb="FF000000"/>
        </patternFill>
      </fill>
    </dxf>
    <dxf>
      <fill>
        <patternFill patternType="solid">
          <fgColor rgb="FF6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6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7" min="12" style="1" width="15"/>
  </cols>
  <sheetData>
    <row r="1" customFormat="false" ht="20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1</v>
      </c>
      <c r="B2" s="5" t="s">
        <v>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 t="s">
        <v>3</v>
      </c>
      <c r="B3" s="5" t="s">
        <v>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7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2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10</v>
      </c>
      <c r="I6" s="8" t="s">
        <v>13</v>
      </c>
      <c r="J6" s="8" t="s">
        <v>14</v>
      </c>
      <c r="K6" s="8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10" t="s">
        <v>22</v>
      </c>
      <c r="B7" s="11" t="n">
        <f aca="true" t="array" ref="B7:B7">INDIRECT("'"&amp;$B$2&amp;"'!C30")</f>
        <v>1808</v>
      </c>
      <c r="C7" s="11" t="n">
        <f aca="true" t="array" ref="C7:C7">IF($B7=0,"",INDIRECT("'"&amp;$B$2&amp;"'!D30"))</f>
        <v>4157980</v>
      </c>
      <c r="D7" s="11" t="n">
        <f aca="true" t="array" ref="D7:D7">IF($B7=0,"",INDIRECT("'"&amp;$B$2&amp;"'!E30"))</f>
        <v>5072194</v>
      </c>
      <c r="E7" s="12" t="n">
        <f aca="false">IF(B7=0,"",IFERROR(C7/D7-1,""))</f>
        <v>-0.180240345696557</v>
      </c>
      <c r="F7" s="11" t="n">
        <f aca="true" t="array" ref="F7:F7">IF($B7=0,"",INDIRECT("'"&amp;$B$2&amp;"'!H30"))</f>
        <v>30049</v>
      </c>
      <c r="G7" s="11" t="n">
        <f aca="true" t="array" ref="G7:G7">IF($B7=0,"",INDIRECT("'"&amp;$B$2&amp;"'!I30"))</f>
        <v>33669</v>
      </c>
      <c r="H7" s="12" t="n">
        <f aca="false">IF(B7=0,"",IFERROR(F7/G7-1,""))</f>
        <v>-0.107517300781134</v>
      </c>
      <c r="I7" s="13" t="n">
        <f aca="false">IFERROR(F7/C7*1000,"")</f>
        <v>7.2268264878619</v>
      </c>
      <c r="J7" s="11" t="n">
        <f aca="true" t="array" ref="J7:J7">IF($B7=0,"",INDIRECT("'"&amp;$B$2&amp;"'!N30"))</f>
        <v>467357</v>
      </c>
      <c r="K7" s="14" t="n">
        <f aca="true" t="array" ref="K7:K7">IF($B7=0,"",INDIRECT("'"&amp;$B$2&amp;"'!O30"))</f>
        <v>1035</v>
      </c>
      <c r="L7" s="15" t="n">
        <f aca="true" t="array" ref="L7:L7">IFERROR(IF(INDIRECT("'"&amp;$B$3&amp;"'!G30")="","",INDIRECT("'"&amp;$B$3&amp;"'!G30")),"")</f>
        <v>0.186911524886631</v>
      </c>
      <c r="M7" s="16" t="n">
        <f aca="false">IF(OR($E7="",$L7=""),"",$E7-$L7)</f>
        <v>-0.367151870583188</v>
      </c>
      <c r="N7" s="15" t="n">
        <f aca="true" t="array" ref="N7:N7">IFERROR(IF(INDIRECT("'"&amp;$B$3&amp;"'!K30")="","",INDIRECT("'"&amp;$B$3&amp;"'!K30")),"")</f>
        <v>0.125789948841408</v>
      </c>
      <c r="O7" s="16" t="n">
        <f aca="false">IF(OR($H7="",$N7=""),"",$H7-$N7)</f>
        <v>-0.233307249622542</v>
      </c>
      <c r="P7" s="17" t="n">
        <f aca="true" t="array" ref="P7:P7">IFERROR(IF(INDIRECT("'"&amp;$B$3&amp;"'!O30")="","",INDIRECT("'"&amp;$B$3&amp;"'!O30")),"")</f>
        <v>1041</v>
      </c>
      <c r="Q7" s="17" t="n">
        <f aca="false">IF(OR($B7=0,$K7="",$P7=""),"",$K7-$P7)</f>
        <v>-6</v>
      </c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10" t="s">
        <v>23</v>
      </c>
      <c r="B8" s="11" t="n">
        <f aca="true" t="array" ref="B8:B8">INDIRECT("'"&amp;$B$2&amp;"'!C51")</f>
        <v>1386</v>
      </c>
      <c r="C8" s="11" t="n">
        <f aca="true" t="array" ref="C8:C8">IF($B8=0,"",INDIRECT("'"&amp;$B$2&amp;"'!D51"))</f>
        <v>438012</v>
      </c>
      <c r="D8" s="11" t="n">
        <f aca="true" t="array" ref="D8:D8">IF($B8=0,"",INDIRECT("'"&amp;$B$2&amp;"'!E51"))</f>
        <v>244021</v>
      </c>
      <c r="E8" s="12" t="n">
        <f aca="false">IF(B8=0,"",IFERROR(C8/D8-1,""))</f>
        <v>0.794976661844677</v>
      </c>
      <c r="F8" s="11" t="n">
        <f aca="true" t="array" ref="F8:F8">IF($B8=0,"",INDIRECT("'"&amp;$B$2&amp;"'!H51"))</f>
        <v>2376</v>
      </c>
      <c r="G8" s="11" t="n">
        <f aca="true" t="array" ref="G8:G8">IF($B8=0,"",INDIRECT("'"&amp;$B$2&amp;"'!I51"))</f>
        <v>2293</v>
      </c>
      <c r="H8" s="12" t="n">
        <f aca="false">IF(B8=0,"",IFERROR(F8/G8-1,""))</f>
        <v>0.0361971216746619</v>
      </c>
      <c r="I8" s="13" t="n">
        <f aca="false">IFERROR(F8/C8*1000,"")</f>
        <v>5.4245089175639</v>
      </c>
      <c r="J8" s="11" t="n">
        <f aca="true" t="array" ref="J8:J8">IF($B8=0,"",INDIRECT("'"&amp;$B$2&amp;"'!N51"))</f>
        <v>107120</v>
      </c>
      <c r="K8" s="14" t="n">
        <f aca="true" t="array" ref="K8:K8">IF($B8=0,"",INDIRECT("'"&amp;$B$2&amp;"'!O51"))</f>
        <v>48</v>
      </c>
      <c r="L8" s="15" t="n">
        <f aca="true" t="array" ref="L8:L8">IFERROR(IF(INDIRECT("'"&amp;$B$3&amp;"'!G51")="","",INDIRECT("'"&amp;$B$3&amp;"'!G51")),"")</f>
        <v>0.0721613554215174</v>
      </c>
      <c r="M8" s="16" t="n">
        <f aca="false">IF(OR($E8="",$L8=""),"",$E8-$L8)</f>
        <v>0.72281530642316</v>
      </c>
      <c r="N8" s="15" t="n">
        <f aca="true" t="array" ref="N8:N8">IFERROR(IF(INDIRECT("'"&amp;$B$3&amp;"'!K51")="","",INDIRECT("'"&amp;$B$3&amp;"'!K51")),"")</f>
        <v>0.174957118353345</v>
      </c>
      <c r="O8" s="16" t="n">
        <f aca="false">IF(OR($H8="",$N8=""),"",$H8-$N8)</f>
        <v>-0.138759996678683</v>
      </c>
      <c r="P8" s="17" t="n">
        <f aca="true" t="array" ref="P8:P8">IFERROR(IF(INDIRECT("'"&amp;$B$3&amp;"'!O51")="","",INDIRECT("'"&amp;$B$3&amp;"'!O51")),"")</f>
        <v>31</v>
      </c>
      <c r="Q8" s="17" t="n">
        <f aca="false">IF(OR($B8=0,$K8="",$P8=""),"",$K8-$P8)</f>
        <v>17</v>
      </c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10" t="s">
        <v>24</v>
      </c>
      <c r="B9" s="11" t="n">
        <f aca="true" t="array" ref="B9:B9">INDIRECT("'"&amp;$B$2&amp;"'!C74")</f>
        <v>1677</v>
      </c>
      <c r="C9" s="11" t="n">
        <f aca="true" t="array" ref="C9:C9">IF($B9=0,"",INDIRECT("'"&amp;$B$2&amp;"'!D74"))</f>
        <v>427060</v>
      </c>
      <c r="D9" s="11" t="n">
        <f aca="true" t="array" ref="D9:D9">IF($B9=0,"",INDIRECT("'"&amp;$B$2&amp;"'!E74"))</f>
        <v>424843</v>
      </c>
      <c r="E9" s="12" t="n">
        <f aca="false">IF(B9=0,"",IFERROR(C9/D9-1,""))</f>
        <v>0.00521839832596993</v>
      </c>
      <c r="F9" s="11" t="n">
        <f aca="true" t="array" ref="F9:F9">IF($B9=0,"",INDIRECT("'"&amp;$B$2&amp;"'!H74"))</f>
        <v>2736</v>
      </c>
      <c r="G9" s="11" t="n">
        <f aca="true" t="array" ref="G9:G9">IF($B9=0,"",INDIRECT("'"&amp;$B$2&amp;"'!I74"))</f>
        <v>2377</v>
      </c>
      <c r="H9" s="12" t="n">
        <f aca="false">IF(B9=0,"",IFERROR(F9/G9-1,""))</f>
        <v>0.151030710980227</v>
      </c>
      <c r="I9" s="13" t="n">
        <f aca="false">IFERROR(F9/C9*1000,"")</f>
        <v>6.40659392122887</v>
      </c>
      <c r="J9" s="11" t="n">
        <f aca="true" t="array" ref="J9:J9">IF($B9=0,"",INDIRECT("'"&amp;$B$2&amp;"'!N74"))</f>
        <v>97774</v>
      </c>
      <c r="K9" s="14" t="n">
        <f aca="true" t="array" ref="K9:K9">IF($B9=0,"",INDIRECT("'"&amp;$B$2&amp;"'!O74"))</f>
        <v>-164</v>
      </c>
      <c r="L9" s="15" t="n">
        <f aca="true" t="array" ref="L9:L9">IFERROR(IF(INDIRECT("'"&amp;$B$3&amp;"'!G74")="","",INDIRECT("'"&amp;$B$3&amp;"'!G74")),"")</f>
        <v>0.0120176846959728</v>
      </c>
      <c r="M9" s="16" t="n">
        <f aca="false">IF(OR($E9="",$L9=""),"",$E9-$L9)</f>
        <v>-0.00679928637000289</v>
      </c>
      <c r="N9" s="15" t="n">
        <f aca="true" t="array" ref="N9:N9">IFERROR(IF(INDIRECT("'"&amp;$B$3&amp;"'!K74")="","",INDIRECT("'"&amp;$B$3&amp;"'!K74")),"")</f>
        <v>-0.110736999625889</v>
      </c>
      <c r="O9" s="16" t="n">
        <f aca="false">IF(OR($H9="",$N9=""),"",$H9-$N9)</f>
        <v>0.261767710606116</v>
      </c>
      <c r="P9" s="17" t="n">
        <f aca="true" t="array" ref="P9:P9">IFERROR(IF(INDIRECT("'"&amp;$B$3&amp;"'!O74")="","",INDIRECT("'"&amp;$B$3&amp;"'!O74")),"")</f>
        <v>-171</v>
      </c>
      <c r="Q9" s="17" t="n">
        <f aca="false">IF(OR($B9=0,$K9="",$P9=""),"",$K9-$P9)</f>
        <v>7</v>
      </c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10" t="s">
        <v>25</v>
      </c>
      <c r="B10" s="11" t="n">
        <f aca="true" t="array" ref="B10:B10">INDIRECT("'"&amp;$B$2&amp;"'!C96")</f>
        <v>1456</v>
      </c>
      <c r="C10" s="11" t="n">
        <f aca="true" t="array" ref="C10:C10">IF($B10=0,"",INDIRECT("'"&amp;$B$2&amp;"'!D96"))</f>
        <v>1030049</v>
      </c>
      <c r="D10" s="11" t="n">
        <f aca="true" t="array" ref="D10:D10">IF($B10=0,"",INDIRECT("'"&amp;$B$2&amp;"'!E96"))</f>
        <v>940640</v>
      </c>
      <c r="E10" s="12" t="n">
        <f aca="false">IF(B10=0,"",IFERROR(C10/D10-1,""))</f>
        <v>0.0950512417077734</v>
      </c>
      <c r="F10" s="11" t="n">
        <f aca="true" t="array" ref="F10:F10">IF($B10=0,"",INDIRECT("'"&amp;$B$2&amp;"'!H96"))</f>
        <v>13921</v>
      </c>
      <c r="G10" s="11" t="n">
        <f aca="true" t="array" ref="G10:G10">IF($B10=0,"",INDIRECT("'"&amp;$B$2&amp;"'!I96"))</f>
        <v>13037</v>
      </c>
      <c r="H10" s="12" t="n">
        <f aca="false">IF(B10=0,"",IFERROR(F10/G10-1,""))</f>
        <v>0.0678070108153717</v>
      </c>
      <c r="I10" s="13" t="n">
        <f aca="false">IFERROR(F10/C10*1000,"")</f>
        <v>13.5148910391642</v>
      </c>
      <c r="J10" s="11" t="n">
        <f aca="true" t="array" ref="J10:J10">IF($B10=0,"",INDIRECT("'"&amp;$B$2&amp;"'!N96"))</f>
        <v>31996</v>
      </c>
      <c r="K10" s="14" t="n">
        <f aca="true" t="array" ref="K10:K10">IF($B10=0,"",INDIRECT("'"&amp;$B$2&amp;"'!O96"))</f>
        <v>428</v>
      </c>
      <c r="L10" s="15" t="n">
        <f aca="true" t="array" ref="L10:L10">IFERROR(IF(INDIRECT("'"&amp;$B$3&amp;"'!G96")="","",INDIRECT("'"&amp;$B$3&amp;"'!G96")),"")</f>
        <v>-0.0626519662943742</v>
      </c>
      <c r="M10" s="16" t="n">
        <f aca="false">IF(OR($E10="",$L10=""),"",$E10-$L10)</f>
        <v>0.157703208002148</v>
      </c>
      <c r="N10" s="15" t="n">
        <f aca="true" t="array" ref="N10:N10">IFERROR(IF(INDIRECT("'"&amp;$B$3&amp;"'!K96")="","",INDIRECT("'"&amp;$B$3&amp;"'!K96")),"")</f>
        <v>-0.0596508944027698</v>
      </c>
      <c r="O10" s="16" t="n">
        <f aca="false">IF(OR($H10="",$N10=""),"",$H10-$N10)</f>
        <v>0.127457905218141</v>
      </c>
      <c r="P10" s="17" t="n">
        <f aca="true" t="array" ref="P10:P10">IFERROR(IF(INDIRECT("'"&amp;$B$3&amp;"'!O96")="","",INDIRECT("'"&amp;$B$3&amp;"'!O96")),"")</f>
        <v>270</v>
      </c>
      <c r="Q10" s="17" t="n">
        <f aca="false">IF(OR($B10=0,$K10="",$P10=""),"",$K10-$P10)</f>
        <v>158</v>
      </c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18" t="s">
        <v>26</v>
      </c>
      <c r="B11" s="19" t="n">
        <f aca="false">SUM(B7:B10)</f>
        <v>6327</v>
      </c>
      <c r="C11" s="19" t="n">
        <f aca="false">SUM(C7:C10)</f>
        <v>6053101</v>
      </c>
      <c r="D11" s="19" t="n">
        <f aca="false">SUM(D7:D10)</f>
        <v>6681698</v>
      </c>
      <c r="E11" s="20" t="n">
        <f aca="false">IF(OR(B7=0,B8=0,B9=0,B10=0),"",IFERROR(C11/D11-1,""))</f>
        <v>-0.0940774336104385</v>
      </c>
      <c r="F11" s="19" t="n">
        <f aca="false">SUM(F7:F10)</f>
        <v>49082</v>
      </c>
      <c r="G11" s="19" t="n">
        <f aca="false">SUM(G7:G10)</f>
        <v>51376</v>
      </c>
      <c r="H11" s="20" t="n">
        <f aca="false">IF(OR(B7=0,B8=0,B9=0,B10=0),"",IFERROR(F11/G11-1,""))</f>
        <v>-0.0446511990034257</v>
      </c>
      <c r="I11" s="21" t="n">
        <f aca="false">IFERROR(F11/C11*1000,"")</f>
        <v>8.10857112742708</v>
      </c>
      <c r="J11" s="19" t="n">
        <f aca="false">SUM(J7:J10)</f>
        <v>704247</v>
      </c>
      <c r="K11" s="22" t="n">
        <f aca="false">SUM(K7:K10)</f>
        <v>1347</v>
      </c>
      <c r="L11" s="23" t="n">
        <f aca="true" t="array" ref="L11:L11">IFERROR(IF(INDIRECT("'"&amp;$B$3&amp;"'!G97")="","",INDIRECT("'"&amp;$B$3&amp;"'!G97")),"")</f>
        <v>0.12830824414492</v>
      </c>
      <c r="M11" s="24" t="n">
        <f aca="false">IF(OR($E11="",$L11=""),"",$E11-$L11)</f>
        <v>-0.222385677755358</v>
      </c>
      <c r="N11" s="23" t="n">
        <f aca="true" t="array" ref="N11:N11">IFERROR(IF(INDIRECT("'"&amp;$B$3&amp;"'!K97")="","",INDIRECT("'"&amp;$B$3&amp;"'!K97")),"")</f>
        <v>0.0597143457256879</v>
      </c>
      <c r="O11" s="24" t="n">
        <f aca="false">IF(OR($H11="",$N11=""),"",$H11-$N11)</f>
        <v>-0.104365544729114</v>
      </c>
      <c r="P11" s="25" t="n">
        <f aca="true" t="array" ref="P11:P11">IFERROR(IF(INDIRECT("'"&amp;$B$3&amp;"'!O97")="","",INDIRECT("'"&amp;$B$3&amp;"'!O97")),"")</f>
        <v>1171</v>
      </c>
      <c r="Q11" s="25" t="n">
        <f aca="false">IF(OR(B7=0,B8=0,B9=0,B10=0),"",$K11-$P11)</f>
        <v>176</v>
      </c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26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27" t="s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2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2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2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2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2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2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2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2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2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2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2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2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2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2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7:E11">
    <cfRule type="expression" priority="2" aboveAverage="0" equalAverage="0" bottom="0" percent="0" rank="0" text="" dxfId="0">
      <formula>AND(ISNUMBER(E7),E7&gt;=0.2)</formula>
    </cfRule>
    <cfRule type="expression" priority="3" aboveAverage="0" equalAverage="0" bottom="0" percent="0" rank="0" text="" dxfId="1">
      <formula>AND(ISNUMBER(E7),E7&lt;=-0.2)</formula>
    </cfRule>
    <cfRule type="expression" priority="4" aboveAverage="0" equalAverage="0" bottom="0" percent="0" rank="0" text="" dxfId="2">
      <formula>AND(ISNUMBER(E7),E7&gt;0)</formula>
    </cfRule>
    <cfRule type="expression" priority="5" aboveAverage="0" equalAverage="0" bottom="0" percent="0" rank="0" text="" dxfId="3">
      <formula>AND(ISNUMBER(E7),E7&lt;0)</formula>
    </cfRule>
  </conditionalFormatting>
  <conditionalFormatting sqref="H7:H11">
    <cfRule type="expression" priority="6" aboveAverage="0" equalAverage="0" bottom="0" percent="0" rank="0" text="" dxfId="0">
      <formula>AND(ISNUMBER(H7),H7&gt;=0.2)</formula>
    </cfRule>
    <cfRule type="expression" priority="7" aboveAverage="0" equalAverage="0" bottom="0" percent="0" rank="0" text="" dxfId="1">
      <formula>AND(ISNUMBER(H7),H7&lt;=-0.2)</formula>
    </cfRule>
    <cfRule type="expression" priority="8" aboveAverage="0" equalAverage="0" bottom="0" percent="0" rank="0" text="" dxfId="2">
      <formula>AND(ISNUMBER(H7),H7&gt;0)</formula>
    </cfRule>
    <cfRule type="expression" priority="9" aboveAverage="0" equalAverage="0" bottom="0" percent="0" rank="0" text="" dxfId="3">
      <formula>AND(ISNUMBER(H7),H7&lt;0)</formula>
    </cfRule>
  </conditionalFormatting>
  <conditionalFormatting sqref="M7:M11">
    <cfRule type="expression" priority="10" aboveAverage="0" equalAverage="0" bottom="0" percent="0" rank="0" text="" dxfId="0">
      <formula>AND(ISNUMBER(M7),M7&gt;=0.2)</formula>
    </cfRule>
    <cfRule type="expression" priority="11" aboveAverage="0" equalAverage="0" bottom="0" percent="0" rank="0" text="" dxfId="1">
      <formula>AND(ISNUMBER(M7),M7&lt;=-0.2)</formula>
    </cfRule>
    <cfRule type="expression" priority="12" aboveAverage="0" equalAverage="0" bottom="0" percent="0" rank="0" text="" dxfId="2">
      <formula>AND(ISNUMBER(M7),M7&gt;0)</formula>
    </cfRule>
    <cfRule type="expression" priority="13" aboveAverage="0" equalAverage="0" bottom="0" percent="0" rank="0" text="" dxfId="3">
      <formula>AND(ISNUMBER(M7),M7&lt;0)</formula>
    </cfRule>
  </conditionalFormatting>
  <conditionalFormatting sqref="O7:O11">
    <cfRule type="expression" priority="14" aboveAverage="0" equalAverage="0" bottom="0" percent="0" rank="0" text="" dxfId="0">
      <formula>AND(ISNUMBER(O7),O7&gt;=0.2)</formula>
    </cfRule>
    <cfRule type="expression" priority="15" aboveAverage="0" equalAverage="0" bottom="0" percent="0" rank="0" text="" dxfId="1">
      <formula>AND(ISNUMBER(O7),O7&lt;=-0.2)</formula>
    </cfRule>
    <cfRule type="expression" priority="16" aboveAverage="0" equalAverage="0" bottom="0" percent="0" rank="0" text="" dxfId="2">
      <formula>AND(ISNUMBER(O7),O7&gt;0)</formula>
    </cfRule>
    <cfRule type="expression" priority="17" aboveAverage="0" equalAverage="0" bottom="0" percent="0" rank="0" text="" dxfId="3">
      <formula>AND(ISNUMBER(O7),O7&lt;0)</formula>
    </cfRule>
  </conditionalFormatting>
  <conditionalFormatting sqref="K7:K11">
    <cfRule type="expression" priority="18" aboveAverage="0" equalAverage="0" bottom="0" percent="0" rank="0" text="" dxfId="2">
      <formula>AND(ISNUMBER(K7),K7&gt;0)</formula>
    </cfRule>
    <cfRule type="expression" priority="19" aboveAverage="0" equalAverage="0" bottom="0" percent="0" rank="0" text="" dxfId="3">
      <formula>AND(ISNUMBER(K7),K7&lt;0)</formula>
    </cfRule>
  </conditionalFormatting>
  <conditionalFormatting sqref="Q7:Q11">
    <cfRule type="expression" priority="20" aboveAverage="0" equalAverage="0" bottom="0" percent="0" rank="0" text="" dxfId="2">
      <formula>AND(ISNUMBER(Q7),Q7&gt;0)</formula>
    </cfRule>
    <cfRule type="expression" priority="21" aboveAverage="0" equalAverage="0" bottom="0" percent="0" rank="0" text="" dxfId="3">
      <formula>AND(ISNUMBER(Q7),Q7&lt;0)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111</v>
      </c>
      <c r="D3" s="32" t="n">
        <v>1832889</v>
      </c>
      <c r="E3" s="32" t="n">
        <f aca="true">IF($D3="","",IFERROR(IF(ISBLANK(INDIRECT("'"&amp;$Q$2&amp;"'!D"&amp;ROW())),"",INDIRECT("'"&amp;$Q$2&amp;"'!D"&amp;ROW())),""))</f>
        <v>2647589</v>
      </c>
      <c r="F3" s="33" t="n">
        <f aca="false">IF(OR(D3="",E3=""),"",D3-E3)</f>
        <v>-814700</v>
      </c>
      <c r="G3" s="34" t="n">
        <f aca="false">IFERROR(F3/E3,"")</f>
        <v>-0.307713923875647</v>
      </c>
      <c r="H3" s="32" t="n">
        <v>4521</v>
      </c>
      <c r="I3" s="32" t="n">
        <f aca="true">IF($H3="","",IFERROR(IF(ISBLANK(INDIRECT("'"&amp;$Q$2&amp;"'!H"&amp;ROW())),"",INDIRECT("'"&amp;$Q$2&amp;"'!H"&amp;ROW())),""))</f>
        <v>5901</v>
      </c>
      <c r="J3" s="33" t="n">
        <f aca="false">IF(OR(H3="",I3=""),"",H3-I3)</f>
        <v>-1380</v>
      </c>
      <c r="K3" s="34" t="n">
        <f aca="false">IFERROR(J3/I3,"")</f>
        <v>-0.233858668022369</v>
      </c>
      <c r="L3" s="32" t="n">
        <f aca="false">IFERROR(D3/C3,"")</f>
        <v>16512.5135135135</v>
      </c>
      <c r="M3" s="32" t="n">
        <f aca="false">IFERROR(H3/D3*1000,"")</f>
        <v>2.46659781361555</v>
      </c>
      <c r="N3" s="32" t="n">
        <v>89891</v>
      </c>
      <c r="O3" s="33" t="n">
        <f aca="true">IFERROR(IF(OR(N3="",ISBLANK(INDIRECT("'"&amp;$Q$2&amp;"'!N"&amp;ROW()))),"",N3-INDIRECT("'"&amp;$Q$2&amp;"'!N"&amp;ROW())),"")</f>
        <v>241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0.383653422539179</v>
      </c>
      <c r="T3" s="16" t="n">
        <f aca="false">IF(OR($G3="",$S3=""),"",$G3-$S3)</f>
        <v>-0.691367346414826</v>
      </c>
      <c r="U3" s="15" t="n">
        <f aca="true">IFERROR(IF(ISBLANK(INDIRECT("'"&amp;$Q$2&amp;"'!K"&amp;ROW())),"",INDIRECT("'"&amp;$Q$2&amp;"'!K"&amp;ROW())),"")</f>
        <v>0.318953956191328</v>
      </c>
      <c r="V3" s="16" t="n">
        <f aca="false">IF(OR($K3="",$U3=""),"",$K3-$U3)</f>
        <v>-0.552812624213697</v>
      </c>
      <c r="W3" s="17" t="n">
        <f aca="true">IFERROR(IF(ISBLANK(INDIRECT("'"&amp;$Q$2&amp;"'!O"&amp;ROW())),"",INDIRECT("'"&amp;$Q$2&amp;"'!O"&amp;ROW())),"")</f>
        <v>292</v>
      </c>
      <c r="X3" s="17" t="n">
        <f aca="false">IF(OR($O3="",$W3=""),"",$O3-$W3)</f>
        <v>-51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124</v>
      </c>
      <c r="D4" s="32" t="n">
        <v>93897</v>
      </c>
      <c r="E4" s="32" t="n">
        <f aca="true">IF($D4="","",IFERROR(IF(ISBLANK(INDIRECT("'"&amp;$Q$2&amp;"'!D"&amp;ROW())),"",INDIRECT("'"&amp;$Q$2&amp;"'!D"&amp;ROW())),""))</f>
        <v>218156</v>
      </c>
      <c r="F4" s="33" t="n">
        <f aca="false">IF(OR(D4="",E4=""),"",D4-E4)</f>
        <v>-124259</v>
      </c>
      <c r="G4" s="34" t="n">
        <f aca="false">IFERROR(F4/E4,"")</f>
        <v>-0.569587817891784</v>
      </c>
      <c r="H4" s="32" t="n">
        <v>326</v>
      </c>
      <c r="I4" s="32" t="n">
        <f aca="true">IF($H4="","",IFERROR(IF(ISBLANK(INDIRECT("'"&amp;$Q$2&amp;"'!H"&amp;ROW())),"",INDIRECT("'"&amp;$Q$2&amp;"'!H"&amp;ROW())),""))</f>
        <v>672</v>
      </c>
      <c r="J4" s="33" t="n">
        <f aca="false">IF(OR(H4="",I4=""),"",H4-I4)</f>
        <v>-346</v>
      </c>
      <c r="K4" s="34" t="n">
        <f aca="false">IFERROR(J4/I4,"")</f>
        <v>-0.514880952380952</v>
      </c>
      <c r="L4" s="32" t="n">
        <f aca="false">IFERROR(D4/C4,"")</f>
        <v>757.233870967742</v>
      </c>
      <c r="M4" s="32" t="n">
        <f aca="false">IFERROR(H4/D4*1000,"")</f>
        <v>3.4718894107373</v>
      </c>
      <c r="N4" s="32" t="n">
        <v>26299</v>
      </c>
      <c r="O4" s="33" t="n">
        <f aca="true">IFERROR(IF(OR(N4="",ISBLANK(INDIRECT("'"&amp;$Q$2&amp;"'!N"&amp;ROW()))),"",N4-INDIRECT("'"&amp;$Q$2&amp;"'!N"&amp;ROW())),"")</f>
        <v>8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0.725317136439847</v>
      </c>
      <c r="T4" s="16" t="n">
        <f aca="false">IF(OR($G4="",$S4=""),"",$G4-$S4)</f>
        <v>-1.29490495433163</v>
      </c>
      <c r="U4" s="15" t="n">
        <f aca="true">IFERROR(IF(ISBLANK(INDIRECT("'"&amp;$Q$2&amp;"'!K"&amp;ROW())),"",INDIRECT("'"&amp;$Q$2&amp;"'!K"&amp;ROW())),"")</f>
        <v>0.272727272727273</v>
      </c>
      <c r="V4" s="16" t="n">
        <f aca="false">IF(OR($K4="",$U4=""),"",$K4-$U4)</f>
        <v>-0.787608225108225</v>
      </c>
      <c r="W4" s="17" t="n">
        <f aca="true">IFERROR(IF(ISBLANK(INDIRECT("'"&amp;$Q$2&amp;"'!O"&amp;ROW())),"",INDIRECT("'"&amp;$Q$2&amp;"'!O"&amp;ROW())),"")</f>
        <v>31</v>
      </c>
      <c r="X4" s="17" t="n">
        <f aca="false">IF(OR($O4="",$W4=""),"",$O4-$W4)</f>
        <v>-23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151</v>
      </c>
      <c r="D5" s="32" t="n">
        <v>3132</v>
      </c>
      <c r="E5" s="32" t="n">
        <f aca="true">IF($D5="","",IFERROR(IF(ISBLANK(INDIRECT("'"&amp;$Q$2&amp;"'!D"&amp;ROW())),"",INDIRECT("'"&amp;$Q$2&amp;"'!D"&amp;ROW())),""))</f>
        <v>2991</v>
      </c>
      <c r="F5" s="33" t="n">
        <f aca="false">IF(OR(D5="",E5=""),"",D5-E5)</f>
        <v>141</v>
      </c>
      <c r="G5" s="34" t="n">
        <f aca="false">IFERROR(F5/E5,"")</f>
        <v>0.0471414242728185</v>
      </c>
      <c r="H5" s="32" t="n">
        <v>10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-2</v>
      </c>
      <c r="K5" s="34" t="n">
        <f aca="false">IFERROR(J5/I5,"")</f>
        <v>-0.166666666666667</v>
      </c>
      <c r="L5" s="32" t="n">
        <f aca="false">IFERROR(D5/C5,"")</f>
        <v>20.7417218543046</v>
      </c>
      <c r="M5" s="32" t="n">
        <f aca="false">IFERROR(H5/D5*1000,"")</f>
        <v>3.19284802043423</v>
      </c>
      <c r="N5" s="32" t="n">
        <v>3506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-0.247925572039226</v>
      </c>
      <c r="T5" s="16" t="n">
        <f aca="false">IF(OR($G5="",$S5=""),"",$G5-$S5)</f>
        <v>0.295066996312044</v>
      </c>
      <c r="U5" s="15" t="n">
        <f aca="true">IFERROR(IF(ISBLANK(INDIRECT("'"&amp;$Q$2&amp;"'!K"&amp;ROW())),"",INDIRECT("'"&amp;$Q$2&amp;"'!K"&amp;ROW())),"")</f>
        <v>0</v>
      </c>
      <c r="V5" s="16" t="n">
        <f aca="false">IF(OR($K5="",$U5=""),"",$K5-$U5)</f>
        <v>-0.166666666666667</v>
      </c>
      <c r="W5" s="17" t="n">
        <f aca="true">IFERROR(IF(ISBLANK(INDIRECT("'"&amp;$Q$2&amp;"'!O"&amp;ROW())),"",INDIRECT("'"&amp;$Q$2&amp;"'!O"&amp;ROW())),"")</f>
        <v>3</v>
      </c>
      <c r="X5" s="17" t="n">
        <f aca="false">IF(OR($O5="",$W5=""),"",$O5-$W5)</f>
        <v>0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85</v>
      </c>
      <c r="D6" s="32" t="n">
        <v>59201</v>
      </c>
      <c r="E6" s="32" t="n">
        <f aca="true">IF($D6="","",IFERROR(IF(ISBLANK(INDIRECT("'"&amp;$Q$2&amp;"'!D"&amp;ROW())),"",INDIRECT("'"&amp;$Q$2&amp;"'!D"&amp;ROW())),""))</f>
        <v>79350</v>
      </c>
      <c r="F6" s="33" t="n">
        <f aca="false">IF(OR(D6="",E6=""),"",D6-E6)</f>
        <v>-20149</v>
      </c>
      <c r="G6" s="34" t="n">
        <f aca="false">IFERROR(F6/E6,"")</f>
        <v>-0.253925645872716</v>
      </c>
      <c r="H6" s="32" t="n">
        <v>453</v>
      </c>
      <c r="I6" s="32" t="n">
        <f aca="true">IF($H6="","",IFERROR(IF(ISBLANK(INDIRECT("'"&amp;$Q$2&amp;"'!H"&amp;ROW())),"",INDIRECT("'"&amp;$Q$2&amp;"'!H"&amp;ROW())),""))</f>
        <v>466</v>
      </c>
      <c r="J6" s="33" t="n">
        <f aca="false">IF(OR(H6="",I6=""),"",H6-I6)</f>
        <v>-13</v>
      </c>
      <c r="K6" s="34" t="n">
        <f aca="false">IFERROR(J6/I6,"")</f>
        <v>-0.0278969957081545</v>
      </c>
      <c r="L6" s="32" t="n">
        <f aca="false">IFERROR(D6/C6,"")</f>
        <v>696.482352941177</v>
      </c>
      <c r="M6" s="32" t="n">
        <f aca="false">IFERROR(H6/D6*1000,"")</f>
        <v>7.6518977719971</v>
      </c>
      <c r="N6" s="32" t="n">
        <v>22953</v>
      </c>
      <c r="O6" s="33" t="n">
        <f aca="true">IFERROR(IF(OR(N6="",ISBLANK(INDIRECT("'"&amp;$Q$2&amp;"'!N"&amp;ROW()))),"",N6-INDIRECT("'"&amp;$Q$2&amp;"'!N"&amp;ROW())),"")</f>
        <v>4</v>
      </c>
      <c r="P6" s="3"/>
      <c r="Q6" s="3"/>
      <c r="R6" s="3"/>
      <c r="S6" s="15" t="n">
        <f aca="true">IFERROR(IF(ISBLANK(INDIRECT("'"&amp;$Q$2&amp;"'!G"&amp;ROW())),"",INDIRECT("'"&amp;$Q$2&amp;"'!G"&amp;ROW())),"")</f>
        <v>0.25385162360749</v>
      </c>
      <c r="T6" s="16" t="n">
        <f aca="false">IF(OR($G6="",$S6=""),"",$G6-$S6)</f>
        <v>-0.507777269480206</v>
      </c>
      <c r="U6" s="15" t="n">
        <f aca="true">IFERROR(IF(ISBLANK(INDIRECT("'"&amp;$Q$2&amp;"'!K"&amp;ROW())),"",INDIRECT("'"&amp;$Q$2&amp;"'!K"&amp;ROW())),"")</f>
        <v>0.358600583090379</v>
      </c>
      <c r="V6" s="16" t="n">
        <f aca="false">IF(OR($K6="",$U6=""),"",$K6-$U6)</f>
        <v>-0.386497578798534</v>
      </c>
      <c r="W6" s="17" t="n">
        <f aca="true">IFERROR(IF(ISBLANK(INDIRECT("'"&amp;$Q$2&amp;"'!O"&amp;ROW())),"",INDIRECT("'"&amp;$Q$2&amp;"'!O"&amp;ROW())),"")</f>
        <v>17</v>
      </c>
      <c r="X6" s="17" t="n">
        <f aca="false">IF(OR($O6="",$W6=""),"",$O6-$W6)</f>
        <v>-13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104</v>
      </c>
      <c r="D7" s="32" t="n">
        <v>112105</v>
      </c>
      <c r="E7" s="32" t="n">
        <f aca="true">IF($D7="","",IFERROR(IF(ISBLANK(INDIRECT("'"&amp;$Q$2&amp;"'!D"&amp;ROW())),"",INDIRECT("'"&amp;$Q$2&amp;"'!D"&amp;ROW())),""))</f>
        <v>84352</v>
      </c>
      <c r="F7" s="33" t="n">
        <f aca="false">IF(OR(D7="",E7=""),"",D7-E7)</f>
        <v>27753</v>
      </c>
      <c r="G7" s="34" t="n">
        <f aca="false">IFERROR(F7/E7,"")</f>
        <v>0.329014131259484</v>
      </c>
      <c r="H7" s="32" t="n">
        <v>916</v>
      </c>
      <c r="I7" s="32" t="n">
        <f aca="true">IF($H7="","",IFERROR(IF(ISBLANK(INDIRECT("'"&amp;$Q$2&amp;"'!H"&amp;ROW())),"",INDIRECT("'"&amp;$Q$2&amp;"'!H"&amp;ROW())),""))</f>
        <v>1068</v>
      </c>
      <c r="J7" s="33" t="n">
        <f aca="false">IF(OR(H7="",I7=""),"",H7-I7)</f>
        <v>-152</v>
      </c>
      <c r="K7" s="34" t="n">
        <f aca="false">IFERROR(J7/I7,"")</f>
        <v>-0.142322097378277</v>
      </c>
      <c r="L7" s="32" t="n">
        <f aca="false">IFERROR(D7/C7,"")</f>
        <v>1077.93269230769</v>
      </c>
      <c r="M7" s="32" t="n">
        <f aca="false">IFERROR(H7/D7*1000,"")</f>
        <v>8.17091119932206</v>
      </c>
      <c r="N7" s="32" t="n">
        <v>24948</v>
      </c>
      <c r="O7" s="33" t="n">
        <f aca="true">IFERROR(IF(OR(N7="",ISBLANK(INDIRECT("'"&amp;$Q$2&amp;"'!N"&amp;ROW()))),"",N7-INDIRECT("'"&amp;$Q$2&amp;"'!N"&amp;ROW())),"")</f>
        <v>47</v>
      </c>
      <c r="P7" s="3"/>
      <c r="Q7" s="3"/>
      <c r="R7" s="3"/>
      <c r="S7" s="15" t="n">
        <f aca="true">IFERROR(IF(ISBLANK(INDIRECT("'"&amp;$Q$2&amp;"'!G"&amp;ROW())),"",INDIRECT("'"&amp;$Q$2&amp;"'!G"&amp;ROW())),"")</f>
        <v>0.0695067833143147</v>
      </c>
      <c r="T7" s="16" t="n">
        <f aca="false">IF(OR($G7="",$S7=""),"",$G7-$S7)</f>
        <v>0.259507347945169</v>
      </c>
      <c r="U7" s="15" t="n">
        <f aca="true">IFERROR(IF(ISBLANK(INDIRECT("'"&amp;$Q$2&amp;"'!K"&amp;ROW())),"",INDIRECT("'"&amp;$Q$2&amp;"'!K"&amp;ROW())),"")</f>
        <v>0.341708542713568</v>
      </c>
      <c r="V7" s="16" t="n">
        <f aca="false">IF(OR($K7="",$U7=""),"",$K7-$U7)</f>
        <v>-0.484030640091845</v>
      </c>
      <c r="W7" s="17" t="n">
        <f aca="true">IFERROR(IF(ISBLANK(INDIRECT("'"&amp;$Q$2&amp;"'!O"&amp;ROW())),"",INDIRECT("'"&amp;$Q$2&amp;"'!O"&amp;ROW())),"")</f>
        <v>33</v>
      </c>
      <c r="X7" s="17" t="n">
        <f aca="false">IF(OR($O7="",$W7=""),"",$O7-$W7)</f>
        <v>14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82</v>
      </c>
      <c r="D8" s="32" t="n">
        <v>184234</v>
      </c>
      <c r="E8" s="32" t="n">
        <f aca="true">IF($D8="","",IFERROR(IF(ISBLANK(INDIRECT("'"&amp;$Q$2&amp;"'!D"&amp;ROW())),"",INDIRECT("'"&amp;$Q$2&amp;"'!D"&amp;ROW())),""))</f>
        <v>196212</v>
      </c>
      <c r="F8" s="33" t="n">
        <f aca="false">IF(OR(D8="",E8=""),"",D8-E8)</f>
        <v>-11978</v>
      </c>
      <c r="G8" s="34" t="n">
        <f aca="false">IFERROR(F8/E8,"")</f>
        <v>-0.0610462153181253</v>
      </c>
      <c r="H8" s="32" t="n">
        <v>2347</v>
      </c>
      <c r="I8" s="32" t="n">
        <f aca="true">IF($H8="","",IFERROR(IF(ISBLANK(INDIRECT("'"&amp;$Q$2&amp;"'!H"&amp;ROW())),"",INDIRECT("'"&amp;$Q$2&amp;"'!H"&amp;ROW())),""))</f>
        <v>2605</v>
      </c>
      <c r="J8" s="33" t="n">
        <f aca="false">IF(OR(H8="",I8=""),"",H8-I8)</f>
        <v>-258</v>
      </c>
      <c r="K8" s="34" t="n">
        <f aca="false">IFERROR(J8/I8,"")</f>
        <v>-0.0990403071017275</v>
      </c>
      <c r="L8" s="32" t="n">
        <f aca="false">IFERROR(D8/C8,"")</f>
        <v>2246.75609756098</v>
      </c>
      <c r="M8" s="32" t="n">
        <f aca="false">IFERROR(H8/D8*1000,"")</f>
        <v>12.7392338004929</v>
      </c>
      <c r="N8" s="32" t="n">
        <v>21807</v>
      </c>
      <c r="O8" s="33" t="n">
        <f aca="true">IFERROR(IF(OR(N8="",ISBLANK(INDIRECT("'"&amp;$Q$2&amp;"'!N"&amp;ROW()))),"",N8-INDIRECT("'"&amp;$Q$2&amp;"'!N"&amp;ROW())),"")</f>
        <v>38</v>
      </c>
      <c r="P8" s="3"/>
      <c r="Q8" s="3"/>
      <c r="R8" s="3"/>
      <c r="S8" s="15" t="n">
        <f aca="true">IFERROR(IF(ISBLANK(INDIRECT("'"&amp;$Q$2&amp;"'!G"&amp;ROW())),"",INDIRECT("'"&amp;$Q$2&amp;"'!G"&amp;ROW())),"")</f>
        <v>-0.339315718408124</v>
      </c>
      <c r="T8" s="16" t="n">
        <f aca="false">IF(OR($G8="",$S8=""),"",$G8-$S8)</f>
        <v>0.278269503089999</v>
      </c>
      <c r="U8" s="15" t="n">
        <f aca="true">IFERROR(IF(ISBLANK(INDIRECT("'"&amp;$Q$2&amp;"'!K"&amp;ROW())),"",INDIRECT("'"&amp;$Q$2&amp;"'!K"&amp;ROW())),"")</f>
        <v>-0.269489624228828</v>
      </c>
      <c r="V8" s="16" t="n">
        <f aca="false">IF(OR($K8="",$U8=""),"",$K8-$U8)</f>
        <v>0.1704493171271</v>
      </c>
      <c r="W8" s="17" t="n">
        <f aca="true">IFERROR(IF(ISBLANK(INDIRECT("'"&amp;$Q$2&amp;"'!O"&amp;ROW())),"",INDIRECT("'"&amp;$Q$2&amp;"'!O"&amp;ROW())),"")</f>
        <v>25</v>
      </c>
      <c r="X8" s="17" t="n">
        <f aca="false">IF(OR($O8="",$W8=""),"",$O8-$W8)</f>
        <v>13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89</v>
      </c>
      <c r="D9" s="32" t="n">
        <v>214009</v>
      </c>
      <c r="E9" s="32" t="n">
        <f aca="true">IF($D9="","",IFERROR(IF(ISBLANK(INDIRECT("'"&amp;$Q$2&amp;"'!D"&amp;ROW())),"",INDIRECT("'"&amp;$Q$2&amp;"'!D"&amp;ROW())),""))</f>
        <v>320603</v>
      </c>
      <c r="F9" s="33" t="n">
        <f aca="false">IF(OR(D9="",E9=""),"",D9-E9)</f>
        <v>-106594</v>
      </c>
      <c r="G9" s="34" t="n">
        <f aca="false">IFERROR(F9/E9,"")</f>
        <v>-0.332479733502182</v>
      </c>
      <c r="H9" s="32" t="n">
        <v>2868</v>
      </c>
      <c r="I9" s="32" t="n">
        <f aca="true">IF($H9="","",IFERROR(IF(ISBLANK(INDIRECT("'"&amp;$Q$2&amp;"'!H"&amp;ROW())),"",INDIRECT("'"&amp;$Q$2&amp;"'!H"&amp;ROW())),""))</f>
        <v>4182</v>
      </c>
      <c r="J9" s="33" t="n">
        <f aca="false">IF(OR(H9="",I9=""),"",H9-I9)</f>
        <v>-1314</v>
      </c>
      <c r="K9" s="34" t="n">
        <f aca="false">IFERROR(J9/I9,"")</f>
        <v>-0.314203730272597</v>
      </c>
      <c r="L9" s="32" t="n">
        <f aca="false">IFERROR(D9/C9,"")</f>
        <v>2404.59550561798</v>
      </c>
      <c r="M9" s="32" t="n">
        <f aca="false">IFERROR(H9/D9*1000,"")</f>
        <v>13.4013055525702</v>
      </c>
      <c r="N9" s="32" t="n">
        <v>31360</v>
      </c>
      <c r="O9" s="33" t="n">
        <f aca="true">IFERROR(IF(OR(N9="",ISBLANK(INDIRECT("'"&amp;$Q$2&amp;"'!N"&amp;ROW()))),"",N9-INDIRECT("'"&amp;$Q$2&amp;"'!N"&amp;ROW())),"")</f>
        <v>14</v>
      </c>
      <c r="P9" s="3"/>
      <c r="Q9" s="3"/>
      <c r="R9" s="3"/>
      <c r="S9" s="15" t="n">
        <f aca="true">IFERROR(IF(ISBLANK(INDIRECT("'"&amp;$Q$2&amp;"'!G"&amp;ROW())),"",INDIRECT("'"&amp;$Q$2&amp;"'!G"&amp;ROW())),"")</f>
        <v>-0.00602086530561627</v>
      </c>
      <c r="T9" s="16" t="n">
        <f aca="false">IF(OR($G9="",$S9=""),"",$G9-$S9)</f>
        <v>-0.326458868196566</v>
      </c>
      <c r="U9" s="15" t="n">
        <f aca="true">IFERROR(IF(ISBLANK(INDIRECT("'"&amp;$Q$2&amp;"'!K"&amp;ROW())),"",INDIRECT("'"&amp;$Q$2&amp;"'!K"&amp;ROW())),"")</f>
        <v>0.00625601539942252</v>
      </c>
      <c r="V9" s="16" t="n">
        <f aca="false">IF(OR($K9="",$U9=""),"",$K9-$U9)</f>
        <v>-0.320459745672019</v>
      </c>
      <c r="W9" s="17" t="n">
        <f aca="true">IFERROR(IF(ISBLANK(INDIRECT("'"&amp;$Q$2&amp;"'!O"&amp;ROW())),"",INDIRECT("'"&amp;$Q$2&amp;"'!O"&amp;ROW())),"")</f>
        <v>16</v>
      </c>
      <c r="X9" s="17" t="n">
        <f aca="false">IF(OR($O9="",$W9=""),"",$O9-$W9)</f>
        <v>-2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169334</v>
      </c>
      <c r="E10" s="32" t="n">
        <f aca="true">IF($D10="","",IFERROR(IF(ISBLANK(INDIRECT("'"&amp;$Q$2&amp;"'!D"&amp;ROW())),"",INDIRECT("'"&amp;$Q$2&amp;"'!D"&amp;ROW())),""))</f>
        <v>197099</v>
      </c>
      <c r="F10" s="33" t="n">
        <f aca="false">IF(OR(D10="",E10=""),"",D10-E10)</f>
        <v>-27765</v>
      </c>
      <c r="G10" s="34" t="n">
        <f aca="false">IFERROR(F10/E10,"")</f>
        <v>-0.140868294613367</v>
      </c>
      <c r="H10" s="32" t="n">
        <v>1168</v>
      </c>
      <c r="I10" s="32" t="n">
        <f aca="true">IF($H10="","",IFERROR(IF(ISBLANK(INDIRECT("'"&amp;$Q$2&amp;"'!H"&amp;ROW())),"",INDIRECT("'"&amp;$Q$2&amp;"'!H"&amp;ROW())),""))</f>
        <v>2190</v>
      </c>
      <c r="J10" s="33" t="n">
        <f aca="false">IF(OR(H10="",I10=""),"",H10-I10)</f>
        <v>-1022</v>
      </c>
      <c r="K10" s="34" t="n">
        <f aca="false">IFERROR(J10/I10,"")</f>
        <v>-0.466666666666667</v>
      </c>
      <c r="L10" s="32" t="n">
        <f aca="false">IFERROR(D10/C10,"")</f>
        <v>1144.14864864865</v>
      </c>
      <c r="M10" s="32" t="n">
        <f aca="false">IFERROR(H10/D10*1000,"")</f>
        <v>6.89761063932819</v>
      </c>
      <c r="N10" s="32" t="n">
        <v>21638</v>
      </c>
      <c r="O10" s="33" t="n">
        <f aca="true">IFERROR(IF(OR(N10="",ISBLANK(INDIRECT("'"&amp;$Q$2&amp;"'!N"&amp;ROW()))),"",N10-INDIRECT("'"&amp;$Q$2&amp;"'!N"&amp;ROW())),"")</f>
        <v>25</v>
      </c>
      <c r="P10" s="3"/>
      <c r="Q10" s="3"/>
      <c r="R10" s="3"/>
      <c r="S10" s="15" t="n">
        <f aca="true">IFERROR(IF(ISBLANK(INDIRECT("'"&amp;$Q$2&amp;"'!G"&amp;ROW())),"",INDIRECT("'"&amp;$Q$2&amp;"'!G"&amp;ROW())),"")</f>
        <v>0.173816202438167</v>
      </c>
      <c r="T10" s="16" t="n">
        <f aca="false">IF(OR($G10="",$S10=""),"",$G10-$S10)</f>
        <v>-0.314684497051534</v>
      </c>
      <c r="U10" s="15" t="n">
        <f aca="true">IFERROR(IF(ISBLANK(INDIRECT("'"&amp;$Q$2&amp;"'!K"&amp;ROW())),"",INDIRECT("'"&amp;$Q$2&amp;"'!K"&amp;ROW())),"")</f>
        <v>0.837248322147651</v>
      </c>
      <c r="V10" s="16" t="n">
        <f aca="false">IF(OR($K10="",$U10=""),"",$K10-$U10)</f>
        <v>-1.30391498881432</v>
      </c>
      <c r="W10" s="17" t="n">
        <f aca="true">IFERROR(IF(ISBLANK(INDIRECT("'"&amp;$Q$2&amp;"'!O"&amp;ROW())),"",INDIRECT("'"&amp;$Q$2&amp;"'!O"&amp;ROW())),"")</f>
        <v>27</v>
      </c>
      <c r="X10" s="17" t="n">
        <f aca="false">IF(OR($O10="",$W10=""),"",$O10-$W10)</f>
        <v>-2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387676</v>
      </c>
      <c r="E11" s="32" t="n">
        <f aca="true">IF($D11="","",IFERROR(IF(ISBLANK(INDIRECT("'"&amp;$Q$2&amp;"'!D"&amp;ROW())),"",INDIRECT("'"&amp;$Q$2&amp;"'!D"&amp;ROW())),""))</f>
        <v>366428</v>
      </c>
      <c r="F11" s="33" t="n">
        <f aca="false">IF(OR(D11="",E11=""),"",D11-E11)</f>
        <v>21248</v>
      </c>
      <c r="G11" s="34" t="n">
        <f aca="false">IFERROR(F11/E11,"")</f>
        <v>0.0579868350671892</v>
      </c>
      <c r="H11" s="32" t="n">
        <v>3546</v>
      </c>
      <c r="I11" s="32" t="n">
        <f aca="true">IF($H11="","",IFERROR(IF(ISBLANK(INDIRECT("'"&amp;$Q$2&amp;"'!H"&amp;ROW())),"",INDIRECT("'"&amp;$Q$2&amp;"'!H"&amp;ROW())),""))</f>
        <v>2775</v>
      </c>
      <c r="J11" s="33" t="n">
        <f aca="false">IF(OR(H11="",I11=""),"",H11-I11)</f>
        <v>771</v>
      </c>
      <c r="K11" s="34" t="n">
        <f aca="false">IFERROR(J11/I11,"")</f>
        <v>0.277837837837838</v>
      </c>
      <c r="L11" s="32" t="n">
        <f aca="false">IFERROR(D11/C11,"")</f>
        <v>3727.65384615385</v>
      </c>
      <c r="M11" s="32" t="n">
        <f aca="false">IFERROR(H11/D11*1000,"")</f>
        <v>9.14681331833799</v>
      </c>
      <c r="N11" s="32" t="n">
        <v>20852</v>
      </c>
      <c r="O11" s="33" t="n">
        <f aca="true">IFERROR(IF(OR(N11="",ISBLANK(INDIRECT("'"&amp;$Q$2&amp;"'!N"&amp;ROW()))),"",N11-INDIRECT("'"&amp;$Q$2&amp;"'!N"&amp;ROW())),"")</f>
        <v>37</v>
      </c>
      <c r="P11" s="3"/>
      <c r="Q11" s="3"/>
      <c r="R11" s="3"/>
      <c r="S11" s="15" t="n">
        <f aca="true">IFERROR(IF(ISBLANK(INDIRECT("'"&amp;$Q$2&amp;"'!G"&amp;ROW())),"",INDIRECT("'"&amp;$Q$2&amp;"'!G"&amp;ROW())),"")</f>
        <v>-0.101013000458782</v>
      </c>
      <c r="T11" s="16" t="n">
        <f aca="false">IF(OR($G11="",$S11=""),"",$G11-$S11)</f>
        <v>0.158999835525971</v>
      </c>
      <c r="U11" s="15" t="n">
        <f aca="true">IFERROR(IF(ISBLANK(INDIRECT("'"&amp;$Q$2&amp;"'!K"&amp;ROW())),"",INDIRECT("'"&amp;$Q$2&amp;"'!K"&amp;ROW())),"")</f>
        <v>-0.248781808337845</v>
      </c>
      <c r="V11" s="16" t="n">
        <f aca="false">IF(OR($K11="",$U11=""),"",$K11-$U11)</f>
        <v>0.526619646175683</v>
      </c>
      <c r="W11" s="17" t="n">
        <f aca="true">IFERROR(IF(ISBLANK(INDIRECT("'"&amp;$Q$2&amp;"'!O"&amp;ROW())),"",INDIRECT("'"&amp;$Q$2&amp;"'!O"&amp;ROW())),"")</f>
        <v>18</v>
      </c>
      <c r="X11" s="17" t="n">
        <f aca="false">IF(OR($O11="",$W11=""),"",$O11-$W11)</f>
        <v>19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71</v>
      </c>
      <c r="D12" s="32" t="n">
        <v>182432</v>
      </c>
      <c r="E12" s="32" t="n">
        <f aca="true">IF($D12="","",IFERROR(IF(ISBLANK(INDIRECT("'"&amp;$Q$2&amp;"'!D"&amp;ROW())),"",INDIRECT("'"&amp;$Q$2&amp;"'!D"&amp;ROW())),""))</f>
        <v>119193</v>
      </c>
      <c r="F12" s="33" t="n">
        <f aca="false">IF(OR(D12="",E12=""),"",D12-E12)</f>
        <v>63239</v>
      </c>
      <c r="G12" s="34" t="n">
        <f aca="false">IFERROR(F12/E12,"")</f>
        <v>0.530559680518151</v>
      </c>
      <c r="H12" s="32" t="n">
        <v>2953</v>
      </c>
      <c r="I12" s="32" t="n">
        <f aca="true">IF($H12="","",IFERROR(IF(ISBLANK(INDIRECT("'"&amp;$Q$2&amp;"'!H"&amp;ROW())),"",INDIRECT("'"&amp;$Q$2&amp;"'!H"&amp;ROW())),""))</f>
        <v>1839</v>
      </c>
      <c r="J12" s="33" t="n">
        <f aca="false">IF(OR(H12="",I12=""),"",H12-I12)</f>
        <v>1114</v>
      </c>
      <c r="K12" s="34" t="n">
        <f aca="false">IFERROR(J12/I12,"")</f>
        <v>0.605764002175095</v>
      </c>
      <c r="L12" s="32" t="n">
        <f aca="false">IFERROR(D12/C12,"")</f>
        <v>2569.46478873239</v>
      </c>
      <c r="M12" s="32" t="n">
        <f aca="false">IFERROR(H12/D12*1000,"")</f>
        <v>16.186853183652</v>
      </c>
      <c r="N12" s="32" t="n">
        <v>15687</v>
      </c>
      <c r="O12" s="33" t="n">
        <f aca="true">IFERROR(IF(OR(N12="",ISBLANK(INDIRECT("'"&amp;$Q$2&amp;"'!N"&amp;ROW()))),"",N12-INDIRECT("'"&amp;$Q$2&amp;"'!N"&amp;ROW())),"")</f>
        <v>129</v>
      </c>
      <c r="P12" s="3"/>
      <c r="Q12" s="3"/>
      <c r="R12" s="3"/>
      <c r="S12" s="15" t="n">
        <f aca="true">IFERROR(IF(ISBLANK(INDIRECT("'"&amp;$Q$2&amp;"'!G"&amp;ROW())),"",INDIRECT("'"&amp;$Q$2&amp;"'!G"&amp;ROW())),"")</f>
        <v>0.0684110038454299</v>
      </c>
      <c r="T12" s="16" t="n">
        <f aca="false">IF(OR($G12="",$S12=""),"",$G12-$S12)</f>
        <v>0.462148676672721</v>
      </c>
      <c r="U12" s="15" t="n">
        <f aca="true">IFERROR(IF(ISBLANK(INDIRECT("'"&amp;$Q$2&amp;"'!K"&amp;ROW())),"",INDIRECT("'"&amp;$Q$2&amp;"'!K"&amp;ROW())),"")</f>
        <v>-0.0471502590673575</v>
      </c>
      <c r="V12" s="16" t="n">
        <f aca="false">IF(OR($K12="",$U12=""),"",$K12-$U12)</f>
        <v>0.652914261242453</v>
      </c>
      <c r="W12" s="17" t="n">
        <f aca="true">IFERROR(IF(ISBLANK(INDIRECT("'"&amp;$Q$2&amp;"'!O"&amp;ROW())),"",INDIRECT("'"&amp;$Q$2&amp;"'!O"&amp;ROW())),"")</f>
        <v>60</v>
      </c>
      <c r="X12" s="17" t="n">
        <f aca="false">IF(OR($O12="",$W12=""),"",$O12-$W12)</f>
        <v>69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54</v>
      </c>
      <c r="D13" s="32" t="n">
        <v>22648</v>
      </c>
      <c r="E13" s="32" t="n">
        <f aca="true">IF($D13="","",IFERROR(IF(ISBLANK(INDIRECT("'"&amp;$Q$2&amp;"'!D"&amp;ROW())),"",INDIRECT("'"&amp;$Q$2&amp;"'!D"&amp;ROW())),""))</f>
        <v>19819</v>
      </c>
      <c r="F13" s="33" t="n">
        <f aca="false">IF(OR(D13="",E13=""),"",D13-E13)</f>
        <v>2829</v>
      </c>
      <c r="G13" s="34" t="n">
        <f aca="false">IFERROR(F13/E13,"")</f>
        <v>0.142741813411373</v>
      </c>
      <c r="H13" s="32" t="n">
        <v>380</v>
      </c>
      <c r="I13" s="32" t="n">
        <f aca="true">IF($H13="","",IFERROR(IF(ISBLANK(INDIRECT("'"&amp;$Q$2&amp;"'!H"&amp;ROW())),"",INDIRECT("'"&amp;$Q$2&amp;"'!H"&amp;ROW())),""))</f>
        <v>287</v>
      </c>
      <c r="J13" s="33" t="n">
        <f aca="false">IF(OR(H13="",I13=""),"",H13-I13)</f>
        <v>93</v>
      </c>
      <c r="K13" s="34" t="n">
        <f aca="false">IFERROR(J13/I13,"")</f>
        <v>0.32404181184669</v>
      </c>
      <c r="L13" s="32" t="n">
        <f aca="false">IFERROR(D13/C13,"")</f>
        <v>419.407407407407</v>
      </c>
      <c r="M13" s="32" t="n">
        <f aca="false">IFERROR(H13/D13*1000,"")</f>
        <v>16.7785234899329</v>
      </c>
      <c r="N13" s="32" t="n">
        <v>16421</v>
      </c>
      <c r="O13" s="33" t="n">
        <f aca="true">IFERROR(IF(OR(N13="",ISBLANK(INDIRECT("'"&amp;$Q$2&amp;"'!N"&amp;ROW()))),"",N13-INDIRECT("'"&amp;$Q$2&amp;"'!N"&amp;ROW())),"")</f>
        <v>-8</v>
      </c>
      <c r="P13" s="3"/>
      <c r="Q13" s="3"/>
      <c r="R13" s="3"/>
      <c r="S13" s="15" t="n">
        <f aca="true">IFERROR(IF(ISBLANK(INDIRECT("'"&amp;$Q$2&amp;"'!G"&amp;ROW())),"",INDIRECT("'"&amp;$Q$2&amp;"'!G"&amp;ROW())),"")</f>
        <v>-0.404548732123543</v>
      </c>
      <c r="T13" s="16" t="n">
        <f aca="false">IF(OR($G13="",$S13=""),"",$G13-$S13)</f>
        <v>0.547290545534916</v>
      </c>
      <c r="U13" s="15" t="n">
        <f aca="true">IFERROR(IF(ISBLANK(INDIRECT("'"&amp;$Q$2&amp;"'!K"&amp;ROW())),"",INDIRECT("'"&amp;$Q$2&amp;"'!K"&amp;ROW())),"")</f>
        <v>-0.186968838526912</v>
      </c>
      <c r="V13" s="16" t="n">
        <f aca="false">IF(OR($K13="",$U13=""),"",$K13-$U13)</f>
        <v>0.511010650373602</v>
      </c>
      <c r="W13" s="17" t="n">
        <f aca="true">IFERROR(IF(ISBLANK(INDIRECT("'"&amp;$Q$2&amp;"'!O"&amp;ROW())),"",INDIRECT("'"&amp;$Q$2&amp;"'!O"&amp;ROW())),"")</f>
        <v>-14</v>
      </c>
      <c r="X13" s="17" t="n">
        <f aca="false">IF(OR($O13="",$W13=""),"",$O13-$W13)</f>
        <v>6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62</v>
      </c>
      <c r="D14" s="32" t="n">
        <v>54222</v>
      </c>
      <c r="E14" s="32" t="n">
        <f aca="true">IF($D14="","",IFERROR(IF(ISBLANK(INDIRECT("'"&amp;$Q$2&amp;"'!D"&amp;ROW())),"",INDIRECT("'"&amp;$Q$2&amp;"'!D"&amp;ROW())),""))</f>
        <v>58490</v>
      </c>
      <c r="F14" s="33" t="n">
        <f aca="false">IF(OR(D14="",E14=""),"",D14-E14)</f>
        <v>-4268</v>
      </c>
      <c r="G14" s="34" t="n">
        <f aca="false">IFERROR(F14/E14,"")</f>
        <v>-0.0729697384168234</v>
      </c>
      <c r="H14" s="32" t="n">
        <v>545</v>
      </c>
      <c r="I14" s="32" t="n">
        <f aca="true">IF($H14="","",IFERROR(IF(ISBLANK(INDIRECT("'"&amp;$Q$2&amp;"'!H"&amp;ROW())),"",INDIRECT("'"&amp;$Q$2&amp;"'!H"&amp;ROW())),""))</f>
        <v>798</v>
      </c>
      <c r="J14" s="33" t="n">
        <f aca="false">IF(OR(H14="",I14=""),"",H14-I14)</f>
        <v>-253</v>
      </c>
      <c r="K14" s="34" t="n">
        <f aca="false">IFERROR(J14/I14,"")</f>
        <v>-0.317042606516291</v>
      </c>
      <c r="L14" s="32" t="n">
        <f aca="false">IFERROR(D14/C14,"")</f>
        <v>874.548387096774</v>
      </c>
      <c r="M14" s="32" t="n">
        <f aca="false">IFERROR(H14/D14*1000,"")</f>
        <v>10.0512707019291</v>
      </c>
      <c r="N14" s="32" t="n">
        <v>6499</v>
      </c>
      <c r="O14" s="33" t="n">
        <f aca="true">IFERROR(IF(OR(N14="",ISBLANK(INDIRECT("'"&amp;$Q$2&amp;"'!N"&amp;ROW()))),"",N14-INDIRECT("'"&amp;$Q$2&amp;"'!N"&amp;ROW())),"")</f>
        <v>31</v>
      </c>
      <c r="P14" s="3"/>
      <c r="Q14" s="3"/>
      <c r="R14" s="3"/>
      <c r="S14" s="15" t="n">
        <f aca="true">IFERROR(IF(ISBLANK(INDIRECT("'"&amp;$Q$2&amp;"'!G"&amp;ROW())),"",INDIRECT("'"&amp;$Q$2&amp;"'!G"&amp;ROW())),"")</f>
        <v>0.197583947583948</v>
      </c>
      <c r="T14" s="16" t="n">
        <f aca="false">IF(OR($G14="",$S14=""),"",$G14-$S14)</f>
        <v>-0.270553686000771</v>
      </c>
      <c r="U14" s="15" t="n">
        <f aca="true">IFERROR(IF(ISBLANK(INDIRECT("'"&amp;$Q$2&amp;"'!K"&amp;ROW())),"",INDIRECT("'"&amp;$Q$2&amp;"'!K"&amp;ROW())),"")</f>
        <v>0.49438202247191</v>
      </c>
      <c r="V14" s="16" t="n">
        <f aca="false">IF(OR($K14="",$U14=""),"",$K14-$U14)</f>
        <v>-0.811424628988201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2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33116</v>
      </c>
      <c r="E15" s="32" t="n">
        <f aca="true">IF($D15="","",IFERROR(IF(ISBLANK(INDIRECT("'"&amp;$Q$2&amp;"'!D"&amp;ROW())),"",INDIRECT("'"&amp;$Q$2&amp;"'!D"&amp;ROW())),""))</f>
        <v>33209</v>
      </c>
      <c r="F15" s="33" t="n">
        <f aca="false">IF(OR(D15="",E15=""),"",D15-E15)</f>
        <v>-93</v>
      </c>
      <c r="G15" s="34" t="n">
        <f aca="false">IFERROR(F15/E15,"")</f>
        <v>-0.00280044566232046</v>
      </c>
      <c r="H15" s="32" t="n">
        <v>387</v>
      </c>
      <c r="I15" s="32" t="n">
        <f aca="true">IF($H15="","",IFERROR(IF(ISBLANK(INDIRECT("'"&amp;$Q$2&amp;"'!H"&amp;ROW())),"",INDIRECT("'"&amp;$Q$2&amp;"'!H"&amp;ROW())),""))</f>
        <v>303</v>
      </c>
      <c r="J15" s="33" t="n">
        <f aca="false">IF(OR(H15="",I15=""),"",H15-I15)</f>
        <v>84</v>
      </c>
      <c r="K15" s="34" t="n">
        <f aca="false">IFERROR(J15/I15,"")</f>
        <v>0.277227722772277</v>
      </c>
      <c r="L15" s="32" t="n">
        <f aca="false">IFERROR(D15/C15,"")</f>
        <v>1226.51851851852</v>
      </c>
      <c r="M15" s="32" t="n">
        <f aca="false">IFERROR(H15/D15*1000,"")</f>
        <v>11.6861939847808</v>
      </c>
      <c r="N15" s="32" t="n">
        <v>3712</v>
      </c>
      <c r="O15" s="33" t="n">
        <f aca="true">IFERROR(IF(OR(N15="",ISBLANK(INDIRECT("'"&amp;$Q$2&amp;"'!N"&amp;ROW()))),"",N15-INDIRECT("'"&amp;$Q$2&amp;"'!N"&amp;ROW())),"")</f>
        <v>13</v>
      </c>
      <c r="P15" s="3"/>
      <c r="Q15" s="3"/>
      <c r="R15" s="3"/>
      <c r="S15" s="15" t="n">
        <f aca="true">IFERROR(IF(ISBLANK(INDIRECT("'"&amp;$Q$2&amp;"'!G"&amp;ROW())),"",INDIRECT("'"&amp;$Q$2&amp;"'!G"&amp;ROW())),"")</f>
        <v>0.0804945501870831</v>
      </c>
      <c r="T15" s="16" t="n">
        <f aca="false">IF(OR($G15="",$S15=""),"",$G15-$S15)</f>
        <v>-0.0832949958494036</v>
      </c>
      <c r="U15" s="15" t="n">
        <f aca="true">IFERROR(IF(ISBLANK(INDIRECT("'"&amp;$Q$2&amp;"'!K"&amp;ROW())),"",INDIRECT("'"&amp;$Q$2&amp;"'!K"&amp;ROW())),"")</f>
        <v>0.0033112582781457</v>
      </c>
      <c r="V15" s="16" t="n">
        <f aca="false">IF(OR($K15="",$U15=""),"",$K15-$U15)</f>
        <v>0.273916464494132</v>
      </c>
      <c r="W15" s="17" t="n">
        <f aca="true">IFERROR(IF(ISBLANK(INDIRECT("'"&amp;$Q$2&amp;"'!O"&amp;ROW())),"",INDIRECT("'"&amp;$Q$2&amp;"'!O"&amp;ROW())),"")</f>
        <v>12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59</v>
      </c>
      <c r="D16" s="32" t="n">
        <v>118008</v>
      </c>
      <c r="E16" s="32" t="n">
        <f aca="true">IF($D16="","",IFERROR(IF(ISBLANK(INDIRECT("'"&amp;$Q$2&amp;"'!D"&amp;ROW())),"",INDIRECT("'"&amp;$Q$2&amp;"'!D"&amp;ROW())),""))</f>
        <v>86941</v>
      </c>
      <c r="F16" s="33" t="n">
        <f aca="false">IF(OR(D16="",E16=""),"",D16-E16)</f>
        <v>31067</v>
      </c>
      <c r="G16" s="34" t="n">
        <f aca="false">IFERROR(F16/E16,"")</f>
        <v>0.357334284169724</v>
      </c>
      <c r="H16" s="32" t="n">
        <v>1068</v>
      </c>
      <c r="I16" s="32" t="n">
        <f aca="true">IF($H16="","",IFERROR(IF(ISBLANK(INDIRECT("'"&amp;$Q$2&amp;"'!H"&amp;ROW())),"",INDIRECT("'"&amp;$Q$2&amp;"'!H"&amp;ROW())),""))</f>
        <v>723</v>
      </c>
      <c r="J16" s="33" t="n">
        <f aca="false">IF(OR(H16="",I16=""),"",H16-I16)</f>
        <v>345</v>
      </c>
      <c r="K16" s="34" t="n">
        <f aca="false">IFERROR(J16/I16,"")</f>
        <v>0.477178423236515</v>
      </c>
      <c r="L16" s="32" t="n">
        <f aca="false">IFERROR(D16/C16,"")</f>
        <v>2000.13559322034</v>
      </c>
      <c r="M16" s="32" t="n">
        <f aca="false">IFERROR(H16/D16*1000,"")</f>
        <v>9.05023388244865</v>
      </c>
      <c r="N16" s="32" t="n">
        <v>12938</v>
      </c>
      <c r="O16" s="33" t="n">
        <f aca="true">IFERROR(IF(OR(N16="",ISBLANK(INDIRECT("'"&amp;$Q$2&amp;"'!N"&amp;ROW()))),"",N16-INDIRECT("'"&amp;$Q$2&amp;"'!N"&amp;ROW())),"")</f>
        <v>36</v>
      </c>
      <c r="P16" s="3"/>
      <c r="Q16" s="3"/>
      <c r="R16" s="3"/>
      <c r="S16" s="15" t="n">
        <f aca="true">IFERROR(IF(ISBLANK(INDIRECT("'"&amp;$Q$2&amp;"'!G"&amp;ROW())),"",INDIRECT("'"&amp;$Q$2&amp;"'!G"&amp;ROW())),"")</f>
        <v>-0.124020151133501</v>
      </c>
      <c r="T16" s="16" t="n">
        <f aca="false">IF(OR($G16="",$S16=""),"",$G16-$S16)</f>
        <v>0.481354435303226</v>
      </c>
      <c r="U16" s="15" t="n">
        <f aca="true">IFERROR(IF(ISBLANK(INDIRECT("'"&amp;$Q$2&amp;"'!K"&amp;ROW())),"",INDIRECT("'"&amp;$Q$2&amp;"'!K"&amp;ROW())),"")</f>
        <v>-0.277722277722278</v>
      </c>
      <c r="V16" s="16" t="n">
        <f aca="false">IF(OR($K16="",$U16=""),"",$K16-$U16)</f>
        <v>0.754900700958792</v>
      </c>
      <c r="W16" s="17" t="n">
        <f aca="true">IFERROR(IF(ISBLANK(INDIRECT("'"&amp;$Q$2&amp;"'!O"&amp;ROW())),"",INDIRECT("'"&amp;$Q$2&amp;"'!O"&amp;ROW())),"")</f>
        <v>89</v>
      </c>
      <c r="X16" s="17" t="n">
        <f aca="false">IF(OR($O16="",$W16=""),"",$O16-$W16)</f>
        <v>-53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52</v>
      </c>
      <c r="D17" s="32" t="n">
        <v>201712</v>
      </c>
      <c r="E17" s="32" t="n">
        <f aca="true">IF($D17="","",IFERROR(IF(ISBLANK(INDIRECT("'"&amp;$Q$2&amp;"'!D"&amp;ROW())),"",INDIRECT("'"&amp;$Q$2&amp;"'!D"&amp;ROW())),""))</f>
        <v>182773</v>
      </c>
      <c r="F17" s="33" t="n">
        <f aca="false">IF(OR(D17="",E17=""),"",D17-E17)</f>
        <v>18939</v>
      </c>
      <c r="G17" s="34" t="n">
        <f aca="false">IFERROR(F17/E17,"")</f>
        <v>0.103620337796064</v>
      </c>
      <c r="H17" s="32" t="n">
        <v>1732</v>
      </c>
      <c r="I17" s="32" t="n">
        <f aca="true">IF($H17="","",IFERROR(IF(ISBLANK(INDIRECT("'"&amp;$Q$2&amp;"'!H"&amp;ROW())),"",INDIRECT("'"&amp;$Q$2&amp;"'!H"&amp;ROW())),""))</f>
        <v>1997</v>
      </c>
      <c r="J17" s="33" t="n">
        <f aca="false">IF(OR(H17="",I17=""),"",H17-I17)</f>
        <v>-265</v>
      </c>
      <c r="K17" s="34" t="n">
        <f aca="false">IFERROR(J17/I17,"")</f>
        <v>-0.132699048572859</v>
      </c>
      <c r="L17" s="32" t="n">
        <f aca="false">IFERROR(D17/C17,"")</f>
        <v>3879.07692307692</v>
      </c>
      <c r="M17" s="32" t="n">
        <f aca="false">IFERROR(H17/D17*1000,"")</f>
        <v>8.58649956373443</v>
      </c>
      <c r="N17" s="32" t="n">
        <v>7832</v>
      </c>
      <c r="O17" s="33" t="n">
        <f aca="true">IFERROR(IF(OR(N17="",ISBLANK(INDIRECT("'"&amp;$Q$2&amp;"'!N"&amp;ROW()))),"",N17-INDIRECT("'"&amp;$Q$2&amp;"'!N"&amp;ROW())),"")</f>
        <v>1</v>
      </c>
      <c r="P17" s="3"/>
      <c r="Q17" s="3"/>
      <c r="R17" s="3"/>
      <c r="S17" s="15" t="n">
        <f aca="true">IFERROR(IF(ISBLANK(INDIRECT("'"&amp;$Q$2&amp;"'!G"&amp;ROW())),"",INDIRECT("'"&amp;$Q$2&amp;"'!G"&amp;ROW())),"")</f>
        <v>0.168475898222734</v>
      </c>
      <c r="T17" s="16" t="n">
        <f aca="false">IF(OR($G17="",$S17=""),"",$G17-$S17)</f>
        <v>-0.0648555604266697</v>
      </c>
      <c r="U17" s="15" t="n">
        <f aca="true">IFERROR(IF(ISBLANK(INDIRECT("'"&amp;$Q$2&amp;"'!K"&amp;ROW())),"",INDIRECT("'"&amp;$Q$2&amp;"'!K"&amp;ROW())),"")</f>
        <v>0.263124604680582</v>
      </c>
      <c r="V17" s="16" t="n">
        <f aca="false">IF(OR($K17="",$U17=""),"",$K17-$U17)</f>
        <v>-0.395823653253441</v>
      </c>
      <c r="W17" s="17" t="n">
        <f aca="true">IFERROR(IF(ISBLANK(INDIRECT("'"&amp;$Q$2&amp;"'!O"&amp;ROW())),"",INDIRECT("'"&amp;$Q$2&amp;"'!O"&amp;ROW())),"")</f>
        <v>9</v>
      </c>
      <c r="X17" s="17" t="n">
        <f aca="false">IF(OR($O17="",$W17=""),"",$O17-$W17)</f>
        <v>-8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69</v>
      </c>
      <c r="D18" s="32" t="n">
        <v>195710</v>
      </c>
      <c r="E18" s="32" t="n">
        <f aca="true">IF($D18="","",IFERROR(IF(ISBLANK(INDIRECT("'"&amp;$Q$2&amp;"'!D"&amp;ROW())),"",INDIRECT("'"&amp;$Q$2&amp;"'!D"&amp;ROW())),""))</f>
        <v>149877</v>
      </c>
      <c r="F18" s="33" t="n">
        <f aca="false">IF(OR(D18="",E18=""),"",D18-E18)</f>
        <v>45833</v>
      </c>
      <c r="G18" s="34" t="n">
        <f aca="false">IFERROR(F18/E18,"")</f>
        <v>0.305804092689339</v>
      </c>
      <c r="H18" s="32" t="n">
        <v>1313</v>
      </c>
      <c r="I18" s="32" t="n">
        <f aca="true">IF($H18="","",IFERROR(IF(ISBLANK(INDIRECT("'"&amp;$Q$2&amp;"'!H"&amp;ROW())),"",INDIRECT("'"&amp;$Q$2&amp;"'!H"&amp;ROW())),""))</f>
        <v>1760</v>
      </c>
      <c r="J18" s="33" t="n">
        <f aca="false">IF(OR(H18="",I18=""),"",H18-I18)</f>
        <v>-447</v>
      </c>
      <c r="K18" s="34" t="n">
        <f aca="false">IFERROR(J18/I18,"")</f>
        <v>-0.253977272727273</v>
      </c>
      <c r="L18" s="32" t="n">
        <f aca="false">IFERROR(D18/C18,"")</f>
        <v>2836.3768115942</v>
      </c>
      <c r="M18" s="32" t="n">
        <f aca="false">IFERROR(H18/D18*1000,"")</f>
        <v>6.70890603443871</v>
      </c>
      <c r="N18" s="32" t="n">
        <v>18274</v>
      </c>
      <c r="O18" s="33" t="n">
        <f aca="true">IFERROR(IF(OR(N18="",ISBLANK(INDIRECT("'"&amp;$Q$2&amp;"'!N"&amp;ROW()))),"",N18-INDIRECT("'"&amp;$Q$2&amp;"'!N"&amp;ROW())),"")</f>
        <v>30</v>
      </c>
      <c r="P18" s="3"/>
      <c r="Q18" s="3"/>
      <c r="R18" s="3"/>
      <c r="S18" s="15" t="n">
        <f aca="true">IFERROR(IF(ISBLANK(INDIRECT("'"&amp;$Q$2&amp;"'!G"&amp;ROW())),"",INDIRECT("'"&amp;$Q$2&amp;"'!G"&amp;ROW())),"")</f>
        <v>0.0261190453369117</v>
      </c>
      <c r="T18" s="16" t="n">
        <f aca="false">IF(OR($G18="",$S18=""),"",$G18-$S18)</f>
        <v>0.279685047352427</v>
      </c>
      <c r="U18" s="15" t="n">
        <f aca="true">IFERROR(IF(ISBLANK(INDIRECT("'"&amp;$Q$2&amp;"'!K"&amp;ROW())),"",INDIRECT("'"&amp;$Q$2&amp;"'!K"&amp;ROW())),"")</f>
        <v>0.360123647604328</v>
      </c>
      <c r="V18" s="16" t="n">
        <f aca="false">IF(OR($K18="",$U18=""),"",$K18-$U18)</f>
        <v>-0.6141009203316</v>
      </c>
      <c r="W18" s="17" t="n">
        <f aca="true">IFERROR(IF(ISBLANK(INDIRECT("'"&amp;$Q$2&amp;"'!O"&amp;ROW())),"",INDIRECT("'"&amp;$Q$2&amp;"'!O"&amp;ROW())),"")</f>
        <v>16</v>
      </c>
      <c r="X18" s="17" t="n">
        <f aca="false">IF(OR($O18="",$W18=""),"",$O18-$W18)</f>
        <v>14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77</v>
      </c>
      <c r="D19" s="32" t="n">
        <v>136010</v>
      </c>
      <c r="E19" s="32" t="n">
        <f aca="true">IF($D19="","",IFERROR(IF(ISBLANK(INDIRECT("'"&amp;$Q$2&amp;"'!D"&amp;ROW())),"",INDIRECT("'"&amp;$Q$2&amp;"'!D"&amp;ROW())),""))</f>
        <v>159846</v>
      </c>
      <c r="F19" s="33" t="n">
        <f aca="false">IF(OR(D19="",E19=""),"",D19-E19)</f>
        <v>-23836</v>
      </c>
      <c r="G19" s="34" t="n">
        <f aca="false">IFERROR(F19/E19,"")</f>
        <v>-0.149118526581835</v>
      </c>
      <c r="H19" s="32" t="n">
        <v>1941</v>
      </c>
      <c r="I19" s="32" t="n">
        <f aca="true">IF($H19="","",IFERROR(IF(ISBLANK(INDIRECT("'"&amp;$Q$2&amp;"'!H"&amp;ROW())),"",INDIRECT("'"&amp;$Q$2&amp;"'!H"&amp;ROW())),""))</f>
        <v>2100</v>
      </c>
      <c r="J19" s="33" t="n">
        <f aca="false">IF(OR(H19="",I19=""),"",H19-I19)</f>
        <v>-159</v>
      </c>
      <c r="K19" s="34" t="n">
        <f aca="false">IFERROR(J19/I19,"")</f>
        <v>-0.0757142857142857</v>
      </c>
      <c r="L19" s="32" t="n">
        <f aca="false">IFERROR(D19/C19,"")</f>
        <v>1766.36363636364</v>
      </c>
      <c r="M19" s="32" t="n">
        <f aca="false">IFERROR(H19/D19*1000,"")</f>
        <v>14.2710094845967</v>
      </c>
      <c r="N19" s="32" t="n">
        <v>19061</v>
      </c>
      <c r="O19" s="33" t="n">
        <f aca="true">IFERROR(IF(OR(N19="",ISBLANK(INDIRECT("'"&amp;$Q$2&amp;"'!N"&amp;ROW()))),"",N19-INDIRECT("'"&amp;$Q$2&amp;"'!N"&amp;ROW())),"")</f>
        <v>20</v>
      </c>
      <c r="P19" s="3"/>
      <c r="Q19" s="3"/>
      <c r="R19" s="3"/>
      <c r="S19" s="15" t="n">
        <f aca="true">IFERROR(IF(ISBLANK(INDIRECT("'"&amp;$Q$2&amp;"'!G"&amp;ROW())),"",INDIRECT("'"&amp;$Q$2&amp;"'!G"&amp;ROW())),"")</f>
        <v>0.360044244022803</v>
      </c>
      <c r="T19" s="16" t="n">
        <f aca="false">IF(OR($G19="",$S19=""),"",$G19-$S19)</f>
        <v>-0.509162770604638</v>
      </c>
      <c r="U19" s="15" t="n">
        <f aca="true">IFERROR(IF(ISBLANK(INDIRECT("'"&amp;$Q$2&amp;"'!K"&amp;ROW())),"",INDIRECT("'"&amp;$Q$2&amp;"'!K"&amp;ROW())),"")</f>
        <v>0.95712954333644</v>
      </c>
      <c r="V19" s="16" t="n">
        <f aca="false">IF(OR($K19="",$U19=""),"",$K19-$U19)</f>
        <v>-1.03284382905073</v>
      </c>
      <c r="W19" s="17" t="n">
        <f aca="true">IFERROR(IF(ISBLANK(INDIRECT("'"&amp;$Q$2&amp;"'!O"&amp;ROW())),"",INDIRECT("'"&amp;$Q$2&amp;"'!O"&amp;ROW())),"")</f>
        <v>12</v>
      </c>
      <c r="X19" s="17" t="n">
        <f aca="false">IF(OR($O19="",$W19=""),"",$O19-$W19)</f>
        <v>8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32326</v>
      </c>
      <c r="E20" s="32" t="n">
        <f aca="true">IF($D20="","",IFERROR(IF(ISBLANK(INDIRECT("'"&amp;$Q$2&amp;"'!D"&amp;ROW())),"",INDIRECT("'"&amp;$Q$2&amp;"'!D"&amp;ROW())),""))</f>
        <v>3249</v>
      </c>
      <c r="F20" s="33" t="n">
        <f aca="false">IF(OR(D20="",E20=""),"",D20-E20)</f>
        <v>29077</v>
      </c>
      <c r="G20" s="34" t="n">
        <f aca="false">IFERROR(F20/E20,"")</f>
        <v>8.94952293013235</v>
      </c>
      <c r="H20" s="32" t="n">
        <v>1857</v>
      </c>
      <c r="I20" s="32" t="n">
        <f aca="true">IF($H20="","",IFERROR(IF(ISBLANK(INDIRECT("'"&amp;$Q$2&amp;"'!H"&amp;ROW())),"",INDIRECT("'"&amp;$Q$2&amp;"'!H"&amp;ROW())),""))</f>
        <v>1876</v>
      </c>
      <c r="J20" s="33" t="n">
        <f aca="false">IF(OR(H20="",I20=""),"",H20-I20)</f>
        <v>-19</v>
      </c>
      <c r="K20" s="34" t="n">
        <f aca="false">IFERROR(J20/I20,"")</f>
        <v>-0.0101279317697228</v>
      </c>
      <c r="L20" s="32" t="n">
        <f aca="false">IFERROR(D20/C20,"")</f>
        <v>1405.47826086957</v>
      </c>
      <c r="M20" s="32" t="n">
        <f aca="false">IFERROR(H20/D20*1000,"")</f>
        <v>57.4460186846501</v>
      </c>
      <c r="N20" s="32" t="n">
        <v>15010</v>
      </c>
      <c r="O20" s="33" t="n">
        <f aca="true">IFERROR(IF(OR(N20="",ISBLANK(INDIRECT("'"&amp;$Q$2&amp;"'!N"&amp;ROW()))),"",N20-INDIRECT("'"&amp;$Q$2&amp;"'!N"&amp;ROW())),"")</f>
        <v>210</v>
      </c>
      <c r="P20" s="3"/>
      <c r="Q20" s="3"/>
      <c r="R20" s="3"/>
      <c r="S20" s="15" t="n">
        <f aca="true">IFERROR(IF(ISBLANK(INDIRECT("'"&amp;$Q$2&amp;"'!G"&amp;ROW())),"",INDIRECT("'"&amp;$Q$2&amp;"'!G"&amp;ROW())),"")</f>
        <v>-0.940192180251822</v>
      </c>
      <c r="T20" s="16" t="n">
        <f aca="false">IF(OR($G20="",$S20=""),"",$G20-$S20)</f>
        <v>9.88971511038417</v>
      </c>
      <c r="U20" s="15" t="n">
        <f aca="true">IFERROR(IF(ISBLANK(INDIRECT("'"&amp;$Q$2&amp;"'!K"&amp;ROW())),"",INDIRECT("'"&amp;$Q$2&amp;"'!K"&amp;ROW())),"")</f>
        <v>0.174702567313713</v>
      </c>
      <c r="V20" s="16" t="n">
        <f aca="false">IF(OR($K20="",$U20=""),"",$K20-$U20)</f>
        <v>-0.184830499083436</v>
      </c>
      <c r="W20" s="17" t="n">
        <f aca="true">IFERROR(IF(ISBLANK(INDIRECT("'"&amp;$Q$2&amp;"'!O"&amp;ROW())),"",INDIRECT("'"&amp;$Q$2&amp;"'!O"&amp;ROW())),"")</f>
        <v>172</v>
      </c>
      <c r="X20" s="17" t="n">
        <f aca="false">IF(OR($O20="",$W20=""),"",$O20-$W20)</f>
        <v>38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10</v>
      </c>
      <c r="D21" s="32" t="n">
        <v>7453</v>
      </c>
      <c r="E21" s="32" t="n">
        <f aca="true">IF($D21="","",IFERROR(IF(ISBLANK(INDIRECT("'"&amp;$Q$2&amp;"'!D"&amp;ROW())),"",INDIRECT("'"&amp;$Q$2&amp;"'!D"&amp;ROW())),""))</f>
        <v>11151</v>
      </c>
      <c r="F21" s="33" t="n">
        <f aca="false">IF(OR(D21="",E21=""),"",D21-E21)</f>
        <v>-3698</v>
      </c>
      <c r="G21" s="34" t="n">
        <f aca="false">IFERROR(F21/E21,"")</f>
        <v>-0.331629450273518</v>
      </c>
      <c r="H21" s="32" t="n">
        <v>290</v>
      </c>
      <c r="I21" s="32" t="n">
        <f aca="true">IF($H21="","",IFERROR(IF(ISBLANK(INDIRECT("'"&amp;$Q$2&amp;"'!H"&amp;ROW())),"",INDIRECT("'"&amp;$Q$2&amp;"'!H"&amp;ROW())),""))</f>
        <v>305</v>
      </c>
      <c r="J21" s="33" t="n">
        <f aca="false">IF(OR(H21="",I21=""),"",H21-I21)</f>
        <v>-15</v>
      </c>
      <c r="K21" s="34" t="n">
        <f aca="false">IFERROR(J21/I21,"")</f>
        <v>-0.0491803278688525</v>
      </c>
      <c r="L21" s="32" t="n">
        <f aca="false">IFERROR(D21/C21,"")</f>
        <v>745.3</v>
      </c>
      <c r="M21" s="32" t="n">
        <f aca="false">IFERROR(H21/D21*1000,"")</f>
        <v>38.9105058365759</v>
      </c>
      <c r="N21" s="32" t="n">
        <v>10612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0.0734501347708895</v>
      </c>
      <c r="T21" s="16" t="n">
        <f aca="false">IF(OR($G21="",$S21=""),"",$G21-$S21)</f>
        <v>-0.405079585044408</v>
      </c>
      <c r="U21" s="15" t="n">
        <f aca="true">IFERROR(IF(ISBLANK(INDIRECT("'"&amp;$Q$2&amp;"'!K"&amp;ROW())),"",INDIRECT("'"&amp;$Q$2&amp;"'!K"&amp;ROW())),"")</f>
        <v>0.0166666666666667</v>
      </c>
      <c r="V21" s="16" t="n">
        <f aca="false">IF(OR($K21="",$U21=""),"",$K21-$U21)</f>
        <v>-0.0658469945355191</v>
      </c>
      <c r="W21" s="17" t="n">
        <f aca="true">IFERROR(IF(ISBLANK(INDIRECT("'"&amp;$Q$2&amp;"'!O"&amp;ROW())),"",INDIRECT("'"&amp;$Q$2&amp;"'!O"&amp;ROW())),"")</f>
        <v>8</v>
      </c>
      <c r="X21" s="17" t="n">
        <f aca="false">IF(OR($O21="",$W21=""),"",$O21-$W21)</f>
        <v>-9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8501</v>
      </c>
      <c r="E22" s="32" t="n">
        <f aca="true">IF($D22="","",IFERROR(IF(ISBLANK(INDIRECT("'"&amp;$Q$2&amp;"'!D"&amp;ROW())),"",INDIRECT("'"&amp;$Q$2&amp;"'!D"&amp;ROW())),""))</f>
        <v>3270</v>
      </c>
      <c r="F22" s="33" t="n">
        <f aca="false">IF(OR(D22="",E22=""),"",D22-E22)</f>
        <v>5231</v>
      </c>
      <c r="G22" s="34" t="n">
        <f aca="false">IFERROR(F22/E22,"")</f>
        <v>1.59969418960245</v>
      </c>
      <c r="H22" s="32" t="n">
        <v>169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2</v>
      </c>
      <c r="K22" s="34" t="n">
        <f aca="false">IFERROR(J22/I22,"")</f>
        <v>0.0119760479041916</v>
      </c>
      <c r="L22" s="32" t="n">
        <f aca="false">IFERROR(D22/C22,"")</f>
        <v>354.208333333333</v>
      </c>
      <c r="M22" s="32" t="n">
        <f aca="false">IFERROR(H22/D22*1000,"")</f>
        <v>19.8800141159864</v>
      </c>
      <c r="N22" s="32" t="n">
        <v>7366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0.227016885553471</v>
      </c>
      <c r="T22" s="16" t="n">
        <f aca="false">IF(OR($G22="",$S22=""),"",$G22-$S22)</f>
        <v>1.37267730404898</v>
      </c>
      <c r="U22" s="15" t="n">
        <f aca="true">IFERROR(IF(ISBLANK(INDIRECT("'"&amp;$Q$2&amp;"'!K"&amp;ROW())),"",INDIRECT("'"&amp;$Q$2&amp;"'!K"&amp;ROW())),"")</f>
        <v>0.546296296296296</v>
      </c>
      <c r="V22" s="16" t="n">
        <f aca="false">IF(OR($K22="",$U22=""),"",$K22-$U22)</f>
        <v>-0.534320248392105</v>
      </c>
      <c r="W22" s="17" t="n">
        <f aca="true">IFERROR(IF(ISBLANK(INDIRECT("'"&amp;$Q$2&amp;"'!O"&amp;ROW())),"",INDIRECT("'"&amp;$Q$2&amp;"'!O"&amp;ROW())),"")</f>
        <v>-5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7</v>
      </c>
      <c r="D23" s="32" t="n">
        <v>9978</v>
      </c>
      <c r="E23" s="32" t="n">
        <f aca="true">IF($D23="","",IFERROR(IF(ISBLANK(INDIRECT("'"&amp;$Q$2&amp;"'!D"&amp;ROW())),"",INDIRECT("'"&amp;$Q$2&amp;"'!D"&amp;ROW())),""))</f>
        <v>21466</v>
      </c>
      <c r="F23" s="33" t="n">
        <f aca="false">IF(OR(D23="",E23=""),"",D23-E23)</f>
        <v>-11488</v>
      </c>
      <c r="G23" s="34" t="n">
        <f aca="false">IFERROR(F23/E23,"")</f>
        <v>-0.535171899748439</v>
      </c>
      <c r="H23" s="32" t="n">
        <v>335</v>
      </c>
      <c r="I23" s="32" t="n">
        <f aca="true">IF($H23="","",IFERROR(IF(ISBLANK(INDIRECT("'"&amp;$Q$2&amp;"'!H"&amp;ROW())),"",INDIRECT("'"&amp;$Q$2&amp;"'!H"&amp;ROW())),""))</f>
        <v>583</v>
      </c>
      <c r="J23" s="33" t="n">
        <f aca="false">IF(OR(H23="",I23=""),"",H23-I23)</f>
        <v>-248</v>
      </c>
      <c r="K23" s="34" t="n">
        <f aca="false">IFERROR(J23/I23,"")</f>
        <v>-0.425385934819897</v>
      </c>
      <c r="L23" s="32" t="n">
        <f aca="false">IFERROR(D23/C23,"")</f>
        <v>1425.42857142857</v>
      </c>
      <c r="M23" s="32" t="n">
        <f aca="false">IFERROR(H23/D23*1000,"")</f>
        <v>33.5738624974945</v>
      </c>
      <c r="N23" s="32" t="n">
        <v>5650</v>
      </c>
      <c r="O23" s="33" t="n">
        <f aca="true">IFERROR(IF(OR(N23="",ISBLANK(INDIRECT("'"&amp;$Q$2&amp;"'!N"&amp;ROW()))),"",N23-INDIRECT("'"&amp;$Q$2&amp;"'!N"&amp;ROW())),"")</f>
        <v>16</v>
      </c>
      <c r="P23" s="3"/>
      <c r="Q23" s="3"/>
      <c r="R23" s="3"/>
      <c r="S23" s="15" t="n">
        <f aca="true">IFERROR(IF(ISBLANK(INDIRECT("'"&amp;$Q$2&amp;"'!G"&amp;ROW())),"",INDIRECT("'"&amp;$Q$2&amp;"'!G"&amp;ROW())),"")</f>
        <v>0.64238714613619</v>
      </c>
      <c r="T23" s="16" t="n">
        <f aca="false">IF(OR($G23="",$S23=""),"",$G23-$S23)</f>
        <v>-1.17755904588463</v>
      </c>
      <c r="U23" s="15" t="n">
        <f aca="true">IFERROR(IF(ISBLANK(INDIRECT("'"&amp;$Q$2&amp;"'!K"&amp;ROW())),"",INDIRECT("'"&amp;$Q$2&amp;"'!K"&amp;ROW())),"")</f>
        <v>0.694767441860465</v>
      </c>
      <c r="V23" s="16" t="n">
        <f aca="false">IF(OR($K23="",$U23=""),"",$K23-$U23)</f>
        <v>-1.12015337668036</v>
      </c>
      <c r="W23" s="17" t="n">
        <f aca="true">IFERROR(IF(ISBLANK(INDIRECT("'"&amp;$Q$2&amp;"'!O"&amp;ROW())),"",INDIRECT("'"&amp;$Q$2&amp;"'!O"&amp;ROW())),"")</f>
        <v>9</v>
      </c>
      <c r="X23" s="17" t="n">
        <f aca="false">IF(OR($O23="",$W23=""),"",$O23-$W23)</f>
        <v>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10900</v>
      </c>
      <c r="E24" s="32" t="n">
        <f aca="true">IF($D24="","",IFERROR(IF(ISBLANK(INDIRECT("'"&amp;$Q$2&amp;"'!D"&amp;ROW())),"",INDIRECT("'"&amp;$Q$2&amp;"'!D"&amp;ROW())),""))</f>
        <v>10670</v>
      </c>
      <c r="F24" s="33" t="n">
        <f aca="false">IF(OR(D24="",E24=""),"",D24-E24)</f>
        <v>230</v>
      </c>
      <c r="G24" s="34" t="n">
        <f aca="false">IFERROR(F24/E24,"")</f>
        <v>0.0215557638238051</v>
      </c>
      <c r="H24" s="32" t="n">
        <v>351</v>
      </c>
      <c r="I24" s="32" t="n">
        <f aca="true">IF($H24="","",IFERROR(IF(ISBLANK(INDIRECT("'"&amp;$Q$2&amp;"'!H"&amp;ROW())),"",INDIRECT("'"&amp;$Q$2&amp;"'!H"&amp;ROW())),""))</f>
        <v>290</v>
      </c>
      <c r="J24" s="33" t="n">
        <f aca="false">IF(OR(H24="",I24=""),"",H24-I24)</f>
        <v>61</v>
      </c>
      <c r="K24" s="34" t="n">
        <f aca="false">IFERROR(J24/I24,"")</f>
        <v>0.210344827586207</v>
      </c>
      <c r="L24" s="32" t="n">
        <f aca="false">IFERROR(D24/C24,"")</f>
        <v>1816.66666666667</v>
      </c>
      <c r="M24" s="32" t="n">
        <f aca="false">IFERROR(H24/D24*1000,"")</f>
        <v>32.2018348623853</v>
      </c>
      <c r="N24" s="32" t="n">
        <v>2351</v>
      </c>
      <c r="O24" s="33" t="n">
        <f aca="true">IFERROR(IF(OR(N24="",ISBLANK(INDIRECT("'"&amp;$Q$2&amp;"'!N"&amp;ROW()))),"",N24-INDIRECT("'"&amp;$Q$2&amp;"'!N"&amp;ROW())),"")</f>
        <v>8</v>
      </c>
      <c r="P24" s="3"/>
      <c r="Q24" s="3"/>
      <c r="R24" s="3"/>
      <c r="S24" s="15" t="n">
        <f aca="true">IFERROR(IF(ISBLANK(INDIRECT("'"&amp;$Q$2&amp;"'!G"&amp;ROW())),"",INDIRECT("'"&amp;$Q$2&amp;"'!G"&amp;ROW())),"")</f>
        <v>0.826741996233522</v>
      </c>
      <c r="T24" s="16" t="n">
        <f aca="false">IF(OR($G24="",$S24=""),"",$G24-$S24)</f>
        <v>-0.805186232409717</v>
      </c>
      <c r="U24" s="15" t="n">
        <f aca="true">IFERROR(IF(ISBLANK(INDIRECT("'"&amp;$Q$2&amp;"'!K"&amp;ROW())),"",INDIRECT("'"&amp;$Q$2&amp;"'!K"&amp;ROW())),"")</f>
        <v>0.435643564356436</v>
      </c>
      <c r="V24" s="16" t="n">
        <f aca="false">IF(OR($K24="",$U24=""),"",$K24-$U24)</f>
        <v>-0.225298736770229</v>
      </c>
      <c r="W24" s="17" t="n">
        <f aca="true">IFERROR(IF(ISBLANK(INDIRECT("'"&amp;$Q$2&amp;"'!O"&amp;ROW())),"",INDIRECT("'"&amp;$Q$2&amp;"'!O"&amp;ROW())),"")</f>
        <v>15</v>
      </c>
      <c r="X24" s="17" t="n">
        <f aca="false">IF(OR($O24="",$W24=""),"",$O24-$W24)</f>
        <v>-7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9</v>
      </c>
      <c r="D25" s="32" t="n">
        <v>34644</v>
      </c>
      <c r="E25" s="32" t="n">
        <f aca="true">IF($D25="","",IFERROR(IF(ISBLANK(INDIRECT("'"&amp;$Q$2&amp;"'!D"&amp;ROW())),"",INDIRECT("'"&amp;$Q$2&amp;"'!D"&amp;ROW())),""))</f>
        <v>22186</v>
      </c>
      <c r="F25" s="33" t="n">
        <f aca="false">IF(OR(D25="",E25=""),"",D25-E25)</f>
        <v>12458</v>
      </c>
      <c r="G25" s="34" t="n">
        <f aca="false">IFERROR(F25/E25,"")</f>
        <v>0.561525286216533</v>
      </c>
      <c r="H25" s="32" t="n">
        <v>230</v>
      </c>
      <c r="I25" s="32" t="n">
        <f aca="true">IF($H25="","",IFERROR(IF(ISBLANK(INDIRECT("'"&amp;$Q$2&amp;"'!H"&amp;ROW())),"",INDIRECT("'"&amp;$Q$2&amp;"'!H"&amp;ROW())),""))</f>
        <v>206</v>
      </c>
      <c r="J25" s="33" t="n">
        <f aca="false">IF(OR(H25="",I25=""),"",H25-I25)</f>
        <v>24</v>
      </c>
      <c r="K25" s="34" t="n">
        <f aca="false">IFERROR(J25/I25,"")</f>
        <v>0.116504854368932</v>
      </c>
      <c r="L25" s="32" t="n">
        <f aca="false">IFERROR(D25/C25,"")</f>
        <v>3849.33333333333</v>
      </c>
      <c r="M25" s="32" t="n">
        <f aca="false">IFERROR(H25/D25*1000,"")</f>
        <v>6.63895624061887</v>
      </c>
      <c r="N25" s="32" t="n">
        <v>6203</v>
      </c>
      <c r="O25" s="33" t="n">
        <f aca="true">IFERROR(IF(OR(N25="",ISBLANK(INDIRECT("'"&amp;$Q$2&amp;"'!N"&amp;ROW()))),"",N25-INDIRECT("'"&amp;$Q$2&amp;"'!N"&amp;ROW())),"")</f>
        <v>11</v>
      </c>
      <c r="P25" s="3"/>
      <c r="Q25" s="3"/>
      <c r="R25" s="3"/>
      <c r="S25" s="15" t="n">
        <f aca="true">IFERROR(IF(ISBLANK(INDIRECT("'"&amp;$Q$2&amp;"'!G"&amp;ROW())),"",INDIRECT("'"&amp;$Q$2&amp;"'!G"&amp;ROW())),"")</f>
        <v>1.1634324719649</v>
      </c>
      <c r="T25" s="16" t="n">
        <f aca="false">IF(OR($G25="",$S25=""),"",$G25-$S25)</f>
        <v>-0.601907185748362</v>
      </c>
      <c r="U25" s="15" t="n">
        <f aca="true">IFERROR(IF(ISBLANK(INDIRECT("'"&amp;$Q$2&amp;"'!K"&amp;ROW())),"",INDIRECT("'"&amp;$Q$2&amp;"'!K"&amp;ROW())),"")</f>
        <v>1.16842105263158</v>
      </c>
      <c r="V25" s="16" t="n">
        <f aca="false">IF(OR($K25="",$U25=""),"",$K25-$U25)</f>
        <v>-1.05191619826265</v>
      </c>
      <c r="W25" s="17" t="n">
        <f aca="true">IFERROR(IF(ISBLANK(INDIRECT("'"&amp;$Q$2&amp;"'!O"&amp;ROW())),"",INDIRECT("'"&amp;$Q$2&amp;"'!O"&amp;ROW())),"")</f>
        <v>5</v>
      </c>
      <c r="X25" s="17" t="n">
        <f aca="false">IF(OR($O25="",$W25=""),"",$O25-$W25)</f>
        <v>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218</v>
      </c>
      <c r="D26" s="32" t="n">
        <v>30938</v>
      </c>
      <c r="E26" s="32" t="n">
        <f aca="true">IF($D26="","",IFERROR(IF(ISBLANK(INDIRECT("'"&amp;$Q$2&amp;"'!D"&amp;ROW())),"",INDIRECT("'"&amp;$Q$2&amp;"'!D"&amp;ROW())),""))</f>
        <v>40045</v>
      </c>
      <c r="F26" s="33" t="n">
        <f aca="false">IF(OR(D26="",E26=""),"",D26-E26)</f>
        <v>-9107</v>
      </c>
      <c r="G26" s="34" t="n">
        <f aca="false">IFERROR(F26/E26,"")</f>
        <v>-0.227419153452366</v>
      </c>
      <c r="H26" s="32" t="n">
        <v>90</v>
      </c>
      <c r="I26" s="32" t="n">
        <f aca="true">IF($H26="","",IFERROR(IF(ISBLANK(INDIRECT("'"&amp;$Q$2&amp;"'!H"&amp;ROW())),"",INDIRECT("'"&amp;$Q$2&amp;"'!H"&amp;ROW())),""))</f>
        <v>118</v>
      </c>
      <c r="J26" s="33" t="n">
        <f aca="false">IF(OR(H26="",I26=""),"",H26-I26)</f>
        <v>-28</v>
      </c>
      <c r="K26" s="34" t="n">
        <f aca="false">IFERROR(J26/I26,"")</f>
        <v>-0.23728813559322</v>
      </c>
      <c r="L26" s="32" t="n">
        <f aca="false">IFERROR(D26/C26,"")</f>
        <v>141.917431192661</v>
      </c>
      <c r="M26" s="32" t="n">
        <f aca="false">IFERROR(H26/D26*1000,"")</f>
        <v>2.90904389424009</v>
      </c>
      <c r="N26" s="32" t="n">
        <v>7980</v>
      </c>
      <c r="O26" s="33" t="n">
        <f aca="true">IFERROR(IF(OR(N26="",ISBLANK(INDIRECT("'"&amp;$Q$2&amp;"'!N"&amp;ROW()))),"",N26-INDIRECT("'"&amp;$Q$2&amp;"'!N"&amp;ROW())),"")</f>
        <v>12</v>
      </c>
      <c r="P26" s="3"/>
      <c r="Q26" s="3"/>
      <c r="R26" s="3"/>
      <c r="S26" s="15" t="n">
        <f aca="true">IFERROR(IF(ISBLANK(INDIRECT("'"&amp;$Q$2&amp;"'!G"&amp;ROW())),"",INDIRECT("'"&amp;$Q$2&amp;"'!G"&amp;ROW())),"")</f>
        <v>0.249414994851955</v>
      </c>
      <c r="T26" s="16" t="n">
        <f aca="false">IF(OR($G26="",$S26=""),"",$G26-$S26)</f>
        <v>-0.476834148304321</v>
      </c>
      <c r="U26" s="15" t="n">
        <f aca="true">IFERROR(IF(ISBLANK(INDIRECT("'"&amp;$Q$2&amp;"'!K"&amp;ROW())),"",INDIRECT("'"&amp;$Q$2&amp;"'!K"&amp;ROW())),"")</f>
        <v>-0.0327868852459016</v>
      </c>
      <c r="V26" s="16" t="n">
        <f aca="false">IF(OR($K26="",$U26=""),"",$K26-$U26)</f>
        <v>-0.204501250347319</v>
      </c>
      <c r="W26" s="17" t="n">
        <f aca="true">IFERROR(IF(ISBLANK(INDIRECT("'"&amp;$Q$2&amp;"'!O"&amp;ROW())),"",INDIRECT("'"&amp;$Q$2&amp;"'!O"&amp;ROW())),"")</f>
        <v>28</v>
      </c>
      <c r="X26" s="17" t="n">
        <f aca="false">IF(OR($O26="",$W26=""),"",$O26-$W26)</f>
        <v>-16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2282</v>
      </c>
      <c r="E27" s="32" t="n">
        <f aca="true">IF($D27="","",IFERROR(IF(ISBLANK(INDIRECT("'"&amp;$Q$2&amp;"'!D"&amp;ROW())),"",INDIRECT("'"&amp;$Q$2&amp;"'!D"&amp;ROW())),""))</f>
        <v>2476</v>
      </c>
      <c r="F27" s="33" t="n">
        <f aca="false">IF(OR(D27="",E27=""),"",D27-E27)</f>
        <v>-194</v>
      </c>
      <c r="G27" s="34" t="n">
        <f aca="false">IFERROR(F27/E27,"")</f>
        <v>-0.0783521809369952</v>
      </c>
      <c r="H27" s="32" t="n">
        <v>46</v>
      </c>
      <c r="I27" s="32" t="n">
        <f aca="true">IF($H27="","",IFERROR(IF(ISBLANK(INDIRECT("'"&amp;$Q$2&amp;"'!H"&amp;ROW())),"",INDIRECT("'"&amp;$Q$2&amp;"'!H"&amp;ROW())),""))</f>
        <v>38</v>
      </c>
      <c r="J27" s="33" t="n">
        <f aca="false">IF(OR(H27="",I27=""),"",H27-I27)</f>
        <v>8</v>
      </c>
      <c r="K27" s="34" t="n">
        <f aca="false">IFERROR(J27/I27,"")</f>
        <v>0.210526315789474</v>
      </c>
      <c r="L27" s="32" t="n">
        <f aca="false">IFERROR(D27/C27,"")</f>
        <v>228.2</v>
      </c>
      <c r="M27" s="32" t="n">
        <f aca="false">IFERROR(H27/D27*1000,"")</f>
        <v>20.1577563540754</v>
      </c>
      <c r="N27" s="32" t="n">
        <v>16698</v>
      </c>
      <c r="O27" s="33" t="n">
        <f aca="true">IFERROR(IF(OR(N27="",ISBLANK(INDIRECT("'"&amp;$Q$2&amp;"'!N"&amp;ROW()))),"",N27-INDIRECT("'"&amp;$Q$2&amp;"'!N"&amp;ROW())),"")</f>
        <v>-4</v>
      </c>
      <c r="P27" s="3"/>
      <c r="Q27" s="3"/>
      <c r="R27" s="3"/>
      <c r="S27" s="15" t="n">
        <f aca="true">IFERROR(IF(ISBLANK(INDIRECT("'"&amp;$Q$2&amp;"'!G"&amp;ROW())),"",INDIRECT("'"&amp;$Q$2&amp;"'!G"&amp;ROW())),"")</f>
        <v>0.133699633699634</v>
      </c>
      <c r="T27" s="16" t="n">
        <f aca="false">IF(OR($G27="",$S27=""),"",$G27-$S27)</f>
        <v>-0.212051814636629</v>
      </c>
      <c r="U27" s="15" t="n">
        <f aca="true">IFERROR(IF(ISBLANK(INDIRECT("'"&amp;$Q$2&amp;"'!K"&amp;ROW())),"",INDIRECT("'"&amp;$Q$2&amp;"'!K"&amp;ROW())),"")</f>
        <v>0.407407407407407</v>
      </c>
      <c r="V27" s="16" t="n">
        <f aca="false">IF(OR($K27="",$U27=""),"",$K27-$U27)</f>
        <v>-0.196881091617934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5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22</v>
      </c>
      <c r="D28" s="32" t="n">
        <v>5614</v>
      </c>
      <c r="E28" s="32" t="n">
        <f aca="true">IF($D28="","",IFERROR(IF(ISBLANK(INDIRECT("'"&amp;$Q$2&amp;"'!D"&amp;ROW())),"",INDIRECT("'"&amp;$Q$2&amp;"'!D"&amp;ROW())),""))</f>
        <v>8406</v>
      </c>
      <c r="F28" s="33" t="n">
        <f aca="false">IF(OR(D28="",E28=""),"",D28-E28)</f>
        <v>-2792</v>
      </c>
      <c r="G28" s="34" t="n">
        <f aca="false">IFERROR(F28/E28,"")</f>
        <v>-0.332143706876041</v>
      </c>
      <c r="H28" s="32" t="n">
        <v>30</v>
      </c>
      <c r="I28" s="32" t="n">
        <f aca="true">IF($H28="","",IFERROR(IF(ISBLANK(INDIRECT("'"&amp;$Q$2&amp;"'!H"&amp;ROW())),"",INDIRECT("'"&amp;$Q$2&amp;"'!H"&amp;ROW())),""))</f>
        <v>45</v>
      </c>
      <c r="J28" s="33" t="n">
        <f aca="false">IF(OR(H28="",I28=""),"",H28-I28)</f>
        <v>-15</v>
      </c>
      <c r="K28" s="34" t="n">
        <f aca="false">IFERROR(J28/I28,"")</f>
        <v>-0.333333333333333</v>
      </c>
      <c r="L28" s="32" t="n">
        <f aca="false">IFERROR(D28/C28,"")</f>
        <v>255.181818181818</v>
      </c>
      <c r="M28" s="32" t="n">
        <f aca="false">IFERROR(H28/D28*1000,"")</f>
        <v>5.34378339864624</v>
      </c>
      <c r="N28" s="32" t="n">
        <v>21937</v>
      </c>
      <c r="O28" s="33" t="n">
        <f aca="true">IFERROR(IF(OR(N28="",ISBLANK(INDIRECT("'"&amp;$Q$2&amp;"'!N"&amp;ROW()))),"",N28-INDIRECT("'"&amp;$Q$2&amp;"'!N"&amp;ROW())),"")</f>
        <v>5</v>
      </c>
      <c r="P28" s="3"/>
      <c r="Q28" s="3"/>
      <c r="R28" s="3"/>
      <c r="S28" s="15" t="n">
        <f aca="true">IFERROR(IF(ISBLANK(INDIRECT("'"&amp;$Q$2&amp;"'!G"&amp;ROW())),"",INDIRECT("'"&amp;$Q$2&amp;"'!G"&amp;ROW())),"")</f>
        <v>0.174186338874144</v>
      </c>
      <c r="T28" s="16" t="n">
        <f aca="false">IF(OR($G28="",$S28=""),"",$G28-$S28)</f>
        <v>-0.506330045750185</v>
      </c>
      <c r="U28" s="15" t="n">
        <f aca="true">IFERROR(IF(ISBLANK(INDIRECT("'"&amp;$Q$2&amp;"'!K"&amp;ROW())),"",INDIRECT("'"&amp;$Q$2&amp;"'!K"&amp;ROW())),"")</f>
        <v>0.5</v>
      </c>
      <c r="V28" s="16" t="n">
        <f aca="false">IF(OR($K28="",$U28=""),"",$K28-$U28)</f>
        <v>-0.833333333333333</v>
      </c>
      <c r="W28" s="17" t="n">
        <f aca="true">IFERROR(IF(ISBLANK(INDIRECT("'"&amp;$Q$2&amp;"'!O"&amp;ROW())),"",INDIRECT("'"&amp;$Q$2&amp;"'!O"&amp;ROW())),"")</f>
        <v>9</v>
      </c>
      <c r="X28" s="17" t="n">
        <f aca="false">IF(OR($O28="",$W28=""),"",$O28-$W28)</f>
        <v>-4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10</v>
      </c>
      <c r="D29" s="32" t="n">
        <v>15009</v>
      </c>
      <c r="E29" s="32" t="n">
        <f aca="true">IF($D29="","",IFERROR(IF(ISBLANK(INDIRECT("'"&amp;$Q$2&amp;"'!D"&amp;ROW())),"",INDIRECT("'"&amp;$Q$2&amp;"'!D"&amp;ROW())),""))</f>
        <v>26347</v>
      </c>
      <c r="F29" s="33" t="n">
        <f aca="false">IF(OR(D29="",E29=""),"",D29-E29)</f>
        <v>-11338</v>
      </c>
      <c r="G29" s="34" t="n">
        <f aca="false">IFERROR(F29/E29,"")</f>
        <v>-0.430333624321555</v>
      </c>
      <c r="H29" s="32" t="n">
        <v>177</v>
      </c>
      <c r="I29" s="32" t="n">
        <f aca="true">IF($H29="","",IFERROR(IF(ISBLANK(INDIRECT("'"&amp;$Q$2&amp;"'!H"&amp;ROW())),"",INDIRECT("'"&amp;$Q$2&amp;"'!H"&amp;ROW())),""))</f>
        <v>363</v>
      </c>
      <c r="J29" s="33" t="n">
        <f aca="false">IF(OR(H29="",I29=""),"",H29-I29)</f>
        <v>-186</v>
      </c>
      <c r="K29" s="34" t="n">
        <f aca="false">IFERROR(J29/I29,"")</f>
        <v>-0.512396694214876</v>
      </c>
      <c r="L29" s="32" t="n">
        <f aca="false">IFERROR(D29/C29,"")</f>
        <v>1500.9</v>
      </c>
      <c r="M29" s="32" t="n">
        <f aca="false">IFERROR(H29/D29*1000,"")</f>
        <v>11.7929242454527</v>
      </c>
      <c r="N29" s="32" t="n">
        <v>9872</v>
      </c>
      <c r="O29" s="33" t="n">
        <f aca="true">IFERROR(IF(OR(N29="",ISBLANK(INDIRECT("'"&amp;$Q$2&amp;"'!N"&amp;ROW()))),"",N29-INDIRECT("'"&amp;$Q$2&amp;"'!N"&amp;ROW())),"")</f>
        <v>113</v>
      </c>
      <c r="P29" s="3"/>
      <c r="Q29" s="3"/>
      <c r="R29" s="3"/>
      <c r="S29" s="15" t="n">
        <f aca="true">IFERROR(IF(ISBLANK(INDIRECT("'"&amp;$Q$2&amp;"'!G"&amp;ROW())),"",INDIRECT("'"&amp;$Q$2&amp;"'!G"&amp;ROW())),"")</f>
        <v>1.45659673659674</v>
      </c>
      <c r="T29" s="16" t="n">
        <f aca="false">IF(OR($G29="",$S29=""),"",$G29-$S29)</f>
        <v>-1.88693036091829</v>
      </c>
      <c r="U29" s="15" t="n">
        <f aca="true">IFERROR(IF(ISBLANK(INDIRECT("'"&amp;$Q$2&amp;"'!K"&amp;ROW())),"",INDIRECT("'"&amp;$Q$2&amp;"'!K"&amp;ROW())),"")</f>
        <v>0.434782608695652</v>
      </c>
      <c r="V29" s="16" t="n">
        <f aca="false">IF(OR($K29="",$U29=""),"",$K29-$U29)</f>
        <v>-0.947179302910528</v>
      </c>
      <c r="W29" s="17" t="n">
        <f aca="true">IFERROR(IF(ISBLANK(INDIRECT("'"&amp;$Q$2&amp;"'!O"&amp;ROW())),"",INDIRECT("'"&amp;$Q$2&amp;"'!O"&amp;ROW())),"")</f>
        <v>134</v>
      </c>
      <c r="X29" s="17" t="n">
        <f aca="false">IF(OR($O29="",$W29=""),"",$O29-$W29)</f>
        <v>-21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1808</v>
      </c>
      <c r="D30" s="36" t="n">
        <f aca="false">SUM(D3:D29)</f>
        <v>4157980</v>
      </c>
      <c r="E30" s="36" t="n">
        <f aca="false">SUM(E3:E29)</f>
        <v>5072194</v>
      </c>
      <c r="F30" s="37" t="n">
        <f aca="false">SUM(F3:F29)</f>
        <v>-914214</v>
      </c>
      <c r="G30" s="38" t="n">
        <f aca="false">IF(C30=0,"",IFERROR(F30/E30,""))</f>
        <v>-0.180240345696557</v>
      </c>
      <c r="H30" s="36" t="n">
        <f aca="false">SUM(H3:H29)</f>
        <v>30049</v>
      </c>
      <c r="I30" s="36" t="n">
        <f aca="false">SUM(I3:I29)</f>
        <v>33669</v>
      </c>
      <c r="J30" s="37" t="n">
        <f aca="false">SUM(J3:J29)</f>
        <v>-3620</v>
      </c>
      <c r="K30" s="38" t="n">
        <f aca="false">IF(C30=0,"",IFERROR(J30/I30,""))</f>
        <v>-0.107517300781134</v>
      </c>
      <c r="L30" s="36" t="n">
        <f aca="false">IFERROR(D30/C30,"")</f>
        <v>2299.76769911504</v>
      </c>
      <c r="M30" s="36" t="n">
        <f aca="false">IFERROR(H30/D30*1000,"")</f>
        <v>7.2268264878619</v>
      </c>
      <c r="N30" s="36" t="n">
        <f aca="false">SUM(N3:N29)</f>
        <v>467357</v>
      </c>
      <c r="O30" s="37" t="n">
        <f aca="false">SUM(O3:O29)</f>
        <v>1035</v>
      </c>
      <c r="P30" s="3"/>
      <c r="Q30" s="3"/>
      <c r="R30" s="3"/>
      <c r="S30" s="23" t="n">
        <f aca="true">IFERROR(IF(ISBLANK(INDIRECT("'"&amp;$Q$2&amp;"'!G"&amp;ROW())),"",INDIRECT("'"&amp;$Q$2&amp;"'!G"&amp;ROW())),"")</f>
        <v>0.186911524886631</v>
      </c>
      <c r="T30" s="24" t="n">
        <f aca="false">IF(OR($G30="",$S30=""),"",$G30-$S30)</f>
        <v>-0.367151870583188</v>
      </c>
      <c r="U30" s="23" t="n">
        <f aca="true">IFERROR(IF(ISBLANK(INDIRECT("'"&amp;$Q$2&amp;"'!K"&amp;ROW())),"",INDIRECT("'"&amp;$Q$2&amp;"'!K"&amp;ROW())),"")</f>
        <v>0.125789948841408</v>
      </c>
      <c r="V30" s="24" t="n">
        <f aca="false">IF(OR($K30="",$U30=""),"",$K30-$U30)</f>
        <v>-0.233307249622542</v>
      </c>
      <c r="W30" s="25" t="n">
        <f aca="true">IFERROR(IF(ISBLANK(INDIRECT("'"&amp;$Q$2&amp;"'!O"&amp;ROW())),"",INDIRECT("'"&amp;$Q$2&amp;"'!O"&amp;ROW())),"")</f>
        <v>1041</v>
      </c>
      <c r="X30" s="25" t="n">
        <f aca="false">IF(OR(C30=0,$O30="",$W30=""),"",$O30-$W30)</f>
        <v>-6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117</v>
      </c>
      <c r="D31" s="32" t="n">
        <v>35824</v>
      </c>
      <c r="E31" s="32" t="n">
        <f aca="true">IF($D31="","",IFERROR(IF(ISBLANK(INDIRECT("'"&amp;$Q$2&amp;"'!D"&amp;ROW())),"",INDIRECT("'"&amp;$Q$2&amp;"'!D"&amp;ROW())),""))</f>
        <v>29953</v>
      </c>
      <c r="F31" s="33" t="n">
        <f aca="false">IF(OR(D31="",E31=""),"",D31-E31)</f>
        <v>5871</v>
      </c>
      <c r="G31" s="34" t="n">
        <f aca="false">IFERROR(F31/E31,"")</f>
        <v>0.19600707775515</v>
      </c>
      <c r="H31" s="32" t="n">
        <v>109</v>
      </c>
      <c r="I31" s="32" t="n">
        <f aca="true">IF($H31="","",IFERROR(IF(ISBLANK(INDIRECT("'"&amp;$Q$2&amp;"'!H"&amp;ROW())),"",INDIRECT("'"&amp;$Q$2&amp;"'!H"&amp;ROW())),""))</f>
        <v>158</v>
      </c>
      <c r="J31" s="33" t="n">
        <f aca="false">IF(OR(H31="",I31=""),"",H31-I31)</f>
        <v>-49</v>
      </c>
      <c r="K31" s="34" t="n">
        <f aca="false">IFERROR(J31/I31,"")</f>
        <v>-0.310126582278481</v>
      </c>
      <c r="L31" s="32" t="n">
        <f aca="false">IFERROR(D31/C31,"")</f>
        <v>306.188034188034</v>
      </c>
      <c r="M31" s="32" t="n">
        <f aca="false">IFERROR(H31/D31*1000,"")</f>
        <v>3.04265297007593</v>
      </c>
      <c r="N31" s="32" t="n">
        <v>32496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0.193917410714286</v>
      </c>
      <c r="T31" s="16" t="n">
        <f aca="false">IF(OR($G31="",$S31=""),"",$G31-$S31)</f>
        <v>0.002089667040864</v>
      </c>
      <c r="U31" s="15" t="n">
        <f aca="true">IFERROR(IF(ISBLANK(INDIRECT("'"&amp;$Q$2&amp;"'!K"&amp;ROW())),"",INDIRECT("'"&amp;$Q$2&amp;"'!K"&amp;ROW())),"")</f>
        <v>0.410714285714286</v>
      </c>
      <c r="V31" s="16" t="n">
        <f aca="false">IF(OR($K31="",$U31=""),"",$K31-$U31)</f>
        <v>-0.720840867992767</v>
      </c>
      <c r="W31" s="17" t="n">
        <f aca="true">IFERROR(IF(ISBLANK(INDIRECT("'"&amp;$Q$2&amp;"'!O"&amp;ROW())),"",INDIRECT("'"&amp;$Q$2&amp;"'!O"&amp;ROW())),"")</f>
        <v>2</v>
      </c>
      <c r="X31" s="17" t="n">
        <f aca="false">IF(OR($O31="",$W31=""),"",$O31-$W31)</f>
        <v>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108</v>
      </c>
      <c r="D32" s="32" t="n">
        <v>234396</v>
      </c>
      <c r="E32" s="32" t="n">
        <f aca="true">IF($D32="","",IFERROR(IF(ISBLANK(INDIRECT("'"&amp;$Q$2&amp;"'!D"&amp;ROW())),"",INDIRECT("'"&amp;$Q$2&amp;"'!D"&amp;ROW())),""))</f>
        <v>35196</v>
      </c>
      <c r="F32" s="33" t="n">
        <f aca="false">IF(OR(D32="",E32=""),"",D32-E32)</f>
        <v>199200</v>
      </c>
      <c r="G32" s="34" t="n">
        <f aca="false">IFERROR(F32/E32,"")</f>
        <v>5.65973406068872</v>
      </c>
      <c r="H32" s="32" t="n">
        <v>54</v>
      </c>
      <c r="I32" s="32" t="n">
        <f aca="true">IF($H32="","",IFERROR(IF(ISBLANK(INDIRECT("'"&amp;$Q$2&amp;"'!H"&amp;ROW())),"",INDIRECT("'"&amp;$Q$2&amp;"'!H"&amp;ROW())),""))</f>
        <v>30</v>
      </c>
      <c r="J32" s="33" t="n">
        <f aca="false">IF(OR(H32="",I32=""),"",H32-I32)</f>
        <v>24</v>
      </c>
      <c r="K32" s="34" t="n">
        <f aca="false">IFERROR(J32/I32,"")</f>
        <v>0.8</v>
      </c>
      <c r="L32" s="32" t="n">
        <f aca="false">IFERROR(D32/C32,"")</f>
        <v>2170.33333333333</v>
      </c>
      <c r="M32" s="32" t="n">
        <f aca="false">IFERROR(H32/D32*1000,"")</f>
        <v>0.230379358009522</v>
      </c>
      <c r="N32" s="32" t="n">
        <v>21745</v>
      </c>
      <c r="O32" s="33" t="n">
        <f aca="true">IFERROR(IF(OR(N32="",ISBLANK(INDIRECT("'"&amp;$Q$2&amp;"'!N"&amp;ROW()))),"",N32-INDIRECT("'"&amp;$Q$2&amp;"'!N"&amp;ROW())),"")</f>
        <v>6</v>
      </c>
      <c r="P32" s="3"/>
      <c r="Q32" s="3"/>
      <c r="R32" s="3"/>
      <c r="S32" s="15" t="n">
        <f aca="true">IFERROR(IF(ISBLANK(INDIRECT("'"&amp;$Q$2&amp;"'!G"&amp;ROW())),"",INDIRECT("'"&amp;$Q$2&amp;"'!G"&amp;ROW())),"")</f>
        <v>0.130722523853889</v>
      </c>
      <c r="T32" s="16" t="n">
        <f aca="false">IF(OR($G32="",$S32=""),"",$G32-$S32)</f>
        <v>5.52901153683483</v>
      </c>
      <c r="U32" s="15" t="n">
        <f aca="true">IFERROR(IF(ISBLANK(INDIRECT("'"&amp;$Q$2&amp;"'!K"&amp;ROW())),"",INDIRECT("'"&amp;$Q$2&amp;"'!K"&amp;ROW())),"")</f>
        <v>-0.142857142857143</v>
      </c>
      <c r="V32" s="16" t="n">
        <f aca="false">IF(OR($K32="",$U32=""),"",$K32-$U32)</f>
        <v>0.942857142857143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5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76</v>
      </c>
      <c r="D33" s="32" t="n">
        <v>20354</v>
      </c>
      <c r="E33" s="32" t="n">
        <f aca="true">IF($D33="","",IFERROR(IF(ISBLANK(INDIRECT("'"&amp;$Q$2&amp;"'!D"&amp;ROW())),"",INDIRECT("'"&amp;$Q$2&amp;"'!D"&amp;ROW())),""))</f>
        <v>24690</v>
      </c>
      <c r="F33" s="33" t="n">
        <f aca="false">IF(OR(D33="",E33=""),"",D33-E33)</f>
        <v>-4336</v>
      </c>
      <c r="G33" s="34" t="n">
        <f aca="false">IFERROR(F33/E33,"")</f>
        <v>-0.175617658971243</v>
      </c>
      <c r="H33" s="32" t="n">
        <v>8</v>
      </c>
      <c r="I33" s="32" t="n">
        <f aca="true">IF($H33="","",IFERROR(IF(ISBLANK(INDIRECT("'"&amp;$Q$2&amp;"'!H"&amp;ROW())),"",INDIRECT("'"&amp;$Q$2&amp;"'!H"&amp;ROW())),""))</f>
        <v>20</v>
      </c>
      <c r="J33" s="33" t="n">
        <f aca="false">IF(OR(H33="",I33=""),"",H33-I33)</f>
        <v>-12</v>
      </c>
      <c r="K33" s="34" t="n">
        <f aca="false">IFERROR(J33/I33,"")</f>
        <v>-0.6</v>
      </c>
      <c r="L33" s="32" t="n">
        <f aca="false">IFERROR(D33/C33,"")</f>
        <v>267.815789473684</v>
      </c>
      <c r="M33" s="32" t="n">
        <f aca="false">IFERROR(H33/D33*1000,"")</f>
        <v>0.393043136484229</v>
      </c>
      <c r="N33" s="32" t="n">
        <v>8964</v>
      </c>
      <c r="O33" s="33" t="n">
        <f aca="true">IFERROR(IF(OR(N33="",ISBLANK(INDIRECT("'"&amp;$Q$2&amp;"'!N"&amp;ROW()))),"",N33-INDIRECT("'"&amp;$Q$2&amp;"'!N"&amp;ROW())),"")</f>
        <v>0</v>
      </c>
      <c r="P33" s="3"/>
      <c r="Q33" s="3"/>
      <c r="R33" s="3"/>
      <c r="S33" s="15" t="n">
        <f aca="true">IFERROR(IF(ISBLANK(INDIRECT("'"&amp;$Q$2&amp;"'!G"&amp;ROW())),"",INDIRECT("'"&amp;$Q$2&amp;"'!G"&amp;ROW())),"")</f>
        <v>0.00146020929666586</v>
      </c>
      <c r="T33" s="16" t="n">
        <f aca="false">IF(OR($G33="",$S33=""),"",$G33-$S33)</f>
        <v>-0.177077868267909</v>
      </c>
      <c r="U33" s="15" t="n">
        <f aca="true">IFERROR(IF(ISBLANK(INDIRECT("'"&amp;$Q$2&amp;"'!K"&amp;ROW())),"",INDIRECT("'"&amp;$Q$2&amp;"'!K"&amp;ROW())),"")</f>
        <v>0.111111111111111</v>
      </c>
      <c r="V33" s="16" t="n">
        <f aca="false">IF(OR($K33="",$U33=""),"",$K33-$U33)</f>
        <v>-0.711111111111111</v>
      </c>
      <c r="W33" s="17" t="n">
        <f aca="true">IFERROR(IF(ISBLANK(INDIRECT("'"&amp;$Q$2&amp;"'!O"&amp;ROW())),"",INDIRECT("'"&amp;$Q$2&amp;"'!O"&amp;ROW())),"")</f>
        <v>6</v>
      </c>
      <c r="X33" s="17" t="n">
        <f aca="false">IF(OR($O33="",$W33=""),"",$O33-$W33)</f>
        <v>-6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742</v>
      </c>
      <c r="E34" s="32" t="n">
        <f aca="true">IF($D34="","",IFERROR(IF(ISBLANK(INDIRECT("'"&amp;$Q$2&amp;"'!D"&amp;ROW())),"",INDIRECT("'"&amp;$Q$2&amp;"'!D"&amp;ROW())),""))</f>
        <v>583</v>
      </c>
      <c r="F34" s="33" t="n">
        <f aca="false">IF(OR(D34="",E34=""),"",D34-E34)</f>
        <v>159</v>
      </c>
      <c r="G34" s="34" t="n">
        <f aca="false">IFERROR(F34/E34,"")</f>
        <v>0.272727272727273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9.16049382716049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-0.0347682119205298</v>
      </c>
      <c r="T34" s="16" t="n">
        <f aca="false">IF(OR($G34="",$S34=""),"",$G34-$S34)</f>
        <v>0.307495484647803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74</v>
      </c>
      <c r="D35" s="32" t="n">
        <v>8077</v>
      </c>
      <c r="E35" s="32" t="n">
        <f aca="true">IF($D35="","",IFERROR(IF(ISBLANK(INDIRECT("'"&amp;$Q$2&amp;"'!D"&amp;ROW())),"",INDIRECT("'"&amp;$Q$2&amp;"'!D"&amp;ROW())),""))</f>
        <v>7094</v>
      </c>
      <c r="F35" s="33" t="n">
        <f aca="false">IF(OR(D35="",E35=""),"",D35-E35)</f>
        <v>983</v>
      </c>
      <c r="G35" s="34" t="n">
        <f aca="false">IFERROR(F35/E35,"")</f>
        <v>0.13856780377784</v>
      </c>
      <c r="H35" s="32" t="n">
        <v>93</v>
      </c>
      <c r="I35" s="32" t="n">
        <f aca="true">IF($H35="","",IFERROR(IF(ISBLANK(INDIRECT("'"&amp;$Q$2&amp;"'!H"&amp;ROW())),"",INDIRECT("'"&amp;$Q$2&amp;"'!H"&amp;ROW())),""))</f>
        <v>72</v>
      </c>
      <c r="J35" s="33" t="n">
        <f aca="false">IF(OR(H35="",I35=""),"",H35-I35)</f>
        <v>21</v>
      </c>
      <c r="K35" s="34" t="n">
        <f aca="false">IFERROR(J35/I35,"")</f>
        <v>0.291666666666667</v>
      </c>
      <c r="L35" s="32" t="n">
        <f aca="false">IFERROR(D35/C35,"")</f>
        <v>109.148648648649</v>
      </c>
      <c r="M35" s="32" t="n">
        <f aca="false">IFERROR(H35/D35*1000,"")</f>
        <v>11.5141760554661</v>
      </c>
      <c r="N35" s="32" t="n">
        <v>1945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-0.199232419008917</v>
      </c>
      <c r="T35" s="16" t="n">
        <f aca="false">IF(OR($G35="",$S35=""),"",$G35-$S35)</f>
        <v>0.337800222786758</v>
      </c>
      <c r="U35" s="15" t="n">
        <f aca="true">IFERROR(IF(ISBLANK(INDIRECT("'"&amp;$Q$2&amp;"'!K"&amp;ROW())),"",INDIRECT("'"&amp;$Q$2&amp;"'!K"&amp;ROW())),"")</f>
        <v>0.0285714285714286</v>
      </c>
      <c r="V35" s="16" t="n">
        <f aca="false">IF(OR($K35="",$U35=""),"",$K35-$U35)</f>
        <v>0.263095238095238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0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81</v>
      </c>
      <c r="D36" s="32" t="n">
        <v>27190</v>
      </c>
      <c r="E36" s="32" t="n">
        <f aca="true">IF($D36="","",IFERROR(IF(ISBLANK(INDIRECT("'"&amp;$Q$2&amp;"'!D"&amp;ROW())),"",INDIRECT("'"&amp;$Q$2&amp;"'!D"&amp;ROW())),""))</f>
        <v>35834</v>
      </c>
      <c r="F36" s="33" t="n">
        <f aca="false">IF(OR(D36="",E36=""),"",D36-E36)</f>
        <v>-8644</v>
      </c>
      <c r="G36" s="34" t="n">
        <f aca="false">IFERROR(F36/E36,"")</f>
        <v>-0.24122341909918</v>
      </c>
      <c r="H36" s="32" t="n">
        <v>374</v>
      </c>
      <c r="I36" s="32" t="n">
        <f aca="true">IF($H36="","",IFERROR(IF(ISBLANK(INDIRECT("'"&amp;$Q$2&amp;"'!H"&amp;ROW())),"",INDIRECT("'"&amp;$Q$2&amp;"'!H"&amp;ROW())),""))</f>
        <v>491</v>
      </c>
      <c r="J36" s="33" t="n">
        <f aca="false">IF(OR(H36="",I36=""),"",H36-I36)</f>
        <v>-117</v>
      </c>
      <c r="K36" s="34" t="n">
        <f aca="false">IFERROR(J36/I36,"")</f>
        <v>-0.238289205702648</v>
      </c>
      <c r="L36" s="32" t="n">
        <f aca="false">IFERROR(D36/C36,"")</f>
        <v>335.679012345679</v>
      </c>
      <c r="M36" s="32" t="n">
        <f aca="false">IFERROR(H36/D36*1000,"")</f>
        <v>13.7550570062523</v>
      </c>
      <c r="N36" s="32" t="n">
        <v>5902</v>
      </c>
      <c r="O36" s="33" t="n">
        <f aca="true">IFERROR(IF(OR(N36="",ISBLANK(INDIRECT("'"&amp;$Q$2&amp;"'!N"&amp;ROW()))),"",N36-INDIRECT("'"&amp;$Q$2&amp;"'!N"&amp;ROW())),"")</f>
        <v>6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129</v>
      </c>
      <c r="D37" s="32" t="n">
        <v>5941</v>
      </c>
      <c r="E37" s="32" t="n">
        <f aca="true">IF($D37="","",IFERROR(IF(ISBLANK(INDIRECT("'"&amp;$Q$2&amp;"'!D"&amp;ROW())),"",INDIRECT("'"&amp;$Q$2&amp;"'!D"&amp;ROW())),""))</f>
        <v>7921</v>
      </c>
      <c r="F37" s="33" t="n">
        <f aca="false">IF(OR(D37="",E37=""),"",D37-E37)</f>
        <v>-1980</v>
      </c>
      <c r="G37" s="34" t="n">
        <f aca="false">IFERROR(F37/E37,"")</f>
        <v>-0.249968438328494</v>
      </c>
      <c r="H37" s="32" t="n">
        <v>68</v>
      </c>
      <c r="I37" s="32" t="n">
        <f aca="true">IF($H37="","",IFERROR(IF(ISBLANK(INDIRECT("'"&amp;$Q$2&amp;"'!H"&amp;ROW())),"",INDIRECT("'"&amp;$Q$2&amp;"'!H"&amp;ROW())),""))</f>
        <v>96</v>
      </c>
      <c r="J37" s="33" t="n">
        <f aca="false">IF(OR(H37="",I37=""),"",H37-I37)</f>
        <v>-28</v>
      </c>
      <c r="K37" s="34" t="n">
        <f aca="false">IFERROR(J37/I37,"")</f>
        <v>-0.291666666666667</v>
      </c>
      <c r="L37" s="32" t="n">
        <f aca="false">IFERROR(D37/C37,"")</f>
        <v>46.0542635658915</v>
      </c>
      <c r="M37" s="32" t="n">
        <f aca="false">IFERROR(H37/D37*1000,"")</f>
        <v>11.4458845312237</v>
      </c>
      <c r="N37" s="32" t="n">
        <v>3240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0.412698412698413</v>
      </c>
      <c r="T37" s="16" t="n">
        <f aca="false">IF(OR($G37="",$S37=""),"",$G37-$S37)</f>
        <v>-0.662666851026907</v>
      </c>
      <c r="U37" s="15" t="n">
        <f aca="true">IFERROR(IF(ISBLANK(INDIRECT("'"&amp;$Q$2&amp;"'!K"&amp;ROW())),"",INDIRECT("'"&amp;$Q$2&amp;"'!K"&amp;ROW())),"")</f>
        <v>4.33333333333333</v>
      </c>
      <c r="V37" s="16" t="n">
        <f aca="false">IF(OR($K37="",$U37=""),"",$K37-$U37)</f>
        <v>-4.625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92</v>
      </c>
      <c r="D38" s="32" t="n">
        <v>7964</v>
      </c>
      <c r="E38" s="32" t="n">
        <f aca="true">IF($D38="","",IFERROR(IF(ISBLANK(INDIRECT("'"&amp;$Q$2&amp;"'!D"&amp;ROW())),"",INDIRECT("'"&amp;$Q$2&amp;"'!D"&amp;ROW())),""))</f>
        <v>10012</v>
      </c>
      <c r="F38" s="33" t="n">
        <f aca="false">IF(OR(D38="",E38=""),"",D38-E38)</f>
        <v>-2048</v>
      </c>
      <c r="G38" s="34" t="n">
        <f aca="false">IFERROR(F38/E38,"")</f>
        <v>-0.20455453455853</v>
      </c>
      <c r="H38" s="32" t="n">
        <v>201</v>
      </c>
      <c r="I38" s="32" t="n">
        <f aca="true">IF($H38="","",IFERROR(IF(ISBLANK(INDIRECT("'"&amp;$Q$2&amp;"'!H"&amp;ROW())),"",INDIRECT("'"&amp;$Q$2&amp;"'!H"&amp;ROW())),""))</f>
        <v>273</v>
      </c>
      <c r="J38" s="33" t="n">
        <f aca="false">IF(OR(H38="",I38=""),"",H38-I38)</f>
        <v>-72</v>
      </c>
      <c r="K38" s="34" t="n">
        <f aca="false">IFERROR(J38/I38,"")</f>
        <v>-0.263736263736264</v>
      </c>
      <c r="L38" s="32" t="n">
        <f aca="false">IFERROR(D38/C38,"")</f>
        <v>86.5652173913043</v>
      </c>
      <c r="M38" s="32" t="n">
        <f aca="false">IFERROR(H38/D38*1000,"")</f>
        <v>25.238573581115</v>
      </c>
      <c r="N38" s="32" t="n">
        <v>1724</v>
      </c>
      <c r="O38" s="33" t="n">
        <f aca="true">IFERROR(IF(OR(N38="",ISBLANK(INDIRECT("'"&amp;$Q$2&amp;"'!N"&amp;ROW()))),"",N38-INDIRECT("'"&amp;$Q$2&amp;"'!N"&amp;ROW())),"")</f>
        <v>8</v>
      </c>
      <c r="P38" s="3"/>
      <c r="Q38" s="3"/>
      <c r="R38" s="3"/>
      <c r="S38" s="15" t="n">
        <f aca="true">IFERROR(IF(ISBLANK(INDIRECT("'"&amp;$Q$2&amp;"'!G"&amp;ROW())),"",INDIRECT("'"&amp;$Q$2&amp;"'!G"&amp;ROW())),"")</f>
        <v>0.0940880778057043</v>
      </c>
      <c r="T38" s="16" t="n">
        <f aca="false">IF(OR($G38="",$S38=""),"",$G38-$S38)</f>
        <v>-0.298642612364234</v>
      </c>
      <c r="U38" s="15" t="n">
        <f aca="true">IFERROR(IF(ISBLANK(INDIRECT("'"&amp;$Q$2&amp;"'!K"&amp;ROW())),"",INDIRECT("'"&amp;$Q$2&amp;"'!K"&amp;ROW())),"")</f>
        <v>0.80794701986755</v>
      </c>
      <c r="V38" s="16" t="n">
        <f aca="false">IF(OR($K38="",$U38=""),"",$K38-$U38)</f>
        <v>-1.07168328360381</v>
      </c>
      <c r="W38" s="17" t="n">
        <f aca="true">IFERROR(IF(ISBLANK(INDIRECT("'"&amp;$Q$2&amp;"'!O"&amp;ROW())),"",INDIRECT("'"&amp;$Q$2&amp;"'!O"&amp;ROW())),"")</f>
        <v>5</v>
      </c>
      <c r="X38" s="17" t="n">
        <f aca="false">IF(OR($O38="",$W38=""),"",$O38-$W38)</f>
        <v>3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56</v>
      </c>
      <c r="D39" s="32" t="n">
        <v>4837</v>
      </c>
      <c r="E39" s="32" t="n">
        <f aca="true">IF($D39="","",IFERROR(IF(ISBLANK(INDIRECT("'"&amp;$Q$2&amp;"'!D"&amp;ROW())),"",INDIRECT("'"&amp;$Q$2&amp;"'!D"&amp;ROW())),""))</f>
        <v>4149</v>
      </c>
      <c r="F39" s="33" t="n">
        <f aca="false">IF(OR(D39="",E39=""),"",D39-E39)</f>
        <v>688</v>
      </c>
      <c r="G39" s="34" t="n">
        <f aca="false">IFERROR(F39/E39,"")</f>
        <v>0.165823089901181</v>
      </c>
      <c r="H39" s="32" t="n">
        <v>18</v>
      </c>
      <c r="I39" s="32" t="n">
        <f aca="true">IF($H39="","",IFERROR(IF(ISBLANK(INDIRECT("'"&amp;$Q$2&amp;"'!H"&amp;ROW())),"",INDIRECT("'"&amp;$Q$2&amp;"'!H"&amp;ROW())),""))</f>
        <v>2</v>
      </c>
      <c r="J39" s="33" t="n">
        <f aca="false">IF(OR(H39="",I39=""),"",H39-I39)</f>
        <v>16</v>
      </c>
      <c r="K39" s="34" t="n">
        <f aca="false">IFERROR(J39/I39,"")</f>
        <v>8</v>
      </c>
      <c r="L39" s="32" t="n">
        <f aca="false">IFERROR(D39/C39,"")</f>
        <v>86.375</v>
      </c>
      <c r="M39" s="32" t="n">
        <f aca="false">IFERROR(H39/D39*1000,"")</f>
        <v>3.72131486458549</v>
      </c>
      <c r="N39" s="32" t="n">
        <v>227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-0.0095488183337312</v>
      </c>
      <c r="T39" s="16" t="n">
        <f aca="false">IF(OR($G39="",$S39=""),"",$G39-$S39)</f>
        <v>0.175371908234912</v>
      </c>
      <c r="U39" s="15" t="n">
        <f aca="true">IFERROR(IF(ISBLANK(INDIRECT("'"&amp;$Q$2&amp;"'!K"&amp;ROW())),"",INDIRECT("'"&amp;$Q$2&amp;"'!K"&amp;ROW())),"")</f>
        <v>-0.333333333333333</v>
      </c>
      <c r="V39" s="16" t="n">
        <f aca="false">IF(OR($K39="",$U39=""),"",$K39-$U39)</f>
        <v>8.33333333333333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47</v>
      </c>
      <c r="D40" s="32" t="n">
        <v>4555</v>
      </c>
      <c r="E40" s="32" t="n">
        <f aca="true">IF($D40="","",IFERROR(IF(ISBLANK(INDIRECT("'"&amp;$Q$2&amp;"'!D"&amp;ROW())),"",INDIRECT("'"&amp;$Q$2&amp;"'!D"&amp;ROW())),""))</f>
        <v>4445</v>
      </c>
      <c r="F40" s="33" t="n">
        <f aca="false">IF(OR(D40="",E40=""),"",D40-E40)</f>
        <v>110</v>
      </c>
      <c r="G40" s="34" t="n">
        <f aca="false">IFERROR(F40/E40,"")</f>
        <v>0.0247469066366704</v>
      </c>
      <c r="H40" s="32" t="n">
        <v>49</v>
      </c>
      <c r="I40" s="32" t="n">
        <f aca="true">IF($H40="","",IFERROR(IF(ISBLANK(INDIRECT("'"&amp;$Q$2&amp;"'!H"&amp;ROW())),"",INDIRECT("'"&amp;$Q$2&amp;"'!H"&amp;ROW())),""))</f>
        <v>51</v>
      </c>
      <c r="J40" s="33" t="n">
        <f aca="false">IF(OR(H40="",I40=""),"",H40-I40)</f>
        <v>-2</v>
      </c>
      <c r="K40" s="34" t="n">
        <f aca="false">IFERROR(J40/I40,"")</f>
        <v>-0.0392156862745098</v>
      </c>
      <c r="L40" s="32" t="n">
        <f aca="false">IFERROR(D40/C40,"")</f>
        <v>96.9148936170213</v>
      </c>
      <c r="M40" s="32" t="n">
        <f aca="false">IFERROR(H40/D40*1000,"")</f>
        <v>10.7574094401756</v>
      </c>
      <c r="N40" s="32" t="n">
        <v>4962</v>
      </c>
      <c r="O40" s="33" t="n">
        <f aca="true">IFERROR(IF(OR(N40="",ISBLANK(INDIRECT("'"&amp;$Q$2&amp;"'!N"&amp;ROW()))),"",N40-INDIRECT("'"&amp;$Q$2&amp;"'!N"&amp;ROW())),"")</f>
        <v>0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51</v>
      </c>
      <c r="D41" s="32" t="n">
        <v>14510</v>
      </c>
      <c r="E41" s="32" t="n">
        <f aca="true">IF($D41="","",IFERROR(IF(ISBLANK(INDIRECT("'"&amp;$Q$2&amp;"'!D"&amp;ROW())),"",INDIRECT("'"&amp;$Q$2&amp;"'!D"&amp;ROW())),""))</f>
        <v>12178</v>
      </c>
      <c r="F41" s="33" t="n">
        <f aca="false">IF(OR(D41="",E41=""),"",D41-E41)</f>
        <v>2332</v>
      </c>
      <c r="G41" s="34" t="n">
        <f aca="false">IFERROR(F41/E41,"")</f>
        <v>0.191492855969782</v>
      </c>
      <c r="H41" s="32" t="n">
        <v>203</v>
      </c>
      <c r="I41" s="32" t="n">
        <f aca="true">IF($H41="","",IFERROR(IF(ISBLANK(INDIRECT("'"&amp;$Q$2&amp;"'!H"&amp;ROW())),"",INDIRECT("'"&amp;$Q$2&amp;"'!H"&amp;ROW())),""))</f>
        <v>109</v>
      </c>
      <c r="J41" s="33" t="n">
        <f aca="false">IF(OR(H41="",I41=""),"",H41-I41)</f>
        <v>94</v>
      </c>
      <c r="K41" s="34" t="n">
        <f aca="false">IFERROR(J41/I41,"")</f>
        <v>0.862385321100918</v>
      </c>
      <c r="L41" s="32" t="n">
        <f aca="false">IFERROR(D41/C41,"")</f>
        <v>284.509803921569</v>
      </c>
      <c r="M41" s="32" t="n">
        <f aca="false">IFERROR(H41/D41*1000,"")</f>
        <v>13.9903514817367</v>
      </c>
      <c r="N41" s="32" t="n">
        <v>3534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-0.0171105730427764</v>
      </c>
      <c r="T41" s="16" t="n">
        <f aca="false">IF(OR($G41="",$S41=""),"",$G41-$S41)</f>
        <v>0.208603429012558</v>
      </c>
      <c r="U41" s="15" t="n">
        <f aca="true">IFERROR(IF(ISBLANK(INDIRECT("'"&amp;$Q$2&amp;"'!K"&amp;ROW())),"",INDIRECT("'"&amp;$Q$2&amp;"'!K"&amp;ROW())),"")</f>
        <v>-0.0991735537190083</v>
      </c>
      <c r="V41" s="16" t="n">
        <f aca="false">IF(OR($K41="",$U41=""),"",$K41-$U41)</f>
        <v>0.961558874819926</v>
      </c>
      <c r="W41" s="17" t="n">
        <f aca="true">IFERROR(IF(ISBLANK(INDIRECT("'"&amp;$Q$2&amp;"'!O"&amp;ROW())),"",INDIRECT("'"&amp;$Q$2&amp;"'!O"&amp;ROW())),"")</f>
        <v>1</v>
      </c>
      <c r="X41" s="17" t="n">
        <f aca="false">IF(OR($O41="",$W41=""),"",$O41-$W41)</f>
        <v>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23</v>
      </c>
      <c r="D42" s="32" t="n">
        <v>7493</v>
      </c>
      <c r="E42" s="32" t="n">
        <f aca="true">IF($D42="","",IFERROR(IF(ISBLANK(INDIRECT("'"&amp;$Q$2&amp;"'!D"&amp;ROW())),"",INDIRECT("'"&amp;$Q$2&amp;"'!D"&amp;ROW())),""))</f>
        <v>5911</v>
      </c>
      <c r="F42" s="33" t="n">
        <f aca="false">IF(OR(D42="",E42=""),"",D42-E42)</f>
        <v>1582</v>
      </c>
      <c r="G42" s="34" t="n">
        <f aca="false">IFERROR(F42/E42,"")</f>
        <v>0.267636609710709</v>
      </c>
      <c r="H42" s="32" t="n">
        <v>157</v>
      </c>
      <c r="I42" s="32" t="n">
        <f aca="true">IF($H42="","",IFERROR(IF(ISBLANK(INDIRECT("'"&amp;$Q$2&amp;"'!H"&amp;ROW())),"",INDIRECT("'"&amp;$Q$2&amp;"'!H"&amp;ROW())),""))</f>
        <v>82</v>
      </c>
      <c r="J42" s="33" t="n">
        <f aca="false">IF(OR(H42="",I42=""),"",H42-I42)</f>
        <v>75</v>
      </c>
      <c r="K42" s="34" t="n">
        <f aca="false">IFERROR(J42/I42,"")</f>
        <v>0.914634146341463</v>
      </c>
      <c r="L42" s="32" t="n">
        <f aca="false">IFERROR(D42/C42,"")</f>
        <v>325.782608695652</v>
      </c>
      <c r="M42" s="32" t="n">
        <f aca="false">IFERROR(H42/D42*1000,"")</f>
        <v>20.9528893634058</v>
      </c>
      <c r="N42" s="32" t="n">
        <v>657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-0.103579011222323</v>
      </c>
      <c r="T42" s="16" t="n">
        <f aca="false">IF(OR($G42="",$S42=""),"",$G42-$S42)</f>
        <v>0.371215620933032</v>
      </c>
      <c r="U42" s="15" t="n">
        <f aca="true">IFERROR(IF(ISBLANK(INDIRECT("'"&amp;$Q$2&amp;"'!K"&amp;ROW())),"",INDIRECT("'"&amp;$Q$2&amp;"'!K"&amp;ROW())),"")</f>
        <v>-0.0120481927710843</v>
      </c>
      <c r="V42" s="16" t="n">
        <f aca="false">IF(OR($K42="",$U42=""),"",$K42-$U42)</f>
        <v>0.926682339112548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53</v>
      </c>
      <c r="D43" s="32" t="n">
        <v>3405</v>
      </c>
      <c r="E43" s="32" t="n">
        <f aca="true">IF($D43="","",IFERROR(IF(ISBLANK(INDIRECT("'"&amp;$Q$2&amp;"'!D"&amp;ROW())),"",INDIRECT("'"&amp;$Q$2&amp;"'!D"&amp;ROW())),""))</f>
        <v>2419</v>
      </c>
      <c r="F43" s="33" t="n">
        <f aca="false">IF(OR(D43="",E43=""),"",D43-E43)</f>
        <v>986</v>
      </c>
      <c r="G43" s="34" t="n">
        <f aca="false">IFERROR(F43/E43,"")</f>
        <v>0.407606448945845</v>
      </c>
      <c r="H43" s="32" t="n">
        <v>7</v>
      </c>
      <c r="I43" s="32" t="n">
        <f aca="true">IF($H43="","",IFERROR(IF(ISBLANK(INDIRECT("'"&amp;$Q$2&amp;"'!H"&amp;ROW())),"",INDIRECT("'"&amp;$Q$2&amp;"'!H"&amp;ROW())),""))</f>
        <v>14</v>
      </c>
      <c r="J43" s="33" t="n">
        <f aca="false">IF(OR(H43="",I43=""),"",H43-I43)</f>
        <v>-7</v>
      </c>
      <c r="K43" s="34" t="n">
        <f aca="false">IFERROR(J43/I43,"")</f>
        <v>-0.5</v>
      </c>
      <c r="L43" s="32" t="n">
        <f aca="false">IFERROR(D43/C43,"")</f>
        <v>64.2452830188679</v>
      </c>
      <c r="M43" s="32" t="n">
        <f aca="false">IFERROR(H43/D43*1000,"")</f>
        <v>2.05580029368576</v>
      </c>
      <c r="N43" s="32" t="n">
        <v>1957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n">
        <f aca="true">IFERROR(IF(ISBLANK(INDIRECT("'"&amp;$Q$2&amp;"'!G"&amp;ROW())),"",INDIRECT("'"&amp;$Q$2&amp;"'!G"&amp;ROW())),"")</f>
        <v>-0.0134584013050571</v>
      </c>
      <c r="T43" s="16" t="n">
        <f aca="false">IF(OR($G43="",$S43=""),"",$G43-$S43)</f>
        <v>0.421064850250903</v>
      </c>
      <c r="U43" s="15" t="n">
        <f aca="true">IFERROR(IF(ISBLANK(INDIRECT("'"&amp;$Q$2&amp;"'!K"&amp;ROW())),"",INDIRECT("'"&amp;$Q$2&amp;"'!K"&amp;ROW())),"")</f>
        <v>0.272727272727273</v>
      </c>
      <c r="V43" s="16" t="n">
        <f aca="false">IF(OR($K43="",$U43=""),"",$K43-$U43)</f>
        <v>-0.772727272727273</v>
      </c>
      <c r="W43" s="17" t="n">
        <f aca="true">IFERROR(IF(ISBLANK(INDIRECT("'"&amp;$Q$2&amp;"'!O"&amp;ROW())),"",INDIRECT("'"&amp;$Q$2&amp;"'!O"&amp;ROW())),"")</f>
        <v>2</v>
      </c>
      <c r="X43" s="17" t="n">
        <f aca="false">IF(OR($O43="",$W43=""),"",$O43-$W43)</f>
        <v>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47</v>
      </c>
      <c r="D44" s="32" t="n">
        <v>11615</v>
      </c>
      <c r="E44" s="32" t="n">
        <f aca="true">IF($D44="","",IFERROR(IF(ISBLANK(INDIRECT("'"&amp;$Q$2&amp;"'!D"&amp;ROW())),"",INDIRECT("'"&amp;$Q$2&amp;"'!D"&amp;ROW())),""))</f>
        <v>9089</v>
      </c>
      <c r="F44" s="33" t="n">
        <f aca="false">IF(OR(D44="",E44=""),"",D44-E44)</f>
        <v>2526</v>
      </c>
      <c r="G44" s="34" t="n">
        <f aca="false">IFERROR(F44/E44,"")</f>
        <v>0.2779183628562</v>
      </c>
      <c r="H44" s="32" t="n">
        <v>225</v>
      </c>
      <c r="I44" s="32" t="n">
        <f aca="true">IF($H44="","",IFERROR(IF(ISBLANK(INDIRECT("'"&amp;$Q$2&amp;"'!H"&amp;ROW())),"",INDIRECT("'"&amp;$Q$2&amp;"'!H"&amp;ROW())),""))</f>
        <v>162</v>
      </c>
      <c r="J44" s="33" t="n">
        <f aca="false">IF(OR(H44="",I44=""),"",H44-I44)</f>
        <v>63</v>
      </c>
      <c r="K44" s="34" t="n">
        <f aca="false">IFERROR(J44/I44,"")</f>
        <v>0.388888888888889</v>
      </c>
      <c r="L44" s="32" t="n">
        <f aca="false">IFERROR(D44/C44,"")</f>
        <v>247.127659574468</v>
      </c>
      <c r="M44" s="32" t="n">
        <f aca="false">IFERROR(H44/D44*1000,"")</f>
        <v>19.3715023676281</v>
      </c>
      <c r="N44" s="32" t="n">
        <v>4898</v>
      </c>
      <c r="O44" s="33" t="n">
        <f aca="true">IFERROR(IF(OR(N44="",ISBLANK(INDIRECT("'"&amp;$Q$2&amp;"'!N"&amp;ROW()))),"",N44-INDIRECT("'"&amp;$Q$2&amp;"'!N"&amp;ROW())),"")</f>
        <v>1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59</v>
      </c>
      <c r="D45" s="32" t="n">
        <v>17975</v>
      </c>
      <c r="E45" s="32" t="n">
        <f aca="true">IF($D45="","",IFERROR(IF(ISBLANK(INDIRECT("'"&amp;$Q$2&amp;"'!D"&amp;ROW())),"",INDIRECT("'"&amp;$Q$2&amp;"'!D"&amp;ROW())),""))</f>
        <v>17624</v>
      </c>
      <c r="F45" s="33" t="n">
        <f aca="false">IF(OR(D45="",E45=""),"",D45-E45)</f>
        <v>351</v>
      </c>
      <c r="G45" s="34" t="n">
        <f aca="false">IFERROR(F45/E45,"")</f>
        <v>0.0199160236041761</v>
      </c>
      <c r="H45" s="32" t="n">
        <v>188</v>
      </c>
      <c r="I45" s="32" t="n">
        <f aca="true">IF($H45="","",IFERROR(IF(ISBLANK(INDIRECT("'"&amp;$Q$2&amp;"'!H"&amp;ROW())),"",INDIRECT("'"&amp;$Q$2&amp;"'!H"&amp;ROW())),""))</f>
        <v>198</v>
      </c>
      <c r="J45" s="33" t="n">
        <f aca="false">IF(OR(H45="",I45=""),"",H45-I45)</f>
        <v>-10</v>
      </c>
      <c r="K45" s="34" t="n">
        <f aca="false">IFERROR(J45/I45,"")</f>
        <v>-0.0505050505050505</v>
      </c>
      <c r="L45" s="32" t="n">
        <f aca="false">IFERROR(D45/C45,"")</f>
        <v>304.661016949153</v>
      </c>
      <c r="M45" s="32" t="n">
        <f aca="false">IFERROR(H45/D45*1000,"")</f>
        <v>10.4589707927677</v>
      </c>
      <c r="N45" s="32" t="n">
        <v>3755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0.218557698955957</v>
      </c>
      <c r="T45" s="16" t="n">
        <f aca="false">IF(OR($G45="",$S45=""),"",$G45-$S45)</f>
        <v>-0.19864167535178</v>
      </c>
      <c r="U45" s="15" t="n">
        <f aca="true">IFERROR(IF(ISBLANK(INDIRECT("'"&amp;$Q$2&amp;"'!K"&amp;ROW())),"",INDIRECT("'"&amp;$Q$2&amp;"'!K"&amp;ROW())),"")</f>
        <v>-0.0149253731343284</v>
      </c>
      <c r="V45" s="16" t="n">
        <f aca="false">IF(OR($K45="",$U45=""),"",$K45-$U45)</f>
        <v>-0.0355796773707221</v>
      </c>
      <c r="W45" s="17" t="n">
        <f aca="true">IFERROR(IF(ISBLANK(INDIRECT("'"&amp;$Q$2&amp;"'!O"&amp;ROW())),"",INDIRECT("'"&amp;$Q$2&amp;"'!O"&amp;ROW())),"")</f>
        <v>5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65</v>
      </c>
      <c r="D46" s="32" t="n">
        <v>20260</v>
      </c>
      <c r="E46" s="32" t="n">
        <f aca="true">IF($D46="","",IFERROR(IF(ISBLANK(INDIRECT("'"&amp;$Q$2&amp;"'!D"&amp;ROW())),"",INDIRECT("'"&amp;$Q$2&amp;"'!D"&amp;ROW())),""))</f>
        <v>23500</v>
      </c>
      <c r="F46" s="33" t="n">
        <f aca="false">IF(OR(D46="",E46=""),"",D46-E46)</f>
        <v>-3240</v>
      </c>
      <c r="G46" s="34" t="n">
        <f aca="false">IFERROR(F46/E46,"")</f>
        <v>-0.137872340425532</v>
      </c>
      <c r="H46" s="32" t="n">
        <v>362</v>
      </c>
      <c r="I46" s="32" t="n">
        <f aca="true">IF($H46="","",IFERROR(IF(ISBLANK(INDIRECT("'"&amp;$Q$2&amp;"'!H"&amp;ROW())),"",INDIRECT("'"&amp;$Q$2&amp;"'!H"&amp;ROW())),""))</f>
        <v>311</v>
      </c>
      <c r="J46" s="33" t="n">
        <f aca="false">IF(OR(H46="",I46=""),"",H46-I46)</f>
        <v>51</v>
      </c>
      <c r="K46" s="34" t="n">
        <f aca="false">IFERROR(J46/I46,"")</f>
        <v>0.163987138263666</v>
      </c>
      <c r="L46" s="32" t="n">
        <f aca="false">IFERROR(D46/C46,"")</f>
        <v>311.692307692308</v>
      </c>
      <c r="M46" s="32" t="n">
        <f aca="false">IFERROR(H46/D46*1000,"")</f>
        <v>17.8677196446199</v>
      </c>
      <c r="N46" s="32" t="n">
        <v>4509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0.0417590211898218</v>
      </c>
      <c r="T46" s="16" t="n">
        <f aca="false">IF(OR($G46="",$S46=""),"",$G46-$S46)</f>
        <v>-0.179631361615354</v>
      </c>
      <c r="U46" s="15" t="n">
        <f aca="true">IFERROR(IF(ISBLANK(INDIRECT("'"&amp;$Q$2&amp;"'!K"&amp;ROW())),"",INDIRECT("'"&amp;$Q$2&amp;"'!K"&amp;ROW())),"")</f>
        <v>-0.0906432748538012</v>
      </c>
      <c r="V46" s="16" t="n">
        <f aca="false">IF(OR($K46="",$U46=""),"",$K46-$U46)</f>
        <v>0.254630413117467</v>
      </c>
      <c r="W46" s="17" t="n">
        <f aca="true">IFERROR(IF(ISBLANK(INDIRECT("'"&amp;$Q$2&amp;"'!O"&amp;ROW())),"",INDIRECT("'"&amp;$Q$2&amp;"'!O"&amp;ROW())),"")</f>
        <v>1</v>
      </c>
      <c r="X46" s="17" t="n">
        <f aca="false">IF(OR($O46="",$W46=""),"",$O46-$W46)</f>
        <v>0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14</v>
      </c>
      <c r="D47" s="32" t="n">
        <v>766</v>
      </c>
      <c r="E47" s="32" t="n">
        <f aca="true">IF($D47="","",IFERROR(IF(ISBLANK(INDIRECT("'"&amp;$Q$2&amp;"'!D"&amp;ROW())),"",INDIRECT("'"&amp;$Q$2&amp;"'!D"&amp;ROW())),""))</f>
        <v>1177</v>
      </c>
      <c r="F47" s="33" t="n">
        <f aca="false">IF(OR(D47="",E47=""),"",D47-E47)</f>
        <v>-411</v>
      </c>
      <c r="G47" s="34" t="n">
        <f aca="false">IFERROR(F47/E47,"")</f>
        <v>-0.349192863211555</v>
      </c>
      <c r="H47" s="32" t="n">
        <v>72</v>
      </c>
      <c r="I47" s="32" t="n">
        <f aca="true">IF($H47="","",IFERROR(IF(ISBLANK(INDIRECT("'"&amp;$Q$2&amp;"'!H"&amp;ROW())),"",INDIRECT("'"&amp;$Q$2&amp;"'!H"&amp;ROW())),""))</f>
        <v>73</v>
      </c>
      <c r="J47" s="33" t="n">
        <f aca="false">IF(OR(H47="",I47=""),"",H47-I47)</f>
        <v>-1</v>
      </c>
      <c r="K47" s="34" t="n">
        <f aca="false">IFERROR(J47/I47,"")</f>
        <v>-0.0136986301369863</v>
      </c>
      <c r="L47" s="32" t="n">
        <f aca="false">IFERROR(D47/C47,"")</f>
        <v>54.7142857142857</v>
      </c>
      <c r="M47" s="32" t="n">
        <f aca="false">IFERROR(H47/D47*1000,"")</f>
        <v>93.9947780678851</v>
      </c>
      <c r="N47" s="32" t="n">
        <v>857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5</v>
      </c>
      <c r="D48" s="32" t="n">
        <v>2168</v>
      </c>
      <c r="E48" s="32" t="n">
        <f aca="true">IF($D48="","",IFERROR(IF(ISBLANK(INDIRECT("'"&amp;$Q$2&amp;"'!D"&amp;ROW())),"",INDIRECT("'"&amp;$Q$2&amp;"'!D"&amp;ROW())),""))</f>
        <v>2358</v>
      </c>
      <c r="F48" s="33" t="n">
        <f aca="false">IF(OR(D48="",E48=""),"",D48-E48)</f>
        <v>-190</v>
      </c>
      <c r="G48" s="34" t="n">
        <f aca="false">IFERROR(F48/E48,"")</f>
        <v>-0.0805767599660729</v>
      </c>
      <c r="H48" s="32" t="n">
        <v>180</v>
      </c>
      <c r="I48" s="32" t="n">
        <f aca="true">IF($H48="","",IFERROR(IF(ISBLANK(INDIRECT("'"&amp;$Q$2&amp;"'!H"&amp;ROW())),"",INDIRECT("'"&amp;$Q$2&amp;"'!H"&amp;ROW())),""))</f>
        <v>144</v>
      </c>
      <c r="J48" s="33" t="n">
        <f aca="false">IF(OR(H48="",I48=""),"",H48-I48)</f>
        <v>36</v>
      </c>
      <c r="K48" s="34" t="n">
        <f aca="false">IFERROR(J48/I48,"")</f>
        <v>0.25</v>
      </c>
      <c r="L48" s="32" t="n">
        <f aca="false">IFERROR(D48/C48,"")</f>
        <v>433.6</v>
      </c>
      <c r="M48" s="32" t="n">
        <f aca="false">IFERROR(H48/D48*1000,"")</f>
        <v>83.0258302583026</v>
      </c>
      <c r="N48" s="32" t="n">
        <v>872</v>
      </c>
      <c r="O48" s="33" t="n">
        <f aca="true">IFERROR(IF(OR(N48="",ISBLANK(INDIRECT("'"&amp;$Q$2&amp;"'!N"&amp;ROW()))),"",N48-INDIRECT("'"&amp;$Q$2&amp;"'!N"&amp;ROW())),"")</f>
        <v>4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201</v>
      </c>
      <c r="D49" s="32" t="n">
        <v>9103</v>
      </c>
      <c r="E49" s="32" t="n">
        <f aca="true">IF($D49="","",IFERROR(IF(ISBLANK(INDIRECT("'"&amp;$Q$2&amp;"'!D"&amp;ROW())),"",INDIRECT("'"&amp;$Q$2&amp;"'!D"&amp;ROW())),""))</f>
        <v>9500</v>
      </c>
      <c r="F49" s="33" t="n">
        <f aca="false">IF(OR(D49="",E49=""),"",D49-E49)</f>
        <v>-397</v>
      </c>
      <c r="G49" s="34" t="n">
        <f aca="false">IFERROR(F49/E49,"")</f>
        <v>-0.0417894736842105</v>
      </c>
      <c r="H49" s="32" t="n">
        <v>2</v>
      </c>
      <c r="I49" s="32" t="n">
        <f aca="true">IF($H49="","",IFERROR(IF(ISBLANK(INDIRECT("'"&amp;$Q$2&amp;"'!H"&amp;ROW())),"",INDIRECT("'"&amp;$Q$2&amp;"'!H"&amp;ROW())),""))</f>
        <v>5</v>
      </c>
      <c r="J49" s="33" t="n">
        <f aca="false">IF(OR(H49="",I49=""),"",H49-I49)</f>
        <v>-3</v>
      </c>
      <c r="K49" s="34" t="n">
        <f aca="false">IFERROR(J49/I49,"")</f>
        <v>-0.6</v>
      </c>
      <c r="L49" s="32" t="n">
        <f aca="false">IFERROR(D49/C49,"")</f>
        <v>45.2885572139303</v>
      </c>
      <c r="M49" s="32" t="n">
        <f aca="false">IFERROR(H49/D49*1000,"")</f>
        <v>0.219707788641107</v>
      </c>
      <c r="N49" s="32" t="n">
        <v>4826</v>
      </c>
      <c r="O49" s="33" t="n">
        <f aca="true">IFERROR(IF(OR(N49="",ISBLANK(INDIRECT("'"&amp;$Q$2&amp;"'!N"&amp;ROW()))),"",N49-INDIRECT("'"&amp;$Q$2&amp;"'!N"&amp;ROW())),"")</f>
        <v>4</v>
      </c>
      <c r="P49" s="3"/>
      <c r="Q49" s="3"/>
      <c r="R49" s="3"/>
      <c r="S49" s="15" t="n">
        <f aca="true">IFERROR(IF(ISBLANK(INDIRECT("'"&amp;$Q$2&amp;"'!G"&amp;ROW())),"",INDIRECT("'"&amp;$Q$2&amp;"'!G"&amp;ROW())),"")</f>
        <v>-0.064684454071084</v>
      </c>
      <c r="T49" s="16" t="n">
        <f aca="false">IF(OR($G49="",$S49=""),"",$G49-$S49)</f>
        <v>0.0228949803868735</v>
      </c>
      <c r="U49" s="15" t="n">
        <f aca="true">IFERROR(IF(ISBLANK(INDIRECT("'"&amp;$Q$2&amp;"'!K"&amp;ROW())),"",INDIRECT("'"&amp;$Q$2&amp;"'!K"&amp;ROW())),"")</f>
        <v>4</v>
      </c>
      <c r="V49" s="16" t="n">
        <f aca="false">IF(OR($K49="",$U49=""),"",$K49-$U49)</f>
        <v>-4.6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7</v>
      </c>
      <c r="D50" s="32" t="n">
        <v>837</v>
      </c>
      <c r="E50" s="32" t="n">
        <f aca="true">IF($D50="","",IFERROR(IF(ISBLANK(INDIRECT("'"&amp;$Q$2&amp;"'!D"&amp;ROW())),"",INDIRECT("'"&amp;$Q$2&amp;"'!D"&amp;ROW())),""))</f>
        <v>388</v>
      </c>
      <c r="F50" s="33" t="n">
        <f aca="false">IF(OR(D50="",E50=""),"",D50-E50)</f>
        <v>449</v>
      </c>
      <c r="G50" s="34" t="n">
        <f aca="false">IFERROR(F50/E50,"")</f>
        <v>1.15721649484536</v>
      </c>
      <c r="H50" s="32" t="n">
        <v>6</v>
      </c>
      <c r="I50" s="32" t="n">
        <f aca="true">IF($H50="","",IFERROR(IF(ISBLANK(INDIRECT("'"&amp;$Q$2&amp;"'!H"&amp;ROW())),"",INDIRECT("'"&amp;$Q$2&amp;"'!H"&amp;ROW())),""))</f>
        <v>2</v>
      </c>
      <c r="J50" s="33" t="n">
        <f aca="false">IF(OR(H50="",I50=""),"",H50-I50)</f>
        <v>4</v>
      </c>
      <c r="K50" s="34" t="n">
        <f aca="false">IFERROR(J50/I50,"")</f>
        <v>2</v>
      </c>
      <c r="L50" s="32" t="n">
        <f aca="false">IFERROR(D50/C50,"")</f>
        <v>119.571428571429</v>
      </c>
      <c r="M50" s="32" t="n">
        <f aca="false">IFERROR(H50/D50*1000,"")</f>
        <v>7.16845878136201</v>
      </c>
      <c r="N50" s="32" t="n">
        <v>44</v>
      </c>
      <c r="O50" s="33" t="n">
        <f aca="true">IFERROR(IF(OR(N50="",ISBLANK(INDIRECT("'"&amp;$Q$2&amp;"'!N"&amp;ROW()))),"",N50-INDIRECT("'"&amp;$Q$2&amp;"'!N"&amp;ROW())),"")</f>
        <v>1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1386</v>
      </c>
      <c r="D51" s="36" t="n">
        <f aca="false">SUM(D31:D50)</f>
        <v>438012</v>
      </c>
      <c r="E51" s="36" t="n">
        <f aca="false">SUM(E31:E50)</f>
        <v>244021</v>
      </c>
      <c r="F51" s="37" t="n">
        <f aca="false">SUM(F31:F50)</f>
        <v>193991</v>
      </c>
      <c r="G51" s="38" t="n">
        <f aca="false">IF(C51=0,"",IFERROR(F51/E51,""))</f>
        <v>0.794976661844677</v>
      </c>
      <c r="H51" s="36" t="n">
        <f aca="false">SUM(H31:H50)</f>
        <v>2376</v>
      </c>
      <c r="I51" s="36" t="n">
        <f aca="false">SUM(I31:I50)</f>
        <v>2293</v>
      </c>
      <c r="J51" s="37" t="n">
        <f aca="false">SUM(J31:J50)</f>
        <v>83</v>
      </c>
      <c r="K51" s="38" t="n">
        <f aca="false">IF(C51=0,"",IFERROR(J51/I51,""))</f>
        <v>0.036197121674662</v>
      </c>
      <c r="L51" s="36" t="n">
        <f aca="false">IFERROR(D51/C51,"")</f>
        <v>316.025974025974</v>
      </c>
      <c r="M51" s="36" t="n">
        <f aca="false">IFERROR(H51/D51*1000,"")</f>
        <v>5.4245089175639</v>
      </c>
      <c r="N51" s="36" t="n">
        <f aca="false">SUM(N31:N50)</f>
        <v>107120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0.0721613554215174</v>
      </c>
      <c r="T51" s="24" t="n">
        <f aca="false">IF(OR($G51="",$S51=""),"",$G51-$S51)</f>
        <v>0.72281530642316</v>
      </c>
      <c r="U51" s="23" t="n">
        <f aca="true">IFERROR(IF(ISBLANK(INDIRECT("'"&amp;$Q$2&amp;"'!K"&amp;ROW())),"",INDIRECT("'"&amp;$Q$2&amp;"'!K"&amp;ROW())),"")</f>
        <v>0.174957118353345</v>
      </c>
      <c r="V51" s="24" t="n">
        <f aca="false">IF(OR($K51="",$U51=""),"",$K51-$U51)</f>
        <v>-0.138759996678683</v>
      </c>
      <c r="W51" s="25" t="n">
        <f aca="true">IFERROR(IF(ISBLANK(INDIRECT("'"&amp;$Q$2&amp;"'!O"&amp;ROW())),"",INDIRECT("'"&amp;$Q$2&amp;"'!O"&amp;ROW())),"")</f>
        <v>31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139</v>
      </c>
      <c r="D52" s="32" t="n">
        <v>36166</v>
      </c>
      <c r="E52" s="32" t="n">
        <f aca="true">IF($D52="","",IFERROR(IF(ISBLANK(INDIRECT("'"&amp;$Q$2&amp;"'!D"&amp;ROW())),"",INDIRECT("'"&amp;$Q$2&amp;"'!D"&amp;ROW())),""))</f>
        <v>57464</v>
      </c>
      <c r="F52" s="33" t="n">
        <f aca="false">IF(OR(D52="",E52=""),"",D52-E52)</f>
        <v>-21298</v>
      </c>
      <c r="G52" s="34" t="n">
        <f aca="false">IFERROR(F52/E52,"")</f>
        <v>-0.370632047890853</v>
      </c>
      <c r="H52" s="32" t="n">
        <v>267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5</v>
      </c>
      <c r="K52" s="34" t="n">
        <f aca="false">IFERROR(J52/I52,"")</f>
        <v>0.0190839694656489</v>
      </c>
      <c r="L52" s="32" t="n">
        <f aca="false">IFERROR(D52/C52,"")</f>
        <v>260.187050359712</v>
      </c>
      <c r="M52" s="32" t="n">
        <f aca="false">IFERROR(H52/D52*1000,"")</f>
        <v>7.3826245645081</v>
      </c>
      <c r="N52" s="32" t="n">
        <v>11727</v>
      </c>
      <c r="O52" s="33" t="n">
        <f aca="true">IFERROR(IF(OR(N52="",ISBLANK(INDIRECT("'"&amp;$Q$2&amp;"'!N"&amp;ROW()))),"",N52-INDIRECT("'"&amp;$Q$2&amp;"'!N"&amp;ROW())),"")</f>
        <v>-14</v>
      </c>
      <c r="P52" s="3"/>
      <c r="Q52" s="3"/>
      <c r="R52" s="3"/>
      <c r="S52" s="15" t="n">
        <f aca="true">IFERROR(IF(ISBLANK(INDIRECT("'"&amp;$Q$2&amp;"'!G"&amp;ROW())),"",INDIRECT("'"&amp;$Q$2&amp;"'!G"&amp;ROW())),"")</f>
        <v>-0.338323008543859</v>
      </c>
      <c r="T52" s="16" t="n">
        <f aca="false">IF(OR($G52="",$S52=""),"",$G52-$S52)</f>
        <v>-0.0323090393469941</v>
      </c>
      <c r="U52" s="15" t="n">
        <f aca="true">IFERROR(IF(ISBLANK(INDIRECT("'"&amp;$Q$2&amp;"'!K"&amp;ROW())),"",INDIRECT("'"&amp;$Q$2&amp;"'!K"&amp;ROW())),"")</f>
        <v>0</v>
      </c>
      <c r="V52" s="16" t="n">
        <f aca="false">IF(OR($K52="",$U52=""),"",$K52-$U52)</f>
        <v>0.0190839694656489</v>
      </c>
      <c r="W52" s="17" t="n">
        <f aca="true">IFERROR(IF(ISBLANK(INDIRECT("'"&amp;$Q$2&amp;"'!O"&amp;ROW())),"",INDIRECT("'"&amp;$Q$2&amp;"'!O"&amp;ROW())),"")</f>
        <v>-23</v>
      </c>
      <c r="X52" s="17" t="n">
        <f aca="false">IF(OR($O52="",$W52=""),"",$O52-$W52)</f>
        <v>9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130</v>
      </c>
      <c r="D53" s="32" t="n">
        <v>43966</v>
      </c>
      <c r="E53" s="32" t="n">
        <f aca="true">IF($D53="","",IFERROR(IF(ISBLANK(INDIRECT("'"&amp;$Q$2&amp;"'!D"&amp;ROW())),"",INDIRECT("'"&amp;$Q$2&amp;"'!D"&amp;ROW())),""))</f>
        <v>43678</v>
      </c>
      <c r="F53" s="33" t="n">
        <f aca="false">IF(OR(D53="",E53=""),"",D53-E53)</f>
        <v>288</v>
      </c>
      <c r="G53" s="34" t="n">
        <f aca="false">IFERROR(F53/E53,"")</f>
        <v>0.00659370850313659</v>
      </c>
      <c r="H53" s="32" t="n">
        <v>41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0</v>
      </c>
      <c r="K53" s="34" t="n">
        <f aca="false">IFERROR(J53/I53,"")</f>
        <v>0</v>
      </c>
      <c r="L53" s="32" t="n">
        <f aca="false">IFERROR(D53/C53,"")</f>
        <v>338.2</v>
      </c>
      <c r="M53" s="32" t="n">
        <f aca="false">IFERROR(H53/D53*1000,"")</f>
        <v>0.932538779966338</v>
      </c>
      <c r="N53" s="32" t="n">
        <v>4781</v>
      </c>
      <c r="O53" s="33" t="n">
        <f aca="true">IFERROR(IF(OR(N53="",ISBLANK(INDIRECT("'"&amp;$Q$2&amp;"'!N"&amp;ROW()))),"",N53-INDIRECT("'"&amp;$Q$2&amp;"'!N"&amp;ROW())),"")</f>
        <v>-9</v>
      </c>
      <c r="P53" s="3"/>
      <c r="Q53" s="3"/>
      <c r="R53" s="3"/>
      <c r="S53" s="15" t="n">
        <f aca="true">IFERROR(IF(ISBLANK(INDIRECT("'"&amp;$Q$2&amp;"'!G"&amp;ROW())),"",INDIRECT("'"&amp;$Q$2&amp;"'!G"&amp;ROW())),"")</f>
        <v>1.77303028379151</v>
      </c>
      <c r="T53" s="16" t="n">
        <f aca="false">IF(OR($G53="",$S53=""),"",$G53-$S53)</f>
        <v>-1.76643657528837</v>
      </c>
      <c r="U53" s="15" t="n">
        <f aca="true">IFERROR(IF(ISBLANK(INDIRECT("'"&amp;$Q$2&amp;"'!K"&amp;ROW())),"",INDIRECT("'"&amp;$Q$2&amp;"'!K"&amp;ROW())),"")</f>
        <v>-0.293103448275862</v>
      </c>
      <c r="V53" s="16" t="n">
        <f aca="false">IF(OR($K53="",$U53=""),"",$K53-$U53)</f>
        <v>0.293103448275862</v>
      </c>
      <c r="W53" s="17" t="n">
        <f aca="true">IFERROR(IF(ISBLANK(INDIRECT("'"&amp;$Q$2&amp;"'!O"&amp;ROW())),"",INDIRECT("'"&amp;$Q$2&amp;"'!O"&amp;ROW())),"")</f>
        <v>-21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83</v>
      </c>
      <c r="D54" s="32" t="n">
        <v>1844</v>
      </c>
      <c r="E54" s="32" t="n">
        <f aca="true">IF($D54="","",IFERROR(IF(ISBLANK(INDIRECT("'"&amp;$Q$2&amp;"'!D"&amp;ROW())),"",INDIRECT("'"&amp;$Q$2&amp;"'!D"&amp;ROW())),""))</f>
        <v>1927</v>
      </c>
      <c r="F54" s="33" t="n">
        <f aca="false">IF(OR(D54="",E54=""),"",D54-E54)</f>
        <v>-83</v>
      </c>
      <c r="G54" s="34" t="n">
        <f aca="false">IFERROR(F54/E54,"")</f>
        <v>-0.0430721328489881</v>
      </c>
      <c r="H54" s="32" t="n">
        <v>5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3</v>
      </c>
      <c r="K54" s="34" t="n">
        <f aca="false">IFERROR(J54/I54,"")</f>
        <v>1.5</v>
      </c>
      <c r="L54" s="32" t="n">
        <f aca="false">IFERROR(D54/C54,"")</f>
        <v>22.2168674698795</v>
      </c>
      <c r="M54" s="32" t="n">
        <f aca="false">IFERROR(H54/D54*1000,"")</f>
        <v>2.7114967462039</v>
      </c>
      <c r="N54" s="32" t="n">
        <v>867</v>
      </c>
      <c r="O54" s="33" t="n">
        <f aca="true">IFERROR(IF(OR(N54="",ISBLANK(INDIRECT("'"&amp;$Q$2&amp;"'!N"&amp;ROW()))),"",N54-INDIRECT("'"&amp;$Q$2&amp;"'!N"&amp;ROW())),"")</f>
        <v>-1</v>
      </c>
      <c r="P54" s="3"/>
      <c r="Q54" s="3"/>
      <c r="R54" s="3"/>
      <c r="S54" s="15" t="n">
        <f aca="true">IFERROR(IF(ISBLANK(INDIRECT("'"&amp;$Q$2&amp;"'!G"&amp;ROW())),"",INDIRECT("'"&amp;$Q$2&amp;"'!G"&amp;ROW())),"")</f>
        <v>-0.0558549730524253</v>
      </c>
      <c r="T54" s="16" t="n">
        <f aca="false">IF(OR($G54="",$S54=""),"",$G54-$S54)</f>
        <v>0.0127828402034372</v>
      </c>
      <c r="U54" s="15" t="n">
        <f aca="true">IFERROR(IF(ISBLANK(INDIRECT("'"&amp;$Q$2&amp;"'!K"&amp;ROW())),"",INDIRECT("'"&amp;$Q$2&amp;"'!K"&amp;ROW())),"")</f>
        <v>0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-2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8837</v>
      </c>
      <c r="E55" s="32" t="n">
        <f aca="true">IF($D55="","",IFERROR(IF(ISBLANK(INDIRECT("'"&amp;$Q$2&amp;"'!D"&amp;ROW())),"",INDIRECT("'"&amp;$Q$2&amp;"'!D"&amp;ROW())),""))</f>
        <v>6726</v>
      </c>
      <c r="F55" s="33" t="n">
        <f aca="false">IF(OR(D55="",E55=""),"",D55-E55)</f>
        <v>2111</v>
      </c>
      <c r="G55" s="34" t="n">
        <f aca="false">IFERROR(F55/E55,"")</f>
        <v>0.313856675587273</v>
      </c>
      <c r="H55" s="32" t="n">
        <v>48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20</v>
      </c>
      <c r="K55" s="34" t="n">
        <f aca="false">IFERROR(J55/I55,"")</f>
        <v>0.714285714285714</v>
      </c>
      <c r="L55" s="32" t="n">
        <f aca="false">IFERROR(D55/C55,"")</f>
        <v>981.888888888889</v>
      </c>
      <c r="M55" s="32" t="n">
        <f aca="false">IFERROR(H55/D55*1000,"")</f>
        <v>5.43170759307457</v>
      </c>
      <c r="N55" s="32" t="n">
        <v>13774</v>
      </c>
      <c r="O55" s="33" t="n">
        <f aca="true">IFERROR(IF(OR(N55="",ISBLANK(INDIRECT("'"&amp;$Q$2&amp;"'!N"&amp;ROW()))),"",N55-INDIRECT("'"&amp;$Q$2&amp;"'!N"&amp;ROW())),"")</f>
        <v>-30</v>
      </c>
      <c r="P55" s="3"/>
      <c r="Q55" s="3"/>
      <c r="R55" s="3"/>
      <c r="S55" s="15" t="n">
        <f aca="true">IFERROR(IF(ISBLANK(INDIRECT("'"&amp;$Q$2&amp;"'!G"&amp;ROW())),"",INDIRECT("'"&amp;$Q$2&amp;"'!G"&amp;ROW())),"")</f>
        <v>0.0444099378881988</v>
      </c>
      <c r="T55" s="16" t="n">
        <f aca="false">IF(OR($G55="",$S55=""),"",$G55-$S55)</f>
        <v>0.269446737699075</v>
      </c>
      <c r="U55" s="15" t="n">
        <f aca="true">IFERROR(IF(ISBLANK(INDIRECT("'"&amp;$Q$2&amp;"'!K"&amp;ROW())),"",INDIRECT("'"&amp;$Q$2&amp;"'!K"&amp;ROW())),"")</f>
        <v>-0.525423728813559</v>
      </c>
      <c r="V55" s="16" t="n">
        <f aca="false">IF(OR($K55="",$U55=""),"",$K55-$U55)</f>
        <v>1.23970944309927</v>
      </c>
      <c r="W55" s="17" t="n">
        <f aca="true">IFERROR(IF(ISBLANK(INDIRECT("'"&amp;$Q$2&amp;"'!O"&amp;ROW())),"",INDIRECT("'"&amp;$Q$2&amp;"'!O"&amp;ROW())),"")</f>
        <v>5</v>
      </c>
      <c r="X55" s="17" t="n">
        <f aca="false">IF(OR($O55="",$W55=""),"",$O55-$W55)</f>
        <v>-35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310</v>
      </c>
      <c r="E56" s="32" t="n">
        <f aca="true">IF($D56="","",IFERROR(IF(ISBLANK(INDIRECT("'"&amp;$Q$2&amp;"'!D"&amp;ROW())),"",INDIRECT("'"&amp;$Q$2&amp;"'!D"&amp;ROW())),""))</f>
        <v>2676</v>
      </c>
      <c r="F56" s="33" t="n">
        <f aca="false">IF(OR(D56="",E56=""),"",D56-E56)</f>
        <v>-2366</v>
      </c>
      <c r="G56" s="34" t="n">
        <f aca="false">IFERROR(F56/E56,"")</f>
        <v>-0.884155455904335</v>
      </c>
      <c r="H56" s="32" t="n">
        <v>11</v>
      </c>
      <c r="I56" s="32" t="n">
        <f aca="true">IF($H56="","",IFERROR(IF(ISBLANK(INDIRECT("'"&amp;$Q$2&amp;"'!H"&amp;ROW())),"",INDIRECT("'"&amp;$Q$2&amp;"'!H"&amp;ROW())),""))</f>
        <v>24</v>
      </c>
      <c r="J56" s="33" t="n">
        <f aca="false">IF(OR(H56="",I56=""),"",H56-I56)</f>
        <v>-13</v>
      </c>
      <c r="K56" s="34" t="n">
        <f aca="false">IFERROR(J56/I56,"")</f>
        <v>-0.541666666666667</v>
      </c>
      <c r="L56" s="32" t="n">
        <f aca="false">IFERROR(D56/C56,"")</f>
        <v>44.2857142857143</v>
      </c>
      <c r="M56" s="32" t="n">
        <f aca="false">IFERROR(H56/D56*1000,"")</f>
        <v>35.4838709677419</v>
      </c>
      <c r="N56" s="32" t="n">
        <v>8643</v>
      </c>
      <c r="O56" s="33" t="n">
        <f aca="true">IFERROR(IF(OR(N56="",ISBLANK(INDIRECT("'"&amp;$Q$2&amp;"'!N"&amp;ROW()))),"",N56-INDIRECT("'"&amp;$Q$2&amp;"'!N"&amp;ROW())),"")</f>
        <v>-10</v>
      </c>
      <c r="P56" s="3"/>
      <c r="Q56" s="3"/>
      <c r="R56" s="3"/>
      <c r="S56" s="15" t="n">
        <f aca="true">IFERROR(IF(ISBLANK(INDIRECT("'"&amp;$Q$2&amp;"'!G"&amp;ROW())),"",INDIRECT("'"&amp;$Q$2&amp;"'!G"&amp;ROW())),"")</f>
        <v>0.174714661984197</v>
      </c>
      <c r="T56" s="16" t="n">
        <f aca="false">IF(OR($G56="",$S56=""),"",$G56-$S56)</f>
        <v>-1.05887011788853</v>
      </c>
      <c r="U56" s="15" t="n">
        <f aca="true">IFERROR(IF(ISBLANK(INDIRECT("'"&amp;$Q$2&amp;"'!K"&amp;ROW())),"",INDIRECT("'"&amp;$Q$2&amp;"'!K"&amp;ROW())),"")</f>
        <v>1</v>
      </c>
      <c r="V56" s="16" t="n">
        <f aca="false">IF(OR($K56="",$U56=""),"",$K56-$U56)</f>
        <v>-1.54166666666667</v>
      </c>
      <c r="W56" s="17" t="n">
        <f aca="true">IFERROR(IF(ISBLANK(INDIRECT("'"&amp;$Q$2&amp;"'!O"&amp;ROW())),"",INDIRECT("'"&amp;$Q$2&amp;"'!O"&amp;ROW())),"")</f>
        <v>-5</v>
      </c>
      <c r="X56" s="17" t="n">
        <f aca="false">IF(OR($O56="",$W56=""),"",$O56-$W56)</f>
        <v>-5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111</v>
      </c>
      <c r="D57" s="32" t="n">
        <v>65072</v>
      </c>
      <c r="E57" s="32" t="n">
        <f aca="true">IF($D57="","",IFERROR(IF(ISBLANK(INDIRECT("'"&amp;$Q$2&amp;"'!D"&amp;ROW())),"",INDIRECT("'"&amp;$Q$2&amp;"'!D"&amp;ROW())),""))</f>
        <v>53833</v>
      </c>
      <c r="F57" s="33" t="n">
        <f aca="false">IF(OR(D57="",E57=""),"",D57-E57)</f>
        <v>11239</v>
      </c>
      <c r="G57" s="34" t="n">
        <f aca="false">IFERROR(F57/E57,"")</f>
        <v>0.208775286534282</v>
      </c>
      <c r="H57" s="32" t="n">
        <v>255</v>
      </c>
      <c r="I57" s="32" t="n">
        <f aca="true">IF($H57="","",IFERROR(IF(ISBLANK(INDIRECT("'"&amp;$Q$2&amp;"'!H"&amp;ROW())),"",INDIRECT("'"&amp;$Q$2&amp;"'!H"&amp;ROW())),""))</f>
        <v>201</v>
      </c>
      <c r="J57" s="33" t="n">
        <f aca="false">IF(OR(H57="",I57=""),"",H57-I57)</f>
        <v>54</v>
      </c>
      <c r="K57" s="34" t="n">
        <f aca="false">IFERROR(J57/I57,"")</f>
        <v>0.26865671641791</v>
      </c>
      <c r="L57" s="32" t="n">
        <f aca="false">IFERROR(D57/C57,"")</f>
        <v>586.234234234234</v>
      </c>
      <c r="M57" s="32" t="n">
        <f aca="false">IFERROR(H57/D57*1000,"")</f>
        <v>3.91873616916646</v>
      </c>
      <c r="N57" s="32" t="n">
        <v>10852</v>
      </c>
      <c r="O57" s="33" t="n">
        <f aca="true">IFERROR(IF(OR(N57="",ISBLANK(INDIRECT("'"&amp;$Q$2&amp;"'!N"&amp;ROW()))),"",N57-INDIRECT("'"&amp;$Q$2&amp;"'!N"&amp;ROW())),"")</f>
        <v>-12</v>
      </c>
      <c r="P57" s="3"/>
      <c r="Q57" s="3"/>
      <c r="R57" s="3"/>
      <c r="S57" s="15" t="n">
        <f aca="true">IFERROR(IF(ISBLANK(INDIRECT("'"&amp;$Q$2&amp;"'!G"&amp;ROW())),"",INDIRECT("'"&amp;$Q$2&amp;"'!G"&amp;ROW())),"")</f>
        <v>-0.152516490609405</v>
      </c>
      <c r="T57" s="16" t="n">
        <f aca="false">IF(OR($G57="",$S57=""),"",$G57-$S57)</f>
        <v>0.361291777143687</v>
      </c>
      <c r="U57" s="15" t="n">
        <f aca="true">IFERROR(IF(ISBLANK(INDIRECT("'"&amp;$Q$2&amp;"'!K"&amp;ROW())),"",INDIRECT("'"&amp;$Q$2&amp;"'!K"&amp;ROW())),"")</f>
        <v>-0.192771084337349</v>
      </c>
      <c r="V57" s="16" t="n">
        <f aca="false">IF(OR($K57="",$U57=""),"",$K57-$U57)</f>
        <v>0.46142780075526</v>
      </c>
      <c r="W57" s="17" t="n">
        <f aca="true">IFERROR(IF(ISBLANK(INDIRECT("'"&amp;$Q$2&amp;"'!O"&amp;ROW())),"",INDIRECT("'"&amp;$Q$2&amp;"'!O"&amp;ROW())),"")</f>
        <v>-17</v>
      </c>
      <c r="X57" s="17" t="n">
        <f aca="false">IF(OR($O57="",$W57=""),"",$O57-$W57)</f>
        <v>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89</v>
      </c>
      <c r="D58" s="32" t="n">
        <v>18992</v>
      </c>
      <c r="E58" s="32" t="n">
        <f aca="true">IF($D58="","",IFERROR(IF(ISBLANK(INDIRECT("'"&amp;$Q$2&amp;"'!D"&amp;ROW())),"",INDIRECT("'"&amp;$Q$2&amp;"'!D"&amp;ROW())),""))</f>
        <v>18052</v>
      </c>
      <c r="F58" s="33" t="n">
        <f aca="false">IF(OR(D58="",E58=""),"",D58-E58)</f>
        <v>940</v>
      </c>
      <c r="G58" s="34" t="n">
        <f aca="false">IFERROR(F58/E58,"")</f>
        <v>0.052071792599158</v>
      </c>
      <c r="H58" s="32" t="n">
        <v>294</v>
      </c>
      <c r="I58" s="32" t="n">
        <f aca="true">IF($H58="","",IFERROR(IF(ISBLANK(INDIRECT("'"&amp;$Q$2&amp;"'!H"&amp;ROW())),"",INDIRECT("'"&amp;$Q$2&amp;"'!H"&amp;ROW())),""))</f>
        <v>315</v>
      </c>
      <c r="J58" s="33" t="n">
        <f aca="false">IF(OR(H58="",I58=""),"",H58-I58)</f>
        <v>-21</v>
      </c>
      <c r="K58" s="34" t="n">
        <f aca="false">IFERROR(J58/I58,"")</f>
        <v>-0.0666666666666667</v>
      </c>
      <c r="L58" s="32" t="n">
        <f aca="false">IFERROR(D58/C58,"")</f>
        <v>213.393258426966</v>
      </c>
      <c r="M58" s="32" t="n">
        <f aca="false">IFERROR(H58/D58*1000,"")</f>
        <v>15.480202190396</v>
      </c>
      <c r="N58" s="32" t="n">
        <v>4077</v>
      </c>
      <c r="O58" s="33" t="n">
        <f aca="true">IFERROR(IF(OR(N58="",ISBLANK(INDIRECT("'"&amp;$Q$2&amp;"'!N"&amp;ROW()))),"",N58-INDIRECT("'"&amp;$Q$2&amp;"'!N"&amp;ROW())),"")</f>
        <v>-18</v>
      </c>
      <c r="P58" s="3"/>
      <c r="Q58" s="3"/>
      <c r="R58" s="3"/>
      <c r="S58" s="15" t="n">
        <f aca="true">IFERROR(IF(ISBLANK(INDIRECT("'"&amp;$Q$2&amp;"'!G"&amp;ROW())),"",INDIRECT("'"&amp;$Q$2&amp;"'!G"&amp;ROW())),"")</f>
        <v>-0.167842161065782</v>
      </c>
      <c r="T58" s="16" t="n">
        <f aca="false">IF(OR($G58="",$S58=""),"",$G58-$S58)</f>
        <v>0.21991395366494</v>
      </c>
      <c r="U58" s="15" t="n">
        <f aca="true">IFERROR(IF(ISBLANK(INDIRECT("'"&amp;$Q$2&amp;"'!K"&amp;ROW())),"",INDIRECT("'"&amp;$Q$2&amp;"'!K"&amp;ROW())),"")</f>
        <v>-0.122562674094708</v>
      </c>
      <c r="V58" s="16" t="n">
        <f aca="false">IF(OR($K58="",$U58=""),"",$K58-$U58)</f>
        <v>0.0558960074280409</v>
      </c>
      <c r="W58" s="17" t="n">
        <f aca="true">IFERROR(IF(ISBLANK(INDIRECT("'"&amp;$Q$2&amp;"'!O"&amp;ROW())),"",INDIRECT("'"&amp;$Q$2&amp;"'!O"&amp;ROW())),"")</f>
        <v>-6</v>
      </c>
      <c r="X58" s="17" t="n">
        <f aca="false">IF(OR($O58="",$W58=""),"",$O58-$W58)</f>
        <v>-12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92</v>
      </c>
      <c r="D59" s="32" t="n">
        <v>30303</v>
      </c>
      <c r="E59" s="32" t="n">
        <f aca="true">IF($D59="","",IFERROR(IF(ISBLANK(INDIRECT("'"&amp;$Q$2&amp;"'!D"&amp;ROW())),"",INDIRECT("'"&amp;$Q$2&amp;"'!D"&amp;ROW())),""))</f>
        <v>29628</v>
      </c>
      <c r="F59" s="33" t="n">
        <f aca="false">IF(OR(D59="",E59=""),"",D59-E59)</f>
        <v>675</v>
      </c>
      <c r="G59" s="34" t="n">
        <f aca="false">IFERROR(F59/E59,"")</f>
        <v>0.0227825030376671</v>
      </c>
      <c r="H59" s="32" t="n">
        <v>212</v>
      </c>
      <c r="I59" s="32" t="n">
        <f aca="true">IF($H59="","",IFERROR(IF(ISBLANK(INDIRECT("'"&amp;$Q$2&amp;"'!H"&amp;ROW())),"",INDIRECT("'"&amp;$Q$2&amp;"'!H"&amp;ROW())),""))</f>
        <v>148</v>
      </c>
      <c r="J59" s="33" t="n">
        <f aca="false">IF(OR(H59="",I59=""),"",H59-I59)</f>
        <v>64</v>
      </c>
      <c r="K59" s="34" t="n">
        <f aca="false">IFERROR(J59/I59,"")</f>
        <v>0.432432432432432</v>
      </c>
      <c r="L59" s="32" t="n">
        <f aca="false">IFERROR(D59/C59,"")</f>
        <v>329.380434782609</v>
      </c>
      <c r="M59" s="32" t="n">
        <f aca="false">IFERROR(H59/D59*1000,"")</f>
        <v>6.996006996007</v>
      </c>
      <c r="N59" s="32" t="n">
        <v>5495</v>
      </c>
      <c r="O59" s="33" t="n">
        <f aca="true">IFERROR(IF(OR(N59="",ISBLANK(INDIRECT("'"&amp;$Q$2&amp;"'!N"&amp;ROW()))),"",N59-INDIRECT("'"&amp;$Q$2&amp;"'!N"&amp;ROW())),"")</f>
        <v>-9</v>
      </c>
      <c r="P59" s="3"/>
      <c r="Q59" s="3"/>
      <c r="R59" s="3"/>
      <c r="S59" s="15" t="n">
        <f aca="true">IFERROR(IF(ISBLANK(INDIRECT("'"&amp;$Q$2&amp;"'!G"&amp;ROW())),"",INDIRECT("'"&amp;$Q$2&amp;"'!G"&amp;ROW())),"")</f>
        <v>-0.123172536253329</v>
      </c>
      <c r="T59" s="16" t="n">
        <f aca="false">IF(OR($G59="",$S59=""),"",$G59-$S59)</f>
        <v>0.145955039290996</v>
      </c>
      <c r="U59" s="15" t="n">
        <f aca="true">IFERROR(IF(ISBLANK(INDIRECT("'"&amp;$Q$2&amp;"'!K"&amp;ROW())),"",INDIRECT("'"&amp;$Q$2&amp;"'!K"&amp;ROW())),"")</f>
        <v>-0.426356589147287</v>
      </c>
      <c r="V59" s="16" t="n">
        <f aca="false">IF(OR($K59="",$U59=""),"",$K59-$U59)</f>
        <v>0.858789021579719</v>
      </c>
      <c r="W59" s="17" t="n">
        <f aca="true">IFERROR(IF(ISBLANK(INDIRECT("'"&amp;$Q$2&amp;"'!O"&amp;ROW())),"",INDIRECT("'"&amp;$Q$2&amp;"'!O"&amp;ROW())),"")</f>
        <v>-15</v>
      </c>
      <c r="X59" s="17" t="n">
        <f aca="false">IF(OR($O59="",$W59=""),"",$O59-$W59)</f>
        <v>6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148</v>
      </c>
      <c r="D60" s="32" t="n">
        <v>63579</v>
      </c>
      <c r="E60" s="32" t="n">
        <f aca="true">IF($D60="","",IFERROR(IF(ISBLANK(INDIRECT("'"&amp;$Q$2&amp;"'!D"&amp;ROW())),"",INDIRECT("'"&amp;$Q$2&amp;"'!D"&amp;ROW())),""))</f>
        <v>89139</v>
      </c>
      <c r="F60" s="33" t="n">
        <f aca="false">IF(OR(D60="",E60=""),"",D60-E60)</f>
        <v>-25560</v>
      </c>
      <c r="G60" s="34" t="n">
        <f aca="false">IFERROR(F60/E60,"")</f>
        <v>-0.28674317638744</v>
      </c>
      <c r="H60" s="32" t="n">
        <v>285</v>
      </c>
      <c r="I60" s="32" t="n">
        <f aca="true">IF($H60="","",IFERROR(IF(ISBLANK(INDIRECT("'"&amp;$Q$2&amp;"'!H"&amp;ROW())),"",INDIRECT("'"&amp;$Q$2&amp;"'!H"&amp;ROW())),""))</f>
        <v>175</v>
      </c>
      <c r="J60" s="33" t="n">
        <f aca="false">IF(OR(H60="",I60=""),"",H60-I60)</f>
        <v>110</v>
      </c>
      <c r="K60" s="34" t="n">
        <f aca="false">IFERROR(J60/I60,"")</f>
        <v>0.628571428571429</v>
      </c>
      <c r="L60" s="32" t="n">
        <f aca="false">IFERROR(D60/C60,"")</f>
        <v>429.587837837838</v>
      </c>
      <c r="M60" s="32" t="n">
        <f aca="false">IFERROR(H60/D60*1000,"")</f>
        <v>4.48261218326806</v>
      </c>
      <c r="N60" s="32" t="n">
        <v>10350</v>
      </c>
      <c r="O60" s="33" t="n">
        <f aca="true">IFERROR(IF(OR(N60="",ISBLANK(INDIRECT("'"&amp;$Q$2&amp;"'!N"&amp;ROW()))),"",N60-INDIRECT("'"&amp;$Q$2&amp;"'!N"&amp;ROW())),"")</f>
        <v>-32</v>
      </c>
      <c r="P60" s="3"/>
      <c r="Q60" s="3"/>
      <c r="R60" s="3"/>
      <c r="S60" s="15" t="n">
        <f aca="true">IFERROR(IF(ISBLANK(INDIRECT("'"&amp;$Q$2&amp;"'!G"&amp;ROW())),"",INDIRECT("'"&amp;$Q$2&amp;"'!G"&amp;ROW())),"")</f>
        <v>0.444412036361869</v>
      </c>
      <c r="T60" s="16" t="n">
        <f aca="false">IF(OR($G60="",$S60=""),"",$G60-$S60)</f>
        <v>-0.731155212749309</v>
      </c>
      <c r="U60" s="15" t="n">
        <f aca="true">IFERROR(IF(ISBLANK(INDIRECT("'"&amp;$Q$2&amp;"'!K"&amp;ROW())),"",INDIRECT("'"&amp;$Q$2&amp;"'!K"&amp;ROW())),"")</f>
        <v>-0.326923076923077</v>
      </c>
      <c r="V60" s="16" t="n">
        <f aca="false">IF(OR($K60="",$U60=""),"",$K60-$U60)</f>
        <v>0.955494505494505</v>
      </c>
      <c r="W60" s="17" t="n">
        <f aca="true">IFERROR(IF(ISBLANK(INDIRECT("'"&amp;$Q$2&amp;"'!O"&amp;ROW())),"",INDIRECT("'"&amp;$Q$2&amp;"'!O"&amp;ROW())),"")</f>
        <v>-21</v>
      </c>
      <c r="X60" s="17" t="n">
        <f aca="false">IF(OR($O60="",$W60=""),"",$O60-$W60)</f>
        <v>-11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109</v>
      </c>
      <c r="D61" s="32" t="n">
        <v>13159</v>
      </c>
      <c r="E61" s="32" t="n">
        <f aca="true">IF($D61="","",IFERROR(IF(ISBLANK(INDIRECT("'"&amp;$Q$2&amp;"'!D"&amp;ROW())),"",INDIRECT("'"&amp;$Q$2&amp;"'!D"&amp;ROW())),""))</f>
        <v>12304</v>
      </c>
      <c r="F61" s="33" t="n">
        <f aca="false">IF(OR(D61="",E61=""),"",D61-E61)</f>
        <v>855</v>
      </c>
      <c r="G61" s="34" t="n">
        <f aca="false">IFERROR(F61/E61,"")</f>
        <v>0.0694895968790637</v>
      </c>
      <c r="H61" s="32" t="n">
        <v>237</v>
      </c>
      <c r="I61" s="32" t="n">
        <f aca="true">IF($H61="","",IFERROR(IF(ISBLANK(INDIRECT("'"&amp;$Q$2&amp;"'!H"&amp;ROW())),"",INDIRECT("'"&amp;$Q$2&amp;"'!H"&amp;ROW())),""))</f>
        <v>180</v>
      </c>
      <c r="J61" s="33" t="n">
        <f aca="false">IF(OR(H61="",I61=""),"",H61-I61)</f>
        <v>57</v>
      </c>
      <c r="K61" s="34" t="n">
        <f aca="false">IFERROR(J61/I61,"")</f>
        <v>0.316666666666667</v>
      </c>
      <c r="L61" s="32" t="n">
        <f aca="false">IFERROR(D61/C61,"")</f>
        <v>120.724770642202</v>
      </c>
      <c r="M61" s="32" t="n">
        <f aca="false">IFERROR(H61/D61*1000,"")</f>
        <v>18.010487119082</v>
      </c>
      <c r="N61" s="32" t="n">
        <v>2310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-0.11647278471923</v>
      </c>
      <c r="T61" s="16" t="n">
        <f aca="false">IF(OR($G61="",$S61=""),"",$G61-$S61)</f>
        <v>0.185962381598294</v>
      </c>
      <c r="U61" s="15" t="n">
        <f aca="true">IFERROR(IF(ISBLANK(INDIRECT("'"&amp;$Q$2&amp;"'!K"&amp;ROW())),"",INDIRECT("'"&amp;$Q$2&amp;"'!K"&amp;ROW())),"")</f>
        <v>0.0975609756097561</v>
      </c>
      <c r="V61" s="16" t="n">
        <f aca="false">IF(OR($K61="",$U61=""),"",$K61-$U61)</f>
        <v>0.219105691056911</v>
      </c>
      <c r="W61" s="17" t="n">
        <f aca="true">IFERROR(IF(ISBLANK(INDIRECT("'"&amp;$Q$2&amp;"'!O"&amp;ROW())),"",INDIRECT("'"&amp;$Q$2&amp;"'!O"&amp;ROW())),"")</f>
        <v>-3</v>
      </c>
      <c r="X61" s="17" t="n">
        <f aca="false">IF(OR($O61="",$W61=""),"",$O61-$W61)</f>
        <v>4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74</v>
      </c>
      <c r="D62" s="32" t="n">
        <v>34484</v>
      </c>
      <c r="E62" s="32" t="n">
        <f aca="true">IF($D62="","",IFERROR(IF(ISBLANK(INDIRECT("'"&amp;$Q$2&amp;"'!D"&amp;ROW())),"",INDIRECT("'"&amp;$Q$2&amp;"'!D"&amp;ROW())),""))</f>
        <v>4617</v>
      </c>
      <c r="F62" s="33" t="n">
        <f aca="false">IF(OR(D62="",E62=""),"",D62-E62)</f>
        <v>29867</v>
      </c>
      <c r="G62" s="34" t="n">
        <f aca="false">IFERROR(F62/E62,"")</f>
        <v>6.46891921160927</v>
      </c>
      <c r="H62" s="32" t="n">
        <v>72</v>
      </c>
      <c r="I62" s="32" t="n">
        <f aca="true">IF($H62="","",IFERROR(IF(ISBLANK(INDIRECT("'"&amp;$Q$2&amp;"'!H"&amp;ROW())),"",INDIRECT("'"&amp;$Q$2&amp;"'!H"&amp;ROW())),""))</f>
        <v>25</v>
      </c>
      <c r="J62" s="33" t="n">
        <f aca="false">IF(OR(H62="",I62=""),"",H62-I62)</f>
        <v>47</v>
      </c>
      <c r="K62" s="34" t="n">
        <f aca="false">IFERROR(J62/I62,"")</f>
        <v>1.88</v>
      </c>
      <c r="L62" s="32" t="n">
        <f aca="false">IFERROR(D62/C62,"")</f>
        <v>466</v>
      </c>
      <c r="M62" s="32" t="n">
        <f aca="false">IFERROR(H62/D62*1000,"")</f>
        <v>2.08792483470595</v>
      </c>
      <c r="N62" s="32" t="n">
        <v>1366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-0.120068610634648</v>
      </c>
      <c r="T62" s="16" t="n">
        <f aca="false">IF(OR($G62="",$S62=""),"",$G62-$S62)</f>
        <v>6.58898782224392</v>
      </c>
      <c r="U62" s="15" t="n">
        <f aca="true">IFERROR(IF(ISBLANK(INDIRECT("'"&amp;$Q$2&amp;"'!K"&amp;ROW())),"",INDIRECT("'"&amp;$Q$2&amp;"'!K"&amp;ROW())),"")</f>
        <v>0.388888888888889</v>
      </c>
      <c r="V62" s="16" t="n">
        <f aca="false">IF(OR($K62="",$U62=""),"",$K62-$U62)</f>
        <v>1.49111111111111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59</v>
      </c>
      <c r="D63" s="32" t="n">
        <v>18230</v>
      </c>
      <c r="E63" s="32" t="n">
        <f aca="true">IF($D63="","",IFERROR(IF(ISBLANK(INDIRECT("'"&amp;$Q$2&amp;"'!D"&amp;ROW())),"",INDIRECT("'"&amp;$Q$2&amp;"'!D"&amp;ROW())),""))</f>
        <v>17338</v>
      </c>
      <c r="F63" s="33" t="n">
        <f aca="false">IF(OR(D63="",E63=""),"",D63-E63)</f>
        <v>892</v>
      </c>
      <c r="G63" s="34" t="n">
        <f aca="false">IFERROR(F63/E63,"")</f>
        <v>0.0514476871611489</v>
      </c>
      <c r="H63" s="32" t="n">
        <v>33</v>
      </c>
      <c r="I63" s="32" t="n">
        <f aca="true">IF($H63="","",IFERROR(IF(ISBLANK(INDIRECT("'"&amp;$Q$2&amp;"'!H"&amp;ROW())),"",INDIRECT("'"&amp;$Q$2&amp;"'!H"&amp;ROW())),""))</f>
        <v>41</v>
      </c>
      <c r="J63" s="33" t="n">
        <f aca="false">IF(OR(H63="",I63=""),"",H63-I63)</f>
        <v>-8</v>
      </c>
      <c r="K63" s="34" t="n">
        <f aca="false">IFERROR(J63/I63,"")</f>
        <v>-0.195121951219512</v>
      </c>
      <c r="L63" s="32" t="n">
        <f aca="false">IFERROR(D63/C63,"")</f>
        <v>308.983050847458</v>
      </c>
      <c r="M63" s="32" t="n">
        <f aca="false">IFERROR(H63/D63*1000,"")</f>
        <v>1.8102029621503</v>
      </c>
      <c r="N63" s="32" t="n">
        <v>5593</v>
      </c>
      <c r="O63" s="33" t="n">
        <f aca="true">IFERROR(IF(OR(N63="",ISBLANK(INDIRECT("'"&amp;$Q$2&amp;"'!N"&amp;ROW()))),"",N63-INDIRECT("'"&amp;$Q$2&amp;"'!N"&amp;ROW())),"")</f>
        <v>-24</v>
      </c>
      <c r="P63" s="3"/>
      <c r="Q63" s="3"/>
      <c r="R63" s="3"/>
      <c r="S63" s="15" t="n">
        <f aca="true">IFERROR(IF(ISBLANK(INDIRECT("'"&amp;$Q$2&amp;"'!G"&amp;ROW())),"",INDIRECT("'"&amp;$Q$2&amp;"'!G"&amp;ROW())),"")</f>
        <v>-0.119406775356798</v>
      </c>
      <c r="T63" s="16" t="n">
        <f aca="false">IF(OR($G63="",$S63=""),"",$G63-$S63)</f>
        <v>0.170854462517947</v>
      </c>
      <c r="U63" s="15" t="n">
        <f aca="true">IFERROR(IF(ISBLANK(INDIRECT("'"&amp;$Q$2&amp;"'!K"&amp;ROW())),"",INDIRECT("'"&amp;$Q$2&amp;"'!K"&amp;ROW())),"")</f>
        <v>-0.293103448275862</v>
      </c>
      <c r="V63" s="16" t="n">
        <f aca="false">IF(OR($K63="",$U63=""),"",$K63-$U63)</f>
        <v>0.0979814970563498</v>
      </c>
      <c r="W63" s="17" t="n">
        <f aca="true">IFERROR(IF(ISBLANK(INDIRECT("'"&amp;$Q$2&amp;"'!O"&amp;ROW())),"",INDIRECT("'"&amp;$Q$2&amp;"'!O"&amp;ROW())),"")</f>
        <v>-17</v>
      </c>
      <c r="X63" s="17" t="n">
        <f aca="false">IF(OR($O63="",$W63=""),"",$O63-$W63)</f>
        <v>-7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60</v>
      </c>
      <c r="D64" s="32" t="n">
        <v>5962</v>
      </c>
      <c r="E64" s="32" t="n">
        <f aca="true">IF($D64="","",IFERROR(IF(ISBLANK(INDIRECT("'"&amp;$Q$2&amp;"'!D"&amp;ROW())),"",INDIRECT("'"&amp;$Q$2&amp;"'!D"&amp;ROW())),""))</f>
        <v>6371</v>
      </c>
      <c r="F64" s="33" t="n">
        <f aca="false">IF(OR(D64="",E64=""),"",D64-E64)</f>
        <v>-409</v>
      </c>
      <c r="G64" s="34" t="n">
        <f aca="false">IFERROR(F64/E64,"")</f>
        <v>-0.0641971433056035</v>
      </c>
      <c r="H64" s="32" t="n">
        <v>3</v>
      </c>
      <c r="I64" s="32" t="n">
        <f aca="true">IF($H64="","",IFERROR(IF(ISBLANK(INDIRECT("'"&amp;$Q$2&amp;"'!H"&amp;ROW())),"",INDIRECT("'"&amp;$Q$2&amp;"'!H"&amp;ROW())),""))</f>
        <v>10</v>
      </c>
      <c r="J64" s="33" t="n">
        <f aca="false">IF(OR(H64="",I64=""),"",H64-I64)</f>
        <v>-7</v>
      </c>
      <c r="K64" s="34" t="n">
        <f aca="false">IFERROR(J64/I64,"")</f>
        <v>-0.7</v>
      </c>
      <c r="L64" s="32" t="n">
        <f aca="false">IFERROR(D64/C64,"")</f>
        <v>99.3666666666667</v>
      </c>
      <c r="M64" s="32" t="n">
        <f aca="false">IFERROR(H64/D64*1000,"")</f>
        <v>0.503186850050319</v>
      </c>
      <c r="N64" s="32" t="n">
        <v>1814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n">
        <f aca="true">IFERROR(IF(ISBLANK(INDIRECT("'"&amp;$Q$2&amp;"'!G"&amp;ROW())),"",INDIRECT("'"&amp;$Q$2&amp;"'!G"&amp;ROW())),"")</f>
        <v>0.0146520146520147</v>
      </c>
      <c r="T64" s="16" t="n">
        <f aca="false">IF(OR($G64="",$S64=""),"",$G64-$S64)</f>
        <v>-0.0788491579576182</v>
      </c>
      <c r="U64" s="15" t="n">
        <f aca="true">IFERROR(IF(ISBLANK(INDIRECT("'"&amp;$Q$2&amp;"'!K"&amp;ROW())),"",INDIRECT("'"&amp;$Q$2&amp;"'!K"&amp;ROW())),"")</f>
        <v>0.25</v>
      </c>
      <c r="V64" s="16" t="n">
        <f aca="false">IF(OR($K64="",$U64=""),"",$K64-$U64)</f>
        <v>-0.95</v>
      </c>
      <c r="W64" s="17" t="n">
        <f aca="true">IFERROR(IF(ISBLANK(INDIRECT("'"&amp;$Q$2&amp;"'!O"&amp;ROW())),"",INDIRECT("'"&amp;$Q$2&amp;"'!O"&amp;ROW())),"")</f>
        <v>-1</v>
      </c>
      <c r="X64" s="17" t="n">
        <f aca="false">IF(OR($O64="",$W64=""),"",$O64-$W64)</f>
        <v>-2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29</v>
      </c>
      <c r="D65" s="32" t="n">
        <v>2812</v>
      </c>
      <c r="E65" s="32" t="n">
        <f aca="true">IF($D65="","",IFERROR(IF(ISBLANK(INDIRECT("'"&amp;$Q$2&amp;"'!D"&amp;ROW())),"",INDIRECT("'"&amp;$Q$2&amp;"'!D"&amp;ROW())),""))</f>
        <v>2768</v>
      </c>
      <c r="F65" s="33" t="n">
        <f aca="false">IF(OR(D65="",E65=""),"",D65-E65)</f>
        <v>44</v>
      </c>
      <c r="G65" s="34" t="n">
        <f aca="false">IFERROR(F65/E65,"")</f>
        <v>0.0158959537572254</v>
      </c>
      <c r="H65" s="32" t="n">
        <v>2</v>
      </c>
      <c r="I65" s="32" t="n">
        <f aca="true">IF($H65="","",IFERROR(IF(ISBLANK(INDIRECT("'"&amp;$Q$2&amp;"'!H"&amp;ROW())),"",INDIRECT("'"&amp;$Q$2&amp;"'!H"&amp;ROW())),""))</f>
        <v>7</v>
      </c>
      <c r="J65" s="33" t="n">
        <f aca="false">IF(OR(H65="",I65=""),"",H65-I65)</f>
        <v>-5</v>
      </c>
      <c r="K65" s="34" t="n">
        <f aca="false">IFERROR(J65/I65,"")</f>
        <v>-0.714285714285714</v>
      </c>
      <c r="L65" s="32" t="n">
        <f aca="false">IFERROR(D65/C65,"")</f>
        <v>96.9655172413793</v>
      </c>
      <c r="M65" s="32" t="n">
        <f aca="false">IFERROR(H65/D65*1000,"")</f>
        <v>0.711237553342817</v>
      </c>
      <c r="N65" s="32" t="n">
        <v>870</v>
      </c>
      <c r="O65" s="33" t="n">
        <f aca="true">IFERROR(IF(OR(N65="",ISBLANK(INDIRECT("'"&amp;$Q$2&amp;"'!N"&amp;ROW()))),"",N65-INDIRECT("'"&amp;$Q$2&amp;"'!N"&amp;ROW())),"")</f>
        <v>3</v>
      </c>
      <c r="P65" s="3"/>
      <c r="Q65" s="3"/>
      <c r="R65" s="3"/>
      <c r="S65" s="15" t="n">
        <f aca="true">IFERROR(IF(ISBLANK(INDIRECT("'"&amp;$Q$2&amp;"'!G"&amp;ROW())),"",INDIRECT("'"&amp;$Q$2&amp;"'!G"&amp;ROW())),"")</f>
        <v>-0.0243214663376806</v>
      </c>
      <c r="T65" s="16" t="n">
        <f aca="false">IF(OR($G65="",$S65=""),"",$G65-$S65)</f>
        <v>0.0402174200949061</v>
      </c>
      <c r="U65" s="15" t="n">
        <f aca="true">IFERROR(IF(ISBLANK(INDIRECT("'"&amp;$Q$2&amp;"'!K"&amp;ROW())),"",INDIRECT("'"&amp;$Q$2&amp;"'!K"&amp;ROW())),"")</f>
        <v>0.75</v>
      </c>
      <c r="V65" s="16" t="n">
        <f aca="false">IF(OR($K65="",$U65=""),"",$K65-$U65)</f>
        <v>-1.46428571428571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4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57</v>
      </c>
      <c r="D66" s="32" t="n">
        <v>4655</v>
      </c>
      <c r="E66" s="32" t="n">
        <f aca="true">IF($D66="","",IFERROR(IF(ISBLANK(INDIRECT("'"&amp;$Q$2&amp;"'!D"&amp;ROW())),"",INDIRECT("'"&amp;$Q$2&amp;"'!D"&amp;ROW())),""))</f>
        <v>3567</v>
      </c>
      <c r="F66" s="33" t="n">
        <f aca="false">IF(OR(D66="",E66=""),"",D66-E66)</f>
        <v>1088</v>
      </c>
      <c r="G66" s="34" t="n">
        <f aca="false">IFERROR(F66/E66,"")</f>
        <v>0.305018222596019</v>
      </c>
      <c r="H66" s="32" t="n">
        <v>7</v>
      </c>
      <c r="I66" s="32" t="n">
        <f aca="true">IF($H66="","",IFERROR(IF(ISBLANK(INDIRECT("'"&amp;$Q$2&amp;"'!H"&amp;ROW())),"",INDIRECT("'"&amp;$Q$2&amp;"'!H"&amp;ROW())),""))</f>
        <v>4</v>
      </c>
      <c r="J66" s="33" t="n">
        <f aca="false">IF(OR(H66="",I66=""),"",H66-I66)</f>
        <v>3</v>
      </c>
      <c r="K66" s="34" t="n">
        <f aca="false">IFERROR(J66/I66,"")</f>
        <v>0.75</v>
      </c>
      <c r="L66" s="32" t="n">
        <f aca="false">IFERROR(D66/C66,"")</f>
        <v>81.6666666666667</v>
      </c>
      <c r="M66" s="32" t="n">
        <f aca="false">IFERROR(H66/D66*1000,"")</f>
        <v>1.50375939849624</v>
      </c>
      <c r="N66" s="32" t="n">
        <v>843</v>
      </c>
      <c r="O66" s="33" t="n">
        <f aca="true">IFERROR(IF(OR(N66="",ISBLANK(INDIRECT("'"&amp;$Q$2&amp;"'!N"&amp;ROW()))),"",N66-INDIRECT("'"&amp;$Q$2&amp;"'!N"&amp;ROW())),"")</f>
        <v>-3</v>
      </c>
      <c r="P66" s="3"/>
      <c r="Q66" s="3"/>
      <c r="R66" s="3"/>
      <c r="S66" s="15" t="n">
        <f aca="true">IFERROR(IF(ISBLANK(INDIRECT("'"&amp;$Q$2&amp;"'!G"&amp;ROW())),"",INDIRECT("'"&amp;$Q$2&amp;"'!G"&amp;ROW())),"")</f>
        <v>-0.101284958427816</v>
      </c>
      <c r="T66" s="16" t="n">
        <f aca="false">IF(OR($G66="",$S66=""),"",$G66-$S66)</f>
        <v>0.406303181023835</v>
      </c>
      <c r="U66" s="15" t="n">
        <f aca="true">IFERROR(IF(ISBLANK(INDIRECT("'"&amp;$Q$2&amp;"'!K"&amp;ROW())),"",INDIRECT("'"&amp;$Q$2&amp;"'!K"&amp;ROW())),"")</f>
        <v>-0.636363636363636</v>
      </c>
      <c r="V66" s="16" t="n">
        <f aca="false">IF(OR($K66="",$U66=""),"",$K66-$U66)</f>
        <v>1.38636363636364</v>
      </c>
      <c r="W66" s="17" t="n">
        <f aca="true">IFERROR(IF(ISBLANK(INDIRECT("'"&amp;$Q$2&amp;"'!O"&amp;ROW())),"",INDIRECT("'"&amp;$Q$2&amp;"'!O"&amp;ROW())),"")</f>
        <v>-1</v>
      </c>
      <c r="X66" s="17" t="n">
        <f aca="false">IF(OR($O66="",$W66=""),"",$O66-$W66)</f>
        <v>-2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53</v>
      </c>
      <c r="D67" s="32" t="n">
        <v>5889</v>
      </c>
      <c r="E67" s="32" t="n">
        <f aca="true">IF($D67="","",IFERROR(IF(ISBLANK(INDIRECT("'"&amp;$Q$2&amp;"'!D"&amp;ROW())),"",INDIRECT("'"&amp;$Q$2&amp;"'!D"&amp;ROW())),""))</f>
        <v>6156</v>
      </c>
      <c r="F67" s="33" t="n">
        <f aca="false">IF(OR(D67="",E67=""),"",D67-E67)</f>
        <v>-267</v>
      </c>
      <c r="G67" s="34" t="n">
        <f aca="false">IFERROR(F67/E67,"")</f>
        <v>-0.0433723196881092</v>
      </c>
      <c r="H67" s="32" t="n">
        <v>22</v>
      </c>
      <c r="I67" s="32" t="n">
        <f aca="true">IF($H67="","",IFERROR(IF(ISBLANK(INDIRECT("'"&amp;$Q$2&amp;"'!H"&amp;ROW())),"",INDIRECT("'"&amp;$Q$2&amp;"'!H"&amp;ROW())),""))</f>
        <v>38</v>
      </c>
      <c r="J67" s="33" t="n">
        <f aca="false">IF(OR(H67="",I67=""),"",H67-I67)</f>
        <v>-16</v>
      </c>
      <c r="K67" s="34" t="n">
        <f aca="false">IFERROR(J67/I67,"")</f>
        <v>-0.421052631578947</v>
      </c>
      <c r="L67" s="32" t="n">
        <f aca="false">IFERROR(D67/C67,"")</f>
        <v>111.11320754717</v>
      </c>
      <c r="M67" s="32" t="n">
        <f aca="false">IFERROR(H67/D67*1000,"")</f>
        <v>3.73577857021566</v>
      </c>
      <c r="N67" s="32" t="n">
        <v>1157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-0.0696690343055765</v>
      </c>
      <c r="T67" s="16" t="n">
        <f aca="false">IF(OR($G67="",$S67=""),"",$G67-$S67)</f>
        <v>0.0262967146174674</v>
      </c>
      <c r="U67" s="15" t="n">
        <f aca="true">IFERROR(IF(ISBLANK(INDIRECT("'"&amp;$Q$2&amp;"'!K"&amp;ROW())),"",INDIRECT("'"&amp;$Q$2&amp;"'!K"&amp;ROW())),"")</f>
        <v>-0.457142857142857</v>
      </c>
      <c r="V67" s="16" t="n">
        <f aca="false">IF(OR($K67="",$U67=""),"",$K67-$U67)</f>
        <v>0.0360902255639098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22001</v>
      </c>
      <c r="E68" s="32" t="n">
        <f aca="true">IF($D68="","",IFERROR(IF(ISBLANK(INDIRECT("'"&amp;$Q$2&amp;"'!D"&amp;ROW())),"",INDIRECT("'"&amp;$Q$2&amp;"'!D"&amp;ROW())),""))</f>
        <v>20849</v>
      </c>
      <c r="F68" s="33" t="n">
        <f aca="false">IF(OR(D68="",E68=""),"",D68-E68)</f>
        <v>1152</v>
      </c>
      <c r="G68" s="34" t="n">
        <f aca="false">IFERROR(F68/E68,"")</f>
        <v>0.0552544486546117</v>
      </c>
      <c r="H68" s="32" t="n">
        <v>65</v>
      </c>
      <c r="I68" s="32" t="n">
        <f aca="true">IF($H68="","",IFERROR(IF(ISBLANK(INDIRECT("'"&amp;$Q$2&amp;"'!H"&amp;ROW())),"",INDIRECT("'"&amp;$Q$2&amp;"'!H"&amp;ROW())),""))</f>
        <v>54</v>
      </c>
      <c r="J68" s="33" t="n">
        <f aca="false">IF(OR(H68="",I68=""),"",H68-I68)</f>
        <v>11</v>
      </c>
      <c r="K68" s="34" t="n">
        <f aca="false">IFERROR(J68/I68,"")</f>
        <v>0.203703703703704</v>
      </c>
      <c r="L68" s="32" t="n">
        <f aca="false">IFERROR(D68/C68,"")</f>
        <v>338.476923076923</v>
      </c>
      <c r="M68" s="32" t="n">
        <f aca="false">IFERROR(H68/D68*1000,"")</f>
        <v>2.95441116312895</v>
      </c>
      <c r="N68" s="32" t="n">
        <v>4417</v>
      </c>
      <c r="O68" s="33" t="n">
        <f aca="true">IFERROR(IF(OR(N68="",ISBLANK(INDIRECT("'"&amp;$Q$2&amp;"'!N"&amp;ROW()))),"",N68-INDIRECT("'"&amp;$Q$2&amp;"'!N"&amp;ROW())),"")</f>
        <v>23</v>
      </c>
      <c r="P68" s="3"/>
      <c r="Q68" s="3"/>
      <c r="R68" s="3"/>
      <c r="S68" s="15" t="n">
        <f aca="true">IFERROR(IF(ISBLANK(INDIRECT("'"&amp;$Q$2&amp;"'!G"&amp;ROW())),"",INDIRECT("'"&amp;$Q$2&amp;"'!G"&amp;ROW())),"")</f>
        <v>0.0536183545583182</v>
      </c>
      <c r="T68" s="16" t="n">
        <f aca="false">IF(OR($G68="",$S68=""),"",$G68-$S68)</f>
        <v>0.00163609409629356</v>
      </c>
      <c r="U68" s="15" t="n">
        <f aca="true">IFERROR(IF(ISBLANK(INDIRECT("'"&amp;$Q$2&amp;"'!K"&amp;ROW())),"",INDIRECT("'"&amp;$Q$2&amp;"'!K"&amp;ROW())),"")</f>
        <v>-0.357142857142857</v>
      </c>
      <c r="V68" s="16" t="n">
        <f aca="false">IF(OR($K68="",$U68=""),"",$K68-$U68)</f>
        <v>0.560846560846561</v>
      </c>
      <c r="W68" s="17" t="n">
        <f aca="true">IFERROR(IF(ISBLANK(INDIRECT("'"&amp;$Q$2&amp;"'!O"&amp;ROW())),"",INDIRECT("'"&amp;$Q$2&amp;"'!O"&amp;ROW())),"")</f>
        <v>-7</v>
      </c>
      <c r="X68" s="17" t="n">
        <f aca="false">IF(OR($O68="",$W68=""),"",$O68-$W68)</f>
        <v>30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97</v>
      </c>
      <c r="D69" s="32" t="n">
        <v>39177</v>
      </c>
      <c r="E69" s="32" t="n">
        <f aca="true">IF($D69="","",IFERROR(IF(ISBLANK(INDIRECT("'"&amp;$Q$2&amp;"'!D"&amp;ROW())),"",INDIRECT("'"&amp;$Q$2&amp;"'!D"&amp;ROW())),""))</f>
        <v>38452</v>
      </c>
      <c r="F69" s="33" t="n">
        <f aca="false">IF(OR(D69="",E69=""),"",D69-E69)</f>
        <v>725</v>
      </c>
      <c r="G69" s="34" t="n">
        <f aca="false">IFERROR(F69/E69,"")</f>
        <v>0.018854675959638</v>
      </c>
      <c r="H69" s="32" t="n">
        <v>219</v>
      </c>
      <c r="I69" s="32" t="n">
        <f aca="true">IF($H69="","",IFERROR(IF(ISBLANK(INDIRECT("'"&amp;$Q$2&amp;"'!H"&amp;ROW())),"",INDIRECT("'"&amp;$Q$2&amp;"'!H"&amp;ROW())),""))</f>
        <v>260</v>
      </c>
      <c r="J69" s="33" t="n">
        <f aca="false">IF(OR(H69="",I69=""),"",H69-I69)</f>
        <v>-41</v>
      </c>
      <c r="K69" s="34" t="n">
        <f aca="false">IFERROR(J69/I69,"")</f>
        <v>-0.157692307692308</v>
      </c>
      <c r="L69" s="32" t="n">
        <f aca="false">IFERROR(D69/C69,"")</f>
        <v>403.886597938144</v>
      </c>
      <c r="M69" s="32" t="n">
        <f aca="false">IFERROR(H69/D69*1000,"")</f>
        <v>5.59001454935294</v>
      </c>
      <c r="N69" s="32" t="n">
        <v>5450</v>
      </c>
      <c r="O69" s="33" t="n">
        <f aca="true">IFERROR(IF(OR(N69="",ISBLANK(INDIRECT("'"&amp;$Q$2&amp;"'!N"&amp;ROW()))),"",N69-INDIRECT("'"&amp;$Q$2&amp;"'!N"&amp;ROW())),"")</f>
        <v>-13</v>
      </c>
      <c r="P69" s="3"/>
      <c r="Q69" s="3"/>
      <c r="R69" s="3"/>
      <c r="S69" s="15" t="n">
        <f aca="true">IFERROR(IF(ISBLANK(INDIRECT("'"&amp;$Q$2&amp;"'!G"&amp;ROW())),"",INDIRECT("'"&amp;$Q$2&amp;"'!G"&amp;ROW())),"")</f>
        <v>0.0349356731442106</v>
      </c>
      <c r="T69" s="16" t="n">
        <f aca="false">IF(OR($G69="",$S69=""),"",$G69-$S69)</f>
        <v>-0.0160809971845726</v>
      </c>
      <c r="U69" s="15" t="n">
        <f aca="true">IFERROR(IF(ISBLANK(INDIRECT("'"&amp;$Q$2&amp;"'!K"&amp;ROW())),"",INDIRECT("'"&amp;$Q$2&amp;"'!K"&amp;ROW())),"")</f>
        <v>0.192660550458716</v>
      </c>
      <c r="V69" s="16" t="n">
        <f aca="false">IF(OR($K69="",$U69=""),"",$K69-$U69)</f>
        <v>-0.350352858151023</v>
      </c>
      <c r="W69" s="17" t="n">
        <f aca="true">IFERROR(IF(ISBLANK(INDIRECT("'"&amp;$Q$2&amp;"'!O"&amp;ROW())),"",INDIRECT("'"&amp;$Q$2&amp;"'!O"&amp;ROW())),"")</f>
        <v>-24</v>
      </c>
      <c r="X69" s="17" t="n">
        <f aca="false">IF(OR($O69="",$W69=""),"",$O69-$W69)</f>
        <v>11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3776</v>
      </c>
      <c r="E70" s="32" t="n">
        <f aca="true">IF($D70="","",IFERROR(IF(ISBLANK(INDIRECT("'"&amp;$Q$2&amp;"'!D"&amp;ROW())),"",INDIRECT("'"&amp;$Q$2&amp;"'!D"&amp;ROW())),""))</f>
        <v>3792</v>
      </c>
      <c r="F70" s="33" t="n">
        <f aca="false">IF(OR(D70="",E70=""),"",D70-E70)</f>
        <v>-16</v>
      </c>
      <c r="G70" s="34" t="n">
        <f aca="false">IFERROR(F70/E70,"")</f>
        <v>-0.00421940928270042</v>
      </c>
      <c r="H70" s="32" t="n">
        <v>1</v>
      </c>
      <c r="I70" s="32" t="n">
        <f aca="true">IF($H70="","",IFERROR(IF(ISBLANK(INDIRECT("'"&amp;$Q$2&amp;"'!H"&amp;ROW())),"",INDIRECT("'"&amp;$Q$2&amp;"'!H"&amp;ROW())),""))</f>
        <v>3</v>
      </c>
      <c r="J70" s="33" t="n">
        <f aca="false">IF(OR(H70="",I70=""),"",H70-I70)</f>
        <v>-2</v>
      </c>
      <c r="K70" s="34" t="n">
        <f aca="false">IFERROR(J70/I70,"")</f>
        <v>-0.666666666666667</v>
      </c>
      <c r="L70" s="32" t="n">
        <f aca="false">IFERROR(D70/C70,"")</f>
        <v>16.8571428571429</v>
      </c>
      <c r="M70" s="32" t="n">
        <f aca="false">IFERROR(H70/D70*1000,"")</f>
        <v>0.264830508474576</v>
      </c>
      <c r="N70" s="32" t="n">
        <v>687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-0.057888198757764</v>
      </c>
      <c r="T70" s="16" t="n">
        <f aca="false">IF(OR($G70="",$S70=""),"",$G70-$S70)</f>
        <v>0.0536687894750636</v>
      </c>
      <c r="U70" s="15" t="n">
        <f aca="true">IFERROR(IF(ISBLANK(INDIRECT("'"&amp;$Q$2&amp;"'!K"&amp;ROW())),"",INDIRECT("'"&amp;$Q$2&amp;"'!K"&amp;ROW())),"")</f>
        <v>0.5</v>
      </c>
      <c r="V70" s="16" t="n">
        <f aca="false">IF(OR($K70="",$U70=""),"",$K70-$U70)</f>
        <v>-1.16666666666667</v>
      </c>
      <c r="W70" s="17" t="n">
        <f aca="true">IFERROR(IF(ISBLANK(INDIRECT("'"&amp;$Q$2&amp;"'!O"&amp;ROW())),"",INDIRECT("'"&amp;$Q$2&amp;"'!O"&amp;ROW())),"")</f>
        <v>-2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25</v>
      </c>
      <c r="D71" s="32" t="n">
        <v>4965</v>
      </c>
      <c r="E71" s="32" t="n">
        <f aca="true">IF($D71="","",IFERROR(IF(ISBLANK(INDIRECT("'"&amp;$Q$2&amp;"'!D"&amp;ROW())),"",INDIRECT("'"&amp;$Q$2&amp;"'!D"&amp;ROW())),""))</f>
        <v>4262</v>
      </c>
      <c r="F71" s="33" t="n">
        <f aca="false">IF(OR(D71="",E71=""),"",D71-E71)</f>
        <v>703</v>
      </c>
      <c r="G71" s="34" t="n">
        <f aca="false">IFERROR(F71/E71,"")</f>
        <v>0.164946034725481</v>
      </c>
      <c r="H71" s="32" t="n">
        <v>610</v>
      </c>
      <c r="I71" s="32" t="n">
        <f aca="true">IF($H71="","",IFERROR(IF(ISBLANK(INDIRECT("'"&amp;$Q$2&amp;"'!H"&amp;ROW())),"",INDIRECT("'"&amp;$Q$2&amp;"'!H"&amp;ROW())),""))</f>
        <v>492</v>
      </c>
      <c r="J71" s="33" t="n">
        <f aca="false">IF(OR(H71="",I71=""),"",H71-I71)</f>
        <v>118</v>
      </c>
      <c r="K71" s="34" t="n">
        <f aca="false">IFERROR(J71/I71,"")</f>
        <v>0.239837398373984</v>
      </c>
      <c r="L71" s="32" t="n">
        <f aca="false">IFERROR(D71/C71,"")</f>
        <v>198.6</v>
      </c>
      <c r="M71" s="32" t="n">
        <f aca="false">IFERROR(H71/D71*1000,"")</f>
        <v>122.860020140987</v>
      </c>
      <c r="N71" s="32" t="n">
        <v>2470</v>
      </c>
      <c r="O71" s="33" t="n">
        <f aca="true">IFERROR(IF(OR(N71="",ISBLANK(INDIRECT("'"&amp;$Q$2&amp;"'!N"&amp;ROW()))),"",N71-INDIRECT("'"&amp;$Q$2&amp;"'!N"&amp;ROW())),"")</f>
        <v>-10</v>
      </c>
      <c r="P71" s="3"/>
      <c r="Q71" s="3"/>
      <c r="R71" s="3"/>
      <c r="S71" s="15" t="n">
        <f aca="true">IFERROR(IF(ISBLANK(INDIRECT("'"&amp;$Q$2&amp;"'!G"&amp;ROW())),"",INDIRECT("'"&amp;$Q$2&amp;"'!G"&amp;ROW())),"")</f>
        <v>0.0205938697318008</v>
      </c>
      <c r="T71" s="16" t="n">
        <f aca="false">IF(OR($G71="",$S71=""),"",$G71-$S71)</f>
        <v>0.14435216499368</v>
      </c>
      <c r="U71" s="15" t="n">
        <f aca="true">IFERROR(IF(ISBLANK(INDIRECT("'"&amp;$Q$2&amp;"'!K"&amp;ROW())),"",INDIRECT("'"&amp;$Q$2&amp;"'!K"&amp;ROW())),"")</f>
        <v>0.0957683741648107</v>
      </c>
      <c r="V71" s="16" t="n">
        <f aca="false">IF(OR($K71="",$U71=""),"",$K71-$U71)</f>
        <v>0.144069024209173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-9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231</v>
      </c>
      <c r="E72" s="32" t="n">
        <f aca="true">IF($D72="","",IFERROR(IF(ISBLANK(INDIRECT("'"&amp;$Q$2&amp;"'!D"&amp;ROW())),"",INDIRECT("'"&amp;$Q$2&amp;"'!D"&amp;ROW())),""))</f>
        <v>178</v>
      </c>
      <c r="F72" s="33" t="n">
        <f aca="false">IF(OR(D72="",E72=""),"",D72-E72)</f>
        <v>53</v>
      </c>
      <c r="G72" s="34" t="n">
        <f aca="false">IFERROR(F72/E72,"")</f>
        <v>0.297752808988764</v>
      </c>
      <c r="H72" s="32" t="n">
        <v>31</v>
      </c>
      <c r="I72" s="32" t="n">
        <f aca="true">IF($H72="","",IFERROR(IF(ISBLANK(INDIRECT("'"&amp;$Q$2&amp;"'!H"&amp;ROW())),"",INDIRECT("'"&amp;$Q$2&amp;"'!H"&amp;ROW())),""))</f>
        <v>45</v>
      </c>
      <c r="J72" s="33" t="n">
        <f aca="false">IF(OR(H72="",I72=""),"",H72-I72)</f>
        <v>-14</v>
      </c>
      <c r="K72" s="34" t="n">
        <f aca="false">IFERROR(J72/I72,"")</f>
        <v>-0.311111111111111</v>
      </c>
      <c r="L72" s="32" t="n">
        <f aca="false">IFERROR(D72/C72,"")</f>
        <v>25.6666666666667</v>
      </c>
      <c r="M72" s="32" t="n">
        <f aca="false">IFERROR(H72/D72*1000,"")</f>
        <v>134.199134199134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0.0348837209302326</v>
      </c>
      <c r="T72" s="16" t="n">
        <f aca="false">IF(OR($G72="",$S72=""),"",$G72-$S72)</f>
        <v>0.262869088058532</v>
      </c>
      <c r="U72" s="15" t="n">
        <f aca="true">IFERROR(IF(ISBLANK(INDIRECT("'"&amp;$Q$2&amp;"'!K"&amp;ROW())),"",INDIRECT("'"&amp;$Q$2&amp;"'!K"&amp;ROW())),"")</f>
        <v>0.666666666666667</v>
      </c>
      <c r="V72" s="16" t="n">
        <f aca="false">IF(OR($K72="",$U72=""),"",$K72-$U72)</f>
        <v>-0.977777777777778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0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2650</v>
      </c>
      <c r="E73" s="32" t="n">
        <f aca="true">IF($D73="","",IFERROR(IF(ISBLANK(INDIRECT("'"&amp;$Q$2&amp;"'!D"&amp;ROW())),"",INDIRECT("'"&amp;$Q$2&amp;"'!D"&amp;ROW())),""))</f>
        <v>1066</v>
      </c>
      <c r="F73" s="33" t="n">
        <f aca="false">IF(OR(D73="",E73=""),"",D73-E73)</f>
        <v>1584</v>
      </c>
      <c r="G73" s="34" t="n">
        <f aca="false">IFERROR(F73/E73,"")</f>
        <v>1.4859287054409</v>
      </c>
      <c r="H73" s="32" t="n">
        <v>16</v>
      </c>
      <c r="I73" s="32" t="n">
        <f aca="true">IF($H73="","",IFERROR(IF(ISBLANK(INDIRECT("'"&amp;$Q$2&amp;"'!H"&amp;ROW())),"",INDIRECT("'"&amp;$Q$2&amp;"'!H"&amp;ROW())),""))</f>
        <v>22</v>
      </c>
      <c r="J73" s="33" t="n">
        <f aca="false">IF(OR(H73="",I73=""),"",H73-I73)</f>
        <v>-6</v>
      </c>
      <c r="K73" s="34" t="n">
        <f aca="false">IFERROR(J73/I73,"")</f>
        <v>-0.272727272727273</v>
      </c>
      <c r="L73" s="32" t="n">
        <f aca="false">IFERROR(D73/C73,"")</f>
        <v>331.25</v>
      </c>
      <c r="M73" s="32" t="n">
        <f aca="false">IFERROR(H73/D73*1000,"")</f>
        <v>6.0377358490566</v>
      </c>
      <c r="N73" s="32" t="n">
        <v>58</v>
      </c>
      <c r="O73" s="33" t="n">
        <f aca="true">IFERROR(IF(OR(N73="",ISBLANK(INDIRECT("'"&amp;$Q$2&amp;"'!N"&amp;ROW()))),"",N73-INDIRECT("'"&amp;$Q$2&amp;"'!N"&amp;ROW())),"")</f>
        <v>2</v>
      </c>
      <c r="P73" s="3"/>
      <c r="Q73" s="3"/>
      <c r="R73" s="3"/>
      <c r="S73" s="15" t="n">
        <f aca="true">IFERROR(IF(ISBLANK(INDIRECT("'"&amp;$Q$2&amp;"'!G"&amp;ROW())),"",INDIRECT("'"&amp;$Q$2&amp;"'!G"&amp;ROW())),"")</f>
        <v>-0.422535211267606</v>
      </c>
      <c r="T73" s="16" t="n">
        <f aca="false">IF(OR($G73="",$S73=""),"",$G73-$S73)</f>
        <v>1.90846391670851</v>
      </c>
      <c r="U73" s="15" t="n">
        <f aca="true">IFERROR(IF(ISBLANK(INDIRECT("'"&amp;$Q$2&amp;"'!K"&amp;ROW())),"",INDIRECT("'"&amp;$Q$2&amp;"'!K"&amp;ROW())),"")</f>
        <v>-0.463414634146342</v>
      </c>
      <c r="V73" s="16" t="n">
        <f aca="false">IF(OR($K73="",$U73=""),"",$K73-$U73)</f>
        <v>0.190687361419069</v>
      </c>
      <c r="W73" s="17" t="n">
        <f aca="true">IFERROR(IF(ISBLANK(INDIRECT("'"&amp;$Q$2&amp;"'!O"&amp;ROW())),"",INDIRECT("'"&amp;$Q$2&amp;"'!O"&amp;ROW())),"")</f>
        <v>-1</v>
      </c>
      <c r="X73" s="17" t="n">
        <f aca="false">IF(OR($O73="",$W73=""),"",$O73-$W73)</f>
        <v>3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1677</v>
      </c>
      <c r="D74" s="36" t="n">
        <f aca="false">SUM(D52:D73)</f>
        <v>427060</v>
      </c>
      <c r="E74" s="36" t="n">
        <f aca="false">SUM(E52:E73)</f>
        <v>424843</v>
      </c>
      <c r="F74" s="37" t="n">
        <f aca="false">SUM(F52:F73)</f>
        <v>2217</v>
      </c>
      <c r="G74" s="38" t="n">
        <f aca="false">IF(C74=0,"",IFERROR(F74/E74,""))</f>
        <v>0.00521839832596983</v>
      </c>
      <c r="H74" s="36" t="n">
        <f aca="false">SUM(H52:H73)</f>
        <v>2736</v>
      </c>
      <c r="I74" s="36" t="n">
        <f aca="false">SUM(I52:I73)</f>
        <v>2377</v>
      </c>
      <c r="J74" s="37" t="n">
        <f aca="false">SUM(J52:J73)</f>
        <v>359</v>
      </c>
      <c r="K74" s="38" t="n">
        <f aca="false">IF(C74=0,"",IFERROR(J74/I74,""))</f>
        <v>0.151030710980227</v>
      </c>
      <c r="L74" s="36" t="n">
        <f aca="false">IFERROR(D74/C74,"")</f>
        <v>254.657125819917</v>
      </c>
      <c r="M74" s="36" t="n">
        <f aca="false">IFERROR(H74/D74*1000,"")</f>
        <v>6.40659392122887</v>
      </c>
      <c r="N74" s="36" t="n">
        <f aca="false">SUM(N52:N73)</f>
        <v>97774</v>
      </c>
      <c r="O74" s="37" t="n">
        <f aca="false">SUM(O52:O73)</f>
        <v>-164</v>
      </c>
      <c r="P74" s="3"/>
      <c r="Q74" s="3"/>
      <c r="R74" s="3"/>
      <c r="S74" s="23" t="n">
        <f aca="true">IFERROR(IF(ISBLANK(INDIRECT("'"&amp;$Q$2&amp;"'!G"&amp;ROW())),"",INDIRECT("'"&amp;$Q$2&amp;"'!G"&amp;ROW())),"")</f>
        <v>0.0120176846959728</v>
      </c>
      <c r="T74" s="24" t="n">
        <f aca="false">IF(OR($G74="",$S74=""),"",$G74-$S74)</f>
        <v>-0.006799286370003</v>
      </c>
      <c r="U74" s="23" t="n">
        <f aca="true">IFERROR(IF(ISBLANK(INDIRECT("'"&amp;$Q$2&amp;"'!K"&amp;ROW())),"",INDIRECT("'"&amp;$Q$2&amp;"'!K"&amp;ROW())),"")</f>
        <v>-0.110736999625889</v>
      </c>
      <c r="V74" s="24" t="n">
        <f aca="false">IF(OR($K74="",$U74=""),"",$K74-$U74)</f>
        <v>0.261767710606116</v>
      </c>
      <c r="W74" s="25" t="n">
        <f aca="true">IFERROR(IF(ISBLANK(INDIRECT("'"&amp;$Q$2&amp;"'!O"&amp;ROW())),"",INDIRECT("'"&amp;$Q$2&amp;"'!O"&amp;ROW())),"")</f>
        <v>-171</v>
      </c>
      <c r="X74" s="25" t="n">
        <f aca="false">IF(OR(C74=0,$O74="",$W74=""),"",$O74-$W74)</f>
        <v>7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144</v>
      </c>
      <c r="D75" s="32" t="n">
        <v>154908</v>
      </c>
      <c r="E75" s="32" t="n">
        <f aca="true">IF($D75="","",IFERROR(IF(ISBLANK(INDIRECT("'"&amp;$Q$2&amp;"'!D"&amp;ROW())),"",INDIRECT("'"&amp;$Q$2&amp;"'!D"&amp;ROW())),""))</f>
        <v>144944</v>
      </c>
      <c r="F75" s="33" t="n">
        <f aca="false">IF(OR(D75="",E75=""),"",D75-E75)</f>
        <v>9964</v>
      </c>
      <c r="G75" s="34" t="n">
        <f aca="false">IFERROR(F75/E75,"")</f>
        <v>0.0687437907053759</v>
      </c>
      <c r="H75" s="32" t="n">
        <v>1619</v>
      </c>
      <c r="I75" s="32" t="n">
        <f aca="true">IF($H75="","",IFERROR(IF(ISBLANK(INDIRECT("'"&amp;$Q$2&amp;"'!H"&amp;ROW())),"",INDIRECT("'"&amp;$Q$2&amp;"'!H"&amp;ROW())),""))</f>
        <v>1405</v>
      </c>
      <c r="J75" s="33" t="n">
        <f aca="false">IF(OR(H75="",I75=""),"",H75-I75)</f>
        <v>214</v>
      </c>
      <c r="K75" s="34" t="n">
        <f aca="false">IFERROR(J75/I75,"")</f>
        <v>0.152313167259786</v>
      </c>
      <c r="L75" s="32" t="n">
        <f aca="false">IFERROR(D75/C75,"")</f>
        <v>1075.75</v>
      </c>
      <c r="M75" s="32" t="n">
        <f aca="false">IFERROR(H75/D75*1000,"")</f>
        <v>10.4513646809719</v>
      </c>
      <c r="N75" s="32" t="n">
        <v>4563</v>
      </c>
      <c r="O75" s="33" t="n">
        <f aca="true">IFERROR(IF(OR(N75="",ISBLANK(INDIRECT("'"&amp;$Q$2&amp;"'!N"&amp;ROW()))),"",N75-INDIRECT("'"&amp;$Q$2&amp;"'!N"&amp;ROW())),"")</f>
        <v>68</v>
      </c>
      <c r="P75" s="3"/>
      <c r="Q75" s="3"/>
      <c r="R75" s="3"/>
      <c r="S75" s="15" t="n">
        <f aca="true">IFERROR(IF(ISBLANK(INDIRECT("'"&amp;$Q$2&amp;"'!G"&amp;ROW())),"",INDIRECT("'"&amp;$Q$2&amp;"'!G"&amp;ROW())),"")</f>
        <v>-0.0821623743818033</v>
      </c>
      <c r="T75" s="16" t="n">
        <f aca="false">IF(OR($G75="",$S75=""),"",$G75-$S75)</f>
        <v>0.150906165087179</v>
      </c>
      <c r="U75" s="15" t="n">
        <f aca="true">IFERROR(IF(ISBLANK(INDIRECT("'"&amp;$Q$2&amp;"'!K"&amp;ROW())),"",INDIRECT("'"&amp;$Q$2&amp;"'!K"&amp;ROW())),"")</f>
        <v>-0.0768725361366623</v>
      </c>
      <c r="V75" s="16" t="n">
        <f aca="false">IF(OR($K75="",$U75=""),"",$K75-$U75)</f>
        <v>0.229185703396449</v>
      </c>
      <c r="W75" s="17" t="n">
        <f aca="true">IFERROR(IF(ISBLANK(INDIRECT("'"&amp;$Q$2&amp;"'!O"&amp;ROW())),"",INDIRECT("'"&amp;$Q$2&amp;"'!O"&amp;ROW())),"")</f>
        <v>50</v>
      </c>
      <c r="X75" s="17" t="n">
        <f aca="false">IF(OR($O75="",$W75=""),"",$O75-$W75)</f>
        <v>18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140</v>
      </c>
      <c r="D76" s="32" t="n">
        <v>67463</v>
      </c>
      <c r="E76" s="32" t="n">
        <f aca="true">IF($D76="","",IFERROR(IF(ISBLANK(INDIRECT("'"&amp;$Q$2&amp;"'!D"&amp;ROW())),"",INDIRECT("'"&amp;$Q$2&amp;"'!D"&amp;ROW())),""))</f>
        <v>64457</v>
      </c>
      <c r="F76" s="33" t="n">
        <f aca="false">IF(OR(D76="",E76=""),"",D76-E76)</f>
        <v>3006</v>
      </c>
      <c r="G76" s="34" t="n">
        <f aca="false">IFERROR(F76/E76,"")</f>
        <v>0.0466357416572289</v>
      </c>
      <c r="H76" s="32" t="n">
        <v>307</v>
      </c>
      <c r="I76" s="32" t="n">
        <f aca="true">IF($H76="","",IFERROR(IF(ISBLANK(INDIRECT("'"&amp;$Q$2&amp;"'!H"&amp;ROW())),"",INDIRECT("'"&amp;$Q$2&amp;"'!H"&amp;ROW())),""))</f>
        <v>293</v>
      </c>
      <c r="J76" s="33" t="n">
        <f aca="false">IF(OR(H76="",I76=""),"",H76-I76)</f>
        <v>14</v>
      </c>
      <c r="K76" s="34" t="n">
        <f aca="false">IFERROR(J76/I76,"")</f>
        <v>0.0477815699658703</v>
      </c>
      <c r="L76" s="32" t="n">
        <f aca="false">IFERROR(D76/C76,"")</f>
        <v>481.878571428571</v>
      </c>
      <c r="M76" s="32" t="n">
        <f aca="false">IFERROR(H76/D76*1000,"")</f>
        <v>4.55064257444822</v>
      </c>
      <c r="N76" s="32" t="n">
        <v>2253</v>
      </c>
      <c r="O76" s="33" t="n">
        <f aca="true">IFERROR(IF(OR(N76="",ISBLANK(INDIRECT("'"&amp;$Q$2&amp;"'!N"&amp;ROW()))),"",N76-INDIRECT("'"&amp;$Q$2&amp;"'!N"&amp;ROW())),"")</f>
        <v>1</v>
      </c>
      <c r="P76" s="3"/>
      <c r="Q76" s="3"/>
      <c r="R76" s="3"/>
      <c r="S76" s="15" t="n">
        <f aca="true">IFERROR(IF(ISBLANK(INDIRECT("'"&amp;$Q$2&amp;"'!G"&amp;ROW())),"",INDIRECT("'"&amp;$Q$2&amp;"'!G"&amp;ROW())),"")</f>
        <v>-0.0856514646428825</v>
      </c>
      <c r="T76" s="16" t="n">
        <f aca="false">IF(OR($G76="",$S76=""),"",$G76-$S76)</f>
        <v>0.132287206300111</v>
      </c>
      <c r="U76" s="15" t="n">
        <f aca="true">IFERROR(IF(ISBLANK(INDIRECT("'"&amp;$Q$2&amp;"'!K"&amp;ROW())),"",INDIRECT("'"&amp;$Q$2&amp;"'!K"&amp;ROW())),"")</f>
        <v>-0.133136094674556</v>
      </c>
      <c r="V76" s="16" t="n">
        <f aca="false">IF(OR($K76="",$U76=""),"",$K76-$U76)</f>
        <v>0.180917664640427</v>
      </c>
      <c r="W76" s="17" t="n">
        <f aca="true">IFERROR(IF(ISBLANK(INDIRECT("'"&amp;$Q$2&amp;"'!O"&amp;ROW())),"",INDIRECT("'"&amp;$Q$2&amp;"'!O"&amp;ROW())),"")</f>
        <v>5</v>
      </c>
      <c r="X76" s="17" t="n">
        <f aca="false">IF(OR($O76="",$W76=""),"",$O76-$W76)</f>
        <v>-4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83</v>
      </c>
      <c r="D77" s="32" t="n">
        <v>5512</v>
      </c>
      <c r="E77" s="32" t="n">
        <f aca="true">IF($D77="","",IFERROR(IF(ISBLANK(INDIRECT("'"&amp;$Q$2&amp;"'!D"&amp;ROW())),"",INDIRECT("'"&amp;$Q$2&amp;"'!D"&amp;ROW())),""))</f>
        <v>5223</v>
      </c>
      <c r="F77" s="33" t="n">
        <f aca="false">IF(OR(D77="",E77=""),"",D77-E77)</f>
        <v>289</v>
      </c>
      <c r="G77" s="34" t="n">
        <f aca="false">IFERROR(F77/E77,"")</f>
        <v>0.0553321845682558</v>
      </c>
      <c r="H77" s="32" t="n">
        <v>11</v>
      </c>
      <c r="I77" s="32" t="n">
        <f aca="true">IF($H77="","",IFERROR(IF(ISBLANK(INDIRECT("'"&amp;$Q$2&amp;"'!H"&amp;ROW())),"",INDIRECT("'"&amp;$Q$2&amp;"'!H"&amp;ROW())),""))</f>
        <v>10</v>
      </c>
      <c r="J77" s="33" t="n">
        <f aca="false">IF(OR(H77="",I77=""),"",H77-I77)</f>
        <v>1</v>
      </c>
      <c r="K77" s="34" t="n">
        <f aca="false">IFERROR(J77/I77,"")</f>
        <v>0.1</v>
      </c>
      <c r="L77" s="32" t="n">
        <f aca="false">IFERROR(D77/C77,"")</f>
        <v>66.4096385542169</v>
      </c>
      <c r="M77" s="32" t="n">
        <f aca="false">IFERROR(H77/D77*1000,"")</f>
        <v>1.99564586357039</v>
      </c>
      <c r="N77" s="32" t="n">
        <v>283</v>
      </c>
      <c r="O77" s="33" t="n">
        <f aca="true">IFERROR(IF(OR(N77="",ISBLANK(INDIRECT("'"&amp;$Q$2&amp;"'!N"&amp;ROW()))),"",N77-INDIRECT("'"&amp;$Q$2&amp;"'!N"&amp;ROW())),"")</f>
        <v>2</v>
      </c>
      <c r="P77" s="3"/>
      <c r="Q77" s="3"/>
      <c r="R77" s="3"/>
      <c r="S77" s="15" t="n">
        <f aca="true">IFERROR(IF(ISBLANK(INDIRECT("'"&amp;$Q$2&amp;"'!G"&amp;ROW())),"",INDIRECT("'"&amp;$Q$2&amp;"'!G"&amp;ROW())),"")</f>
        <v>-0.197079169869331</v>
      </c>
      <c r="T77" s="16" t="n">
        <f aca="false">IF(OR($G77="",$S77=""),"",$G77-$S77)</f>
        <v>0.252411354437587</v>
      </c>
      <c r="U77" s="15" t="n">
        <f aca="true">IFERROR(IF(ISBLANK(INDIRECT("'"&amp;$Q$2&amp;"'!K"&amp;ROW())),"",INDIRECT("'"&amp;$Q$2&amp;"'!K"&amp;ROW())),"")</f>
        <v>-0.5</v>
      </c>
      <c r="V77" s="16" t="n">
        <f aca="false">IF(OR($K77="",$U77=""),"",$K77-$U77)</f>
        <v>0.6</v>
      </c>
      <c r="W77" s="17" t="n">
        <f aca="true">IFERROR(IF(ISBLANK(INDIRECT("'"&amp;$Q$2&amp;"'!O"&amp;ROW())),"",INDIRECT("'"&amp;$Q$2&amp;"'!O"&amp;ROW())),"")</f>
        <v>8</v>
      </c>
      <c r="X77" s="17" t="n">
        <f aca="false">IF(OR($O77="",$W77=""),"",$O77-$W77)</f>
        <v>-6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1203</v>
      </c>
      <c r="E78" s="32" t="n">
        <f aca="true">IF($D78="","",IFERROR(IF(ISBLANK(INDIRECT("'"&amp;$Q$2&amp;"'!D"&amp;ROW())),"",INDIRECT("'"&amp;$Q$2&amp;"'!D"&amp;ROW())),""))</f>
        <v>1172</v>
      </c>
      <c r="F78" s="33" t="n">
        <f aca="false">IF(OR(D78="",E78=""),"",D78-E78)</f>
        <v>31</v>
      </c>
      <c r="G78" s="34" t="n">
        <f aca="false">IFERROR(F78/E78,"")</f>
        <v>0.0264505119453925</v>
      </c>
      <c r="H78" s="32" t="n">
        <v>24</v>
      </c>
      <c r="I78" s="32" t="n">
        <f aca="true">IF($H78="","",IFERROR(IF(ISBLANK(INDIRECT("'"&amp;$Q$2&amp;"'!H"&amp;ROW())),"",INDIRECT("'"&amp;$Q$2&amp;"'!H"&amp;ROW())),""))</f>
        <v>23</v>
      </c>
      <c r="J78" s="33" t="n">
        <f aca="false">IF(OR(H78="",I78=""),"",H78-I78)</f>
        <v>1</v>
      </c>
      <c r="K78" s="34" t="n">
        <f aca="false">IFERROR(J78/I78,"")</f>
        <v>0.0434782608695652</v>
      </c>
      <c r="L78" s="32" t="n">
        <f aca="false">IFERROR(D78/C78,"")</f>
        <v>171.857142857143</v>
      </c>
      <c r="M78" s="32" t="n">
        <f aca="false">IFERROR(H78/D78*1000,"")</f>
        <v>19.9501246882793</v>
      </c>
      <c r="N78" s="32" t="n">
        <v>215</v>
      </c>
      <c r="O78" s="33" t="n">
        <f aca="true">IFERROR(IF(OR(N78="",ISBLANK(INDIRECT("'"&amp;$Q$2&amp;"'!N"&amp;ROW()))),"",N78-INDIRECT("'"&amp;$Q$2&amp;"'!N"&amp;ROW())),"")</f>
        <v>2</v>
      </c>
      <c r="P78" s="3"/>
      <c r="Q78" s="3"/>
      <c r="R78" s="3"/>
      <c r="S78" s="15" t="n">
        <f aca="true">IFERROR(IF(ISBLANK(INDIRECT("'"&amp;$Q$2&amp;"'!G"&amp;ROW())),"",INDIRECT("'"&amp;$Q$2&amp;"'!G"&amp;ROW())),"")</f>
        <v>0.418886198547216</v>
      </c>
      <c r="T78" s="16" t="n">
        <f aca="false">IF(OR($G78="",$S78=""),"",$G78-$S78)</f>
        <v>-0.392435686601823</v>
      </c>
      <c r="U78" s="15" t="n">
        <f aca="true">IFERROR(IF(ISBLANK(INDIRECT("'"&amp;$Q$2&amp;"'!K"&amp;ROW())),"",INDIRECT("'"&amp;$Q$2&amp;"'!K"&amp;ROW())),"")</f>
        <v>-0.378378378378378</v>
      </c>
      <c r="V78" s="16" t="n">
        <f aca="false">IF(OR($K78="",$U78=""),"",$K78-$U78)</f>
        <v>0.421856639247944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1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89</v>
      </c>
      <c r="E79" s="32" t="n">
        <f aca="true">IF($D79="","",IFERROR(IF(ISBLANK(INDIRECT("'"&amp;$Q$2&amp;"'!D"&amp;ROW())),"",INDIRECT("'"&amp;$Q$2&amp;"'!D"&amp;ROW())),""))</f>
        <v>148</v>
      </c>
      <c r="F79" s="33" t="n">
        <f aca="false">IF(OR(D79="",E79=""),"",D79-E79)</f>
        <v>-59</v>
      </c>
      <c r="G79" s="34" t="n">
        <f aca="false">IFERROR(F79/E79,"")</f>
        <v>-0.398648648648649</v>
      </c>
      <c r="H79" s="32" t="n">
        <v>0</v>
      </c>
      <c r="I79" s="32" t="n">
        <f aca="true">IF($H79="","",IFERROR(IF(ISBLANK(INDIRECT("'"&amp;$Q$2&amp;"'!H"&amp;ROW())),"",INDIRECT("'"&amp;$Q$2&amp;"'!H"&amp;ROW())),""))</f>
        <v>3</v>
      </c>
      <c r="J79" s="33" t="n">
        <f aca="false">IF(OR(H79="",I79=""),"",H79-I79)</f>
        <v>-3</v>
      </c>
      <c r="K79" s="34" t="n">
        <f aca="false">IFERROR(J79/I79,"")</f>
        <v>-1</v>
      </c>
      <c r="L79" s="32" t="n">
        <f aca="false">IFERROR(D79/C79,"")</f>
        <v>14.8333333333333</v>
      </c>
      <c r="M79" s="32" t="n">
        <f aca="false">IFERROR(H79/D79*1000,"")</f>
        <v>0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0.741176470588235</v>
      </c>
      <c r="T79" s="16" t="n">
        <f aca="false">IF(OR($G79="",$S79=""),"",$G79-$S79)</f>
        <v>-1.13982511923688</v>
      </c>
      <c r="U79" s="15" t="n">
        <f aca="true">IFERROR(IF(ISBLANK(INDIRECT("'"&amp;$Q$2&amp;"'!K"&amp;ROW())),"",INDIRECT("'"&amp;$Q$2&amp;"'!K"&amp;ROW())),"")</f>
        <v>2</v>
      </c>
      <c r="V79" s="16" t="n">
        <f aca="false">IF(OR($K79="",$U79=""),"",$K79-$U79)</f>
        <v>-3</v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109</v>
      </c>
      <c r="D80" s="32" t="n">
        <v>173061</v>
      </c>
      <c r="E80" s="32" t="n">
        <f aca="true">IF($D80="","",IFERROR(IF(ISBLANK(INDIRECT("'"&amp;$Q$2&amp;"'!D"&amp;ROW())),"",INDIRECT("'"&amp;$Q$2&amp;"'!D"&amp;ROW())),""))</f>
        <v>147796</v>
      </c>
      <c r="F80" s="33" t="n">
        <f aca="false">IF(OR(D80="",E80=""),"",D80-E80)</f>
        <v>25265</v>
      </c>
      <c r="G80" s="34" t="n">
        <f aca="false">IFERROR(F80/E80,"")</f>
        <v>0.17094508647054</v>
      </c>
      <c r="H80" s="32" t="n">
        <v>1575</v>
      </c>
      <c r="I80" s="32" t="n">
        <f aca="true">IF($H80="","",IFERROR(IF(ISBLANK(INDIRECT("'"&amp;$Q$2&amp;"'!H"&amp;ROW())),"",INDIRECT("'"&amp;$Q$2&amp;"'!H"&amp;ROW())),""))</f>
        <v>1392</v>
      </c>
      <c r="J80" s="33" t="n">
        <f aca="false">IF(OR(H80="",I80=""),"",H80-I80)</f>
        <v>183</v>
      </c>
      <c r="K80" s="34" t="n">
        <f aca="false">IFERROR(J80/I80,"")</f>
        <v>0.131465517241379</v>
      </c>
      <c r="L80" s="32" t="n">
        <f aca="false">IFERROR(D80/C80,"")</f>
        <v>1587.71559633028</v>
      </c>
      <c r="M80" s="32" t="n">
        <f aca="false">IFERROR(H80/D80*1000,"")</f>
        <v>9.10083727702949</v>
      </c>
      <c r="N80" s="32" t="n">
        <v>4398</v>
      </c>
      <c r="O80" s="33" t="n">
        <f aca="true">IFERROR(IF(OR(N80="",ISBLANK(INDIRECT("'"&amp;$Q$2&amp;"'!N"&amp;ROW()))),"",N80-INDIRECT("'"&amp;$Q$2&amp;"'!N"&amp;ROW())),"")</f>
        <v>25</v>
      </c>
      <c r="P80" s="3"/>
      <c r="Q80" s="3"/>
      <c r="R80" s="3"/>
      <c r="S80" s="15" t="n">
        <f aca="true">IFERROR(IF(ISBLANK(INDIRECT("'"&amp;$Q$2&amp;"'!G"&amp;ROW())),"",INDIRECT("'"&amp;$Q$2&amp;"'!G"&amp;ROW())),"")</f>
        <v>-0.104700751150957</v>
      </c>
      <c r="T80" s="16" t="n">
        <f aca="false">IF(OR($G80="",$S80=""),"",$G80-$S80)</f>
        <v>0.275645837621498</v>
      </c>
      <c r="U80" s="15" t="n">
        <f aca="true">IFERROR(IF(ISBLANK(INDIRECT("'"&amp;$Q$2&amp;"'!K"&amp;ROW())),"",INDIRECT("'"&amp;$Q$2&amp;"'!K"&amp;ROW())),"")</f>
        <v>-0.105398457583548</v>
      </c>
      <c r="V80" s="16" t="n">
        <f aca="false">IF(OR($K80="",$U80=""),"",$K80-$U80)</f>
        <v>0.236863974824927</v>
      </c>
      <c r="W80" s="17" t="n">
        <f aca="true">IFERROR(IF(ISBLANK(INDIRECT("'"&amp;$Q$2&amp;"'!O"&amp;ROW())),"",INDIRECT("'"&amp;$Q$2&amp;"'!O"&amp;ROW())),"")</f>
        <v>22</v>
      </c>
      <c r="X80" s="17" t="n">
        <f aca="false">IF(OR($O80="",$W80=""),"",$O80-$W80)</f>
        <v>3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84</v>
      </c>
      <c r="D81" s="32" t="n">
        <v>73321</v>
      </c>
      <c r="E81" s="32" t="n">
        <f aca="true">IF($D81="","",IFERROR(IF(ISBLANK(INDIRECT("'"&amp;$Q$2&amp;"'!D"&amp;ROW())),"",INDIRECT("'"&amp;$Q$2&amp;"'!D"&amp;ROW())),""))</f>
        <v>65875</v>
      </c>
      <c r="F81" s="33" t="n">
        <f aca="false">IF(OR(D81="",E81=""),"",D81-E81)</f>
        <v>7446</v>
      </c>
      <c r="G81" s="34" t="n">
        <f aca="false">IFERROR(F81/E81,"")</f>
        <v>0.113032258064516</v>
      </c>
      <c r="H81" s="32" t="n">
        <v>1449</v>
      </c>
      <c r="I81" s="32" t="n">
        <f aca="true">IF($H81="","",IFERROR(IF(ISBLANK(INDIRECT("'"&amp;$Q$2&amp;"'!H"&amp;ROW())),"",INDIRECT("'"&amp;$Q$2&amp;"'!H"&amp;ROW())),""))</f>
        <v>1425</v>
      </c>
      <c r="J81" s="33" t="n">
        <f aca="false">IF(OR(H81="",I81=""),"",H81-I81)</f>
        <v>24</v>
      </c>
      <c r="K81" s="34" t="n">
        <f aca="false">IFERROR(J81/I81,"")</f>
        <v>0.0168421052631579</v>
      </c>
      <c r="L81" s="32" t="n">
        <f aca="false">IFERROR(D81/C81,"")</f>
        <v>872.869047619048</v>
      </c>
      <c r="M81" s="32" t="n">
        <f aca="false">IFERROR(H81/D81*1000,"")</f>
        <v>19.762414587908</v>
      </c>
      <c r="N81" s="32" t="n">
        <v>2556</v>
      </c>
      <c r="O81" s="33" t="n">
        <f aca="true">IFERROR(IF(OR(N81="",ISBLANK(INDIRECT("'"&amp;$Q$2&amp;"'!N"&amp;ROW()))),"",N81-INDIRECT("'"&amp;$Q$2&amp;"'!N"&amp;ROW())),"")</f>
        <v>20</v>
      </c>
      <c r="P81" s="3"/>
      <c r="Q81" s="3"/>
      <c r="R81" s="3"/>
      <c r="S81" s="15" t="n">
        <f aca="true">IFERROR(IF(ISBLANK(INDIRECT("'"&amp;$Q$2&amp;"'!G"&amp;ROW())),"",INDIRECT("'"&amp;$Q$2&amp;"'!G"&amp;ROW())),"")</f>
        <v>-0.178113810183279</v>
      </c>
      <c r="T81" s="16" t="n">
        <f aca="false">IF(OR($G81="",$S81=""),"",$G81-$S81)</f>
        <v>0.291146068247795</v>
      </c>
      <c r="U81" s="15" t="n">
        <f aca="true">IFERROR(IF(ISBLANK(INDIRECT("'"&amp;$Q$2&amp;"'!K"&amp;ROW())),"",INDIRECT("'"&amp;$Q$2&amp;"'!K"&amp;ROW())),"")</f>
        <v>-0.161271336080047</v>
      </c>
      <c r="V81" s="16" t="n">
        <f aca="false">IF(OR($K81="",$U81=""),"",$K81-$U81)</f>
        <v>0.178113441343205</v>
      </c>
      <c r="W81" s="17" t="n">
        <f aca="true">IFERROR(IF(ISBLANK(INDIRECT("'"&amp;$Q$2&amp;"'!O"&amp;ROW())),"",INDIRECT("'"&amp;$Q$2&amp;"'!O"&amp;ROW())),"")</f>
        <v>23</v>
      </c>
      <c r="X81" s="17" t="n">
        <f aca="false">IF(OR($O81="",$W81=""),"",$O81-$W81)</f>
        <v>-3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94</v>
      </c>
      <c r="D82" s="32" t="n">
        <v>155131</v>
      </c>
      <c r="E82" s="32" t="n">
        <f aca="true">IF($D82="","",IFERROR(IF(ISBLANK(INDIRECT("'"&amp;$Q$2&amp;"'!D"&amp;ROW())),"",INDIRECT("'"&amp;$Q$2&amp;"'!D"&amp;ROW())),""))</f>
        <v>158096</v>
      </c>
      <c r="F82" s="33" t="n">
        <f aca="false">IF(OR(D82="",E82=""),"",D82-E82)</f>
        <v>-2965</v>
      </c>
      <c r="G82" s="34" t="n">
        <f aca="false">IFERROR(F82/E82,"")</f>
        <v>-0.0187544276895051</v>
      </c>
      <c r="H82" s="32" t="n">
        <v>3068</v>
      </c>
      <c r="I82" s="32" t="n">
        <f aca="true">IF($H82="","",IFERROR(IF(ISBLANK(INDIRECT("'"&amp;$Q$2&amp;"'!H"&amp;ROW())),"",INDIRECT("'"&amp;$Q$2&amp;"'!H"&amp;ROW())),""))</f>
        <v>3293</v>
      </c>
      <c r="J82" s="33" t="n">
        <f aca="false">IF(OR(H82="",I82=""),"",H82-I82)</f>
        <v>-225</v>
      </c>
      <c r="K82" s="34" t="n">
        <f aca="false">IFERROR(J82/I82,"")</f>
        <v>-0.0683267537200122</v>
      </c>
      <c r="L82" s="32" t="n">
        <f aca="false">IFERROR(D82/C82,"")</f>
        <v>1650.32978723404</v>
      </c>
      <c r="M82" s="32" t="n">
        <f aca="false">IFERROR(H82/D82*1000,"")</f>
        <v>19.7768337727469</v>
      </c>
      <c r="N82" s="32" t="n">
        <v>3846</v>
      </c>
      <c r="O82" s="33" t="n">
        <f aca="true">IFERROR(IF(OR(N82="",ISBLANK(INDIRECT("'"&amp;$Q$2&amp;"'!N"&amp;ROW()))),"",N82-INDIRECT("'"&amp;$Q$2&amp;"'!N"&amp;ROW())),"")</f>
        <v>35</v>
      </c>
      <c r="P82" s="3"/>
      <c r="Q82" s="3"/>
      <c r="R82" s="3"/>
      <c r="S82" s="15" t="n">
        <f aca="true">IFERROR(IF(ISBLANK(INDIRECT("'"&amp;$Q$2&amp;"'!G"&amp;ROW())),"",INDIRECT("'"&amp;$Q$2&amp;"'!G"&amp;ROW())),"")</f>
        <v>0.0257115607948979</v>
      </c>
      <c r="T82" s="16" t="n">
        <f aca="false">IF(OR($G82="",$S82=""),"",$G82-$S82)</f>
        <v>-0.044465988484403</v>
      </c>
      <c r="U82" s="15" t="n">
        <f aca="true">IFERROR(IF(ISBLANK(INDIRECT("'"&amp;$Q$2&amp;"'!K"&amp;ROW())),"",INDIRECT("'"&amp;$Q$2&amp;"'!K"&amp;ROW())),"")</f>
        <v>-0.000910194174757282</v>
      </c>
      <c r="V82" s="16" t="n">
        <f aca="false">IF(OR($K82="",$U82=""),"",$K82-$U82)</f>
        <v>-0.0674165595452549</v>
      </c>
      <c r="W82" s="17" t="n">
        <f aca="true">IFERROR(IF(ISBLANK(INDIRECT("'"&amp;$Q$2&amp;"'!O"&amp;ROW())),"",INDIRECT("'"&amp;$Q$2&amp;"'!O"&amp;ROW())),"")</f>
        <v>47</v>
      </c>
      <c r="X82" s="17" t="n">
        <f aca="false">IF(OR($O82="",$W82=""),"",$O82-$W82)</f>
        <v>-12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145</v>
      </c>
      <c r="D83" s="32" t="n">
        <v>89206</v>
      </c>
      <c r="E83" s="32" t="n">
        <f aca="true">IF($D83="","",IFERROR(IF(ISBLANK(INDIRECT("'"&amp;$Q$2&amp;"'!D"&amp;ROW())),"",INDIRECT("'"&amp;$Q$2&amp;"'!D"&amp;ROW())),""))</f>
        <v>79662</v>
      </c>
      <c r="F83" s="33" t="n">
        <f aca="false">IF(OR(D83="",E83=""),"",D83-E83)</f>
        <v>9544</v>
      </c>
      <c r="G83" s="34" t="n">
        <f aca="false">IFERROR(F83/E83,"")</f>
        <v>0.119806181115212</v>
      </c>
      <c r="H83" s="32" t="n">
        <v>691</v>
      </c>
      <c r="I83" s="32" t="n">
        <f aca="true">IF($H83="","",IFERROR(IF(ISBLANK(INDIRECT("'"&amp;$Q$2&amp;"'!H"&amp;ROW())),"",INDIRECT("'"&amp;$Q$2&amp;"'!H"&amp;ROW())),""))</f>
        <v>598</v>
      </c>
      <c r="J83" s="33" t="n">
        <f aca="false">IF(OR(H83="",I83=""),"",H83-I83)</f>
        <v>93</v>
      </c>
      <c r="K83" s="34" t="n">
        <f aca="false">IFERROR(J83/I83,"")</f>
        <v>0.155518394648829</v>
      </c>
      <c r="L83" s="32" t="n">
        <f aca="false">IFERROR(D83/C83,"")</f>
        <v>615.213793103448</v>
      </c>
      <c r="M83" s="32" t="n">
        <f aca="false">IFERROR(H83/D83*1000,"")</f>
        <v>7.74611573212564</v>
      </c>
      <c r="N83" s="32" t="n">
        <v>1848</v>
      </c>
      <c r="O83" s="33" t="n">
        <f aca="true">IFERROR(IF(OR(N83="",ISBLANK(INDIRECT("'"&amp;$Q$2&amp;"'!N"&amp;ROW()))),"",N83-INDIRECT("'"&amp;$Q$2&amp;"'!N"&amp;ROW())),"")</f>
        <v>33</v>
      </c>
      <c r="P83" s="3"/>
      <c r="Q83" s="3"/>
      <c r="R83" s="3"/>
      <c r="S83" s="15" t="n">
        <f aca="true">IFERROR(IF(ISBLANK(INDIRECT("'"&amp;$Q$2&amp;"'!G"&amp;ROW())),"",INDIRECT("'"&amp;$Q$2&amp;"'!G"&amp;ROW())),"")</f>
        <v>-0.0662931620525563</v>
      </c>
      <c r="T83" s="16" t="n">
        <f aca="false">IF(OR($G83="",$S83=""),"",$G83-$S83)</f>
        <v>0.186099343167768</v>
      </c>
      <c r="U83" s="15" t="n">
        <f aca="true">IFERROR(IF(ISBLANK(INDIRECT("'"&amp;$Q$2&amp;"'!K"&amp;ROW())),"",INDIRECT("'"&amp;$Q$2&amp;"'!K"&amp;ROW())),"")</f>
        <v>0.0952380952380952</v>
      </c>
      <c r="V83" s="16" t="n">
        <f aca="false">IF(OR($K83="",$U83=""),"",$K83-$U83)</f>
        <v>0.0602802994107342</v>
      </c>
      <c r="W83" s="17" t="n">
        <f aca="true">IFERROR(IF(ISBLANK(INDIRECT("'"&amp;$Q$2&amp;"'!O"&amp;ROW())),"",INDIRECT("'"&amp;$Q$2&amp;"'!O"&amp;ROW())),"")</f>
        <v>18</v>
      </c>
      <c r="X83" s="17" t="n">
        <f aca="false">IF(OR($O83="",$W83=""),"",$O83-$W83)</f>
        <v>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108</v>
      </c>
      <c r="D84" s="32" t="n">
        <v>27080</v>
      </c>
      <c r="E84" s="32" t="n">
        <f aca="true">IF($D84="","",IFERROR(IF(ISBLANK(INDIRECT("'"&amp;$Q$2&amp;"'!D"&amp;ROW())),"",INDIRECT("'"&amp;$Q$2&amp;"'!D"&amp;ROW())),""))</f>
        <v>25284</v>
      </c>
      <c r="F84" s="33" t="n">
        <f aca="false">IF(OR(D84="",E84=""),"",D84-E84)</f>
        <v>1796</v>
      </c>
      <c r="G84" s="34" t="n">
        <f aca="false">IFERROR(F84/E84,"")</f>
        <v>0.0710330643885461</v>
      </c>
      <c r="H84" s="32" t="n">
        <v>319</v>
      </c>
      <c r="I84" s="32" t="n">
        <f aca="true">IF($H84="","",IFERROR(IF(ISBLANK(INDIRECT("'"&amp;$Q$2&amp;"'!H"&amp;ROW())),"",INDIRECT("'"&amp;$Q$2&amp;"'!H"&amp;ROW())),""))</f>
        <v>310</v>
      </c>
      <c r="J84" s="33" t="n">
        <f aca="false">IF(OR(H84="",I84=""),"",H84-I84)</f>
        <v>9</v>
      </c>
      <c r="K84" s="34" t="n">
        <f aca="false">IFERROR(J84/I84,"")</f>
        <v>0.0290322580645161</v>
      </c>
      <c r="L84" s="32" t="n">
        <f aca="false">IFERROR(D84/C84,"")</f>
        <v>250.740740740741</v>
      </c>
      <c r="M84" s="32" t="n">
        <f aca="false">IFERROR(H84/D84*1000,"")</f>
        <v>11.7799113737075</v>
      </c>
      <c r="N84" s="32" t="n">
        <v>774</v>
      </c>
      <c r="O84" s="33" t="n">
        <f aca="true">IFERROR(IF(OR(N84="",ISBLANK(INDIRECT("'"&amp;$Q$2&amp;"'!N"&amp;ROW()))),"",N84-INDIRECT("'"&amp;$Q$2&amp;"'!N"&amp;ROW())),"")</f>
        <v>9</v>
      </c>
      <c r="P84" s="3"/>
      <c r="Q84" s="3"/>
      <c r="R84" s="3"/>
      <c r="S84" s="15" t="n">
        <f aca="true">IFERROR(IF(ISBLANK(INDIRECT("'"&amp;$Q$2&amp;"'!G"&amp;ROW())),"",INDIRECT("'"&amp;$Q$2&amp;"'!G"&amp;ROW())),"")</f>
        <v>-0.09092870240535</v>
      </c>
      <c r="T84" s="16" t="n">
        <f aca="false">IF(OR($G84="",$S84=""),"",$G84-$S84)</f>
        <v>0.161961766793896</v>
      </c>
      <c r="U84" s="15" t="n">
        <f aca="true">IFERROR(IF(ISBLANK(INDIRECT("'"&amp;$Q$2&amp;"'!K"&amp;ROW())),"",INDIRECT("'"&amp;$Q$2&amp;"'!K"&amp;ROW())),"")</f>
        <v>-0.225</v>
      </c>
      <c r="V84" s="16" t="n">
        <f aca="false">IF(OR($K84="",$U84=""),"",$K84-$U84)</f>
        <v>0.254032258064516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73</v>
      </c>
      <c r="D85" s="32" t="n">
        <v>10938</v>
      </c>
      <c r="E85" s="32" t="n">
        <f aca="true">IF($D85="","",IFERROR(IF(ISBLANK(INDIRECT("'"&amp;$Q$2&amp;"'!D"&amp;ROW())),"",INDIRECT("'"&amp;$Q$2&amp;"'!D"&amp;ROW())),""))</f>
        <v>8543</v>
      </c>
      <c r="F85" s="33" t="n">
        <f aca="false">IF(OR(D85="",E85=""),"",D85-E85)</f>
        <v>2395</v>
      </c>
      <c r="G85" s="34" t="n">
        <f aca="false">IFERROR(F85/E85,"")</f>
        <v>0.280346482500293</v>
      </c>
      <c r="H85" s="32" t="n">
        <v>664</v>
      </c>
      <c r="I85" s="32" t="n">
        <f aca="true">IF($H85="","",IFERROR(IF(ISBLANK(INDIRECT("'"&amp;$Q$2&amp;"'!H"&amp;ROW())),"",INDIRECT("'"&amp;$Q$2&amp;"'!H"&amp;ROW())),""))</f>
        <v>573</v>
      </c>
      <c r="J85" s="33" t="n">
        <f aca="false">IF(OR(H85="",I85=""),"",H85-I85)</f>
        <v>91</v>
      </c>
      <c r="K85" s="34" t="n">
        <f aca="false">IFERROR(J85/I85,"")</f>
        <v>0.158813263525305</v>
      </c>
      <c r="L85" s="32" t="n">
        <f aca="false">IFERROR(D85/C85,"")</f>
        <v>149.835616438356</v>
      </c>
      <c r="M85" s="32" t="n">
        <f aca="false">IFERROR(H85/D85*1000,"")</f>
        <v>60.7057963064546</v>
      </c>
      <c r="N85" s="32" t="n">
        <v>341</v>
      </c>
      <c r="O85" s="33" t="n">
        <f aca="true">IFERROR(IF(OR(N85="",ISBLANK(INDIRECT("'"&amp;$Q$2&amp;"'!N"&amp;ROW()))),"",N85-INDIRECT("'"&amp;$Q$2&amp;"'!N"&amp;ROW())),"")</f>
        <v>22</v>
      </c>
      <c r="P85" s="3"/>
      <c r="Q85" s="3"/>
      <c r="R85" s="3"/>
      <c r="S85" s="15" t="n">
        <f aca="true">IFERROR(IF(ISBLANK(INDIRECT("'"&amp;$Q$2&amp;"'!G"&amp;ROW())),"",INDIRECT("'"&amp;$Q$2&amp;"'!G"&amp;ROW())),"")</f>
        <v>-0.027103974490377</v>
      </c>
      <c r="T85" s="16" t="n">
        <f aca="false">IF(OR($G85="",$S85=""),"",$G85-$S85)</f>
        <v>0.30745045699067</v>
      </c>
      <c r="U85" s="15" t="n">
        <f aca="true">IFERROR(IF(ISBLANK(INDIRECT("'"&amp;$Q$2&amp;"'!K"&amp;ROW())),"",INDIRECT("'"&amp;$Q$2&amp;"'!K"&amp;ROW())),"")</f>
        <v>-0.0637254901960784</v>
      </c>
      <c r="V85" s="16" t="n">
        <f aca="false">IF(OR($K85="",$U85=""),"",$K85-$U85)</f>
        <v>0.222538753721384</v>
      </c>
      <c r="W85" s="17" t="n">
        <f aca="true">IFERROR(IF(ISBLANK(INDIRECT("'"&amp;$Q$2&amp;"'!O"&amp;ROW())),"",INDIRECT("'"&amp;$Q$2&amp;"'!O"&amp;ROW())),"")</f>
        <v>12</v>
      </c>
      <c r="X85" s="17" t="n">
        <f aca="false">IF(OR($O85="",$W85=""),"",$O85-$W85)</f>
        <v>10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59</v>
      </c>
      <c r="D86" s="32" t="n">
        <v>43658</v>
      </c>
      <c r="E86" s="32" t="n">
        <f aca="true">IF($D86="","",IFERROR(IF(ISBLANK(INDIRECT("'"&amp;$Q$2&amp;"'!D"&amp;ROW())),"",INDIRECT("'"&amp;$Q$2&amp;"'!D"&amp;ROW())),""))</f>
        <v>39387</v>
      </c>
      <c r="F86" s="33" t="n">
        <f aca="false">IF(OR(D86="",E86=""),"",D86-E86)</f>
        <v>4271</v>
      </c>
      <c r="G86" s="34" t="n">
        <f aca="false">IFERROR(F86/E86,"")</f>
        <v>0.108436793865996</v>
      </c>
      <c r="H86" s="32" t="n">
        <v>326</v>
      </c>
      <c r="I86" s="32" t="n">
        <f aca="true">IF($H86="","",IFERROR(IF(ISBLANK(INDIRECT("'"&amp;$Q$2&amp;"'!H"&amp;ROW())),"",INDIRECT("'"&amp;$Q$2&amp;"'!H"&amp;ROW())),""))</f>
        <v>330</v>
      </c>
      <c r="J86" s="33" t="n">
        <f aca="false">IF(OR(H86="",I86=""),"",H86-I86)</f>
        <v>-4</v>
      </c>
      <c r="K86" s="34" t="n">
        <f aca="false">IFERROR(J86/I86,"")</f>
        <v>-0.0121212121212121</v>
      </c>
      <c r="L86" s="32" t="n">
        <f aca="false">IFERROR(D86/C86,"")</f>
        <v>739.966101694915</v>
      </c>
      <c r="M86" s="32" t="n">
        <f aca="false">IFERROR(H86/D86*1000,"")</f>
        <v>7.4671308809382</v>
      </c>
      <c r="N86" s="32" t="n">
        <v>1932</v>
      </c>
      <c r="O86" s="33" t="n">
        <f aca="true">IFERROR(IF(OR(N86="",ISBLANK(INDIRECT("'"&amp;$Q$2&amp;"'!N"&amp;ROW()))),"",N86-INDIRECT("'"&amp;$Q$2&amp;"'!N"&amp;ROW())),"")</f>
        <v>6</v>
      </c>
      <c r="P86" s="3"/>
      <c r="Q86" s="3"/>
      <c r="R86" s="3"/>
      <c r="S86" s="15" t="n">
        <f aca="true">IFERROR(IF(ISBLANK(INDIRECT("'"&amp;$Q$2&amp;"'!G"&amp;ROW())),"",INDIRECT("'"&amp;$Q$2&amp;"'!G"&amp;ROW())),"")</f>
        <v>-0.154767269683899</v>
      </c>
      <c r="T86" s="16" t="n">
        <f aca="false">IF(OR($G86="",$S86=""),"",$G86-$S86)</f>
        <v>0.263204063549895</v>
      </c>
      <c r="U86" s="15" t="n">
        <f aca="true">IFERROR(IF(ISBLANK(INDIRECT("'"&amp;$Q$2&amp;"'!K"&amp;ROW())),"",INDIRECT("'"&amp;$Q$2&amp;"'!K"&amp;ROW())),"")</f>
        <v>-0.219858156028369</v>
      </c>
      <c r="V86" s="16" t="n">
        <f aca="false">IF(OR($K86="",$U86=""),"",$K86-$U86)</f>
        <v>0.207736943907157</v>
      </c>
      <c r="W86" s="17" t="n">
        <f aca="true">IFERROR(IF(ISBLANK(INDIRECT("'"&amp;$Q$2&amp;"'!O"&amp;ROW())),"",INDIRECT("'"&amp;$Q$2&amp;"'!O"&amp;ROW())),"")</f>
        <v>9</v>
      </c>
      <c r="X86" s="17" t="n">
        <f aca="false">IF(OR($O86="",$W86=""),"",$O86-$W86)</f>
        <v>-3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65</v>
      </c>
      <c r="D87" s="32" t="n">
        <v>15637</v>
      </c>
      <c r="E87" s="32" t="n">
        <f aca="true">IF($D87="","",IFERROR(IF(ISBLANK(INDIRECT("'"&amp;$Q$2&amp;"'!D"&amp;ROW())),"",INDIRECT("'"&amp;$Q$2&amp;"'!D"&amp;ROW())),""))</f>
        <v>15989</v>
      </c>
      <c r="F87" s="33" t="n">
        <f aca="false">IF(OR(D87="",E87=""),"",D87-E87)</f>
        <v>-352</v>
      </c>
      <c r="G87" s="34" t="n">
        <f aca="false">IFERROR(F87/E87,"")</f>
        <v>-0.0220151354055913</v>
      </c>
      <c r="H87" s="32" t="n">
        <v>95</v>
      </c>
      <c r="I87" s="32" t="n">
        <f aca="true">IF($H87="","",IFERROR(IF(ISBLANK(INDIRECT("'"&amp;$Q$2&amp;"'!H"&amp;ROW())),"",INDIRECT("'"&amp;$Q$2&amp;"'!H"&amp;ROW())),""))</f>
        <v>109</v>
      </c>
      <c r="J87" s="33" t="n">
        <f aca="false">IF(OR(H87="",I87=""),"",H87-I87)</f>
        <v>-14</v>
      </c>
      <c r="K87" s="34" t="n">
        <f aca="false">IFERROR(J87/I87,"")</f>
        <v>-0.128440366972477</v>
      </c>
      <c r="L87" s="32" t="n">
        <f aca="false">IFERROR(D87/C87,"")</f>
        <v>240.569230769231</v>
      </c>
      <c r="M87" s="32" t="n">
        <f aca="false">IFERROR(H87/D87*1000,"")</f>
        <v>6.07533414337789</v>
      </c>
      <c r="N87" s="32" t="n">
        <v>554</v>
      </c>
      <c r="O87" s="33" t="n">
        <f aca="true">IFERROR(IF(OR(N87="",ISBLANK(INDIRECT("'"&amp;$Q$2&amp;"'!N"&amp;ROW()))),"",N87-INDIRECT("'"&amp;$Q$2&amp;"'!N"&amp;ROW())),"")</f>
        <v>15</v>
      </c>
      <c r="P87" s="3"/>
      <c r="Q87" s="3"/>
      <c r="R87" s="3"/>
      <c r="S87" s="15" t="n">
        <f aca="true">IFERROR(IF(ISBLANK(INDIRECT("'"&amp;$Q$2&amp;"'!G"&amp;ROW())),"",INDIRECT("'"&amp;$Q$2&amp;"'!G"&amp;ROW())),"")</f>
        <v>0.115070785968338</v>
      </c>
      <c r="T87" s="16" t="n">
        <f aca="false">IF(OR($G87="",$S87=""),"",$G87-$S87)</f>
        <v>-0.137085921373929</v>
      </c>
      <c r="U87" s="15" t="n">
        <f aca="true">IFERROR(IF(ISBLANK(INDIRECT("'"&amp;$Q$2&amp;"'!K"&amp;ROW())),"",INDIRECT("'"&amp;$Q$2&amp;"'!K"&amp;ROW())),"")</f>
        <v>0.557142857142857</v>
      </c>
      <c r="V87" s="16" t="n">
        <f aca="false">IF(OR($K87="",$U87=""),"",$K87-$U87)</f>
        <v>-0.685583224115334</v>
      </c>
      <c r="W87" s="17" t="n">
        <f aca="true">IFERROR(IF(ISBLANK(INDIRECT("'"&amp;$Q$2&amp;"'!O"&amp;ROW())),"",INDIRECT("'"&amp;$Q$2&amp;"'!O"&amp;ROW())),"")</f>
        <v>12</v>
      </c>
      <c r="X87" s="17" t="n">
        <f aca="false">IF(OR($O87="",$W87=""),"",$O87-$W87)</f>
        <v>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29</v>
      </c>
      <c r="D88" s="32" t="n">
        <v>7866</v>
      </c>
      <c r="E88" s="32" t="n">
        <f aca="true">IF($D88="","",IFERROR(IF(ISBLANK(INDIRECT("'"&amp;$Q$2&amp;"'!D"&amp;ROW())),"",INDIRECT("'"&amp;$Q$2&amp;"'!D"&amp;ROW())),""))</f>
        <v>7124</v>
      </c>
      <c r="F88" s="33" t="n">
        <f aca="false">IF(OR(D88="",E88=""),"",D88-E88)</f>
        <v>742</v>
      </c>
      <c r="G88" s="34" t="n">
        <f aca="false">IFERROR(F88/E88,"")</f>
        <v>0.104154969118473</v>
      </c>
      <c r="H88" s="32" t="n">
        <v>106</v>
      </c>
      <c r="I88" s="32" t="n">
        <f aca="true">IF($H88="","",IFERROR(IF(ISBLANK(INDIRECT("'"&amp;$Q$2&amp;"'!H"&amp;ROW())),"",INDIRECT("'"&amp;$Q$2&amp;"'!H"&amp;ROW())),""))</f>
        <v>93</v>
      </c>
      <c r="J88" s="33" t="n">
        <f aca="false">IF(OR(H88="",I88=""),"",H88-I88)</f>
        <v>13</v>
      </c>
      <c r="K88" s="34" t="n">
        <f aca="false">IFERROR(J88/I88,"")</f>
        <v>0.139784946236559</v>
      </c>
      <c r="L88" s="32" t="n">
        <f aca="false">IFERROR(D88/C88,"")</f>
        <v>271.241379310345</v>
      </c>
      <c r="M88" s="32" t="n">
        <f aca="false">IFERROR(H88/D88*1000,"")</f>
        <v>13.4757182812103</v>
      </c>
      <c r="N88" s="32" t="n">
        <v>472</v>
      </c>
      <c r="O88" s="33" t="n">
        <f aca="true">IFERROR(IF(OR(N88="",ISBLANK(INDIRECT("'"&amp;$Q$2&amp;"'!N"&amp;ROW()))),"",N88-INDIRECT("'"&amp;$Q$2&amp;"'!N"&amp;ROW())),"")</f>
        <v>17</v>
      </c>
      <c r="P88" s="3"/>
      <c r="Q88" s="3"/>
      <c r="R88" s="3"/>
      <c r="S88" s="15" t="n">
        <f aca="true">IFERROR(IF(ISBLANK(INDIRECT("'"&amp;$Q$2&amp;"'!G"&amp;ROW())),"",INDIRECT("'"&amp;$Q$2&amp;"'!G"&amp;ROW())),"")</f>
        <v>0.00806565728031697</v>
      </c>
      <c r="T88" s="16" t="n">
        <f aca="false">IF(OR($G88="",$S88=""),"",$G88-$S88)</f>
        <v>0.0960893118381558</v>
      </c>
      <c r="U88" s="15" t="n">
        <f aca="true">IFERROR(IF(ISBLANK(INDIRECT("'"&amp;$Q$2&amp;"'!K"&amp;ROW())),"",INDIRECT("'"&amp;$Q$2&amp;"'!K"&amp;ROW())),"")</f>
        <v>0.347826086956522</v>
      </c>
      <c r="V88" s="16" t="n">
        <f aca="false">IF(OR($K88="",$U88=""),"",$K88-$U88)</f>
        <v>-0.208041140719963</v>
      </c>
      <c r="W88" s="17" t="n">
        <f aca="true">IFERROR(IF(ISBLANK(INDIRECT("'"&amp;$Q$2&amp;"'!O"&amp;ROW())),"",INDIRECT("'"&amp;$Q$2&amp;"'!O"&amp;ROW())),"")</f>
        <v>15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60</v>
      </c>
      <c r="D89" s="32" t="n">
        <v>11344</v>
      </c>
      <c r="E89" s="32" t="n">
        <f aca="true">IF($D89="","",IFERROR(IF(ISBLANK(INDIRECT("'"&amp;$Q$2&amp;"'!D"&amp;ROW())),"",INDIRECT("'"&amp;$Q$2&amp;"'!D"&amp;ROW())),""))</f>
        <v>8330</v>
      </c>
      <c r="F89" s="33" t="n">
        <f aca="false">IF(OR(D89="",E89=""),"",D89-E89)</f>
        <v>3014</v>
      </c>
      <c r="G89" s="34" t="n">
        <f aca="false">IFERROR(F89/E89,"")</f>
        <v>0.361824729891957</v>
      </c>
      <c r="H89" s="32" t="n">
        <v>232</v>
      </c>
      <c r="I89" s="32" t="n">
        <f aca="true">IF($H89="","",IFERROR(IF(ISBLANK(INDIRECT("'"&amp;$Q$2&amp;"'!H"&amp;ROW())),"",INDIRECT("'"&amp;$Q$2&amp;"'!H"&amp;ROW())),""))</f>
        <v>121</v>
      </c>
      <c r="J89" s="33" t="n">
        <f aca="false">IF(OR(H89="",I89=""),"",H89-I89)</f>
        <v>111</v>
      </c>
      <c r="K89" s="34" t="n">
        <f aca="false">IFERROR(J89/I89,"")</f>
        <v>0.917355371900827</v>
      </c>
      <c r="L89" s="32" t="n">
        <f aca="false">IFERROR(D89/C89,"")</f>
        <v>189.066666666667</v>
      </c>
      <c r="M89" s="32" t="n">
        <f aca="false">IFERROR(H89/D89*1000,"")</f>
        <v>20.4513399153738</v>
      </c>
      <c r="N89" s="32" t="n">
        <v>463</v>
      </c>
      <c r="O89" s="33" t="n">
        <f aca="true">IFERROR(IF(OR(N89="",ISBLANK(INDIRECT("'"&amp;$Q$2&amp;"'!N"&amp;ROW()))),"",N89-INDIRECT("'"&amp;$Q$2&amp;"'!N"&amp;ROW())),"")</f>
        <v>9</v>
      </c>
      <c r="P89" s="3"/>
      <c r="Q89" s="3"/>
      <c r="R89" s="3"/>
      <c r="S89" s="15" t="n">
        <f aca="true">IFERROR(IF(ISBLANK(INDIRECT("'"&amp;$Q$2&amp;"'!G"&amp;ROW())),"",INDIRECT("'"&amp;$Q$2&amp;"'!G"&amp;ROW())),"")</f>
        <v>-0.0434083601286174</v>
      </c>
      <c r="T89" s="16" t="n">
        <f aca="false">IF(OR($G89="",$S89=""),"",$G89-$S89)</f>
        <v>0.405233090020574</v>
      </c>
      <c r="U89" s="15" t="n">
        <f aca="true">IFERROR(IF(ISBLANK(INDIRECT("'"&amp;$Q$2&amp;"'!K"&amp;ROW())),"",INDIRECT("'"&amp;$Q$2&amp;"'!K"&amp;ROW())),"")</f>
        <v>-0.123188405797101</v>
      </c>
      <c r="V89" s="16" t="n">
        <f aca="false">IF(OR($K89="",$U89=""),"",$K89-$U89)</f>
        <v>1.04054377769793</v>
      </c>
      <c r="W89" s="17" t="n">
        <f aca="true">IFERROR(IF(ISBLANK(INDIRECT("'"&amp;$Q$2&amp;"'!O"&amp;ROW())),"",INDIRECT("'"&amp;$Q$2&amp;"'!O"&amp;ROW())),"")</f>
        <v>4</v>
      </c>
      <c r="X89" s="17" t="n">
        <f aca="false">IF(OR($O89="",$W89=""),"",$O89-$W89)</f>
        <v>5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55</v>
      </c>
      <c r="D90" s="32" t="n">
        <v>34456</v>
      </c>
      <c r="E90" s="32" t="n">
        <f aca="true">IF($D90="","",IFERROR(IF(ISBLANK(INDIRECT("'"&amp;$Q$2&amp;"'!D"&amp;ROW())),"",INDIRECT("'"&amp;$Q$2&amp;"'!D"&amp;ROW())),""))</f>
        <v>31776</v>
      </c>
      <c r="F90" s="33" t="n">
        <f aca="false">IF(OR(D90="",E90=""),"",D90-E90)</f>
        <v>2680</v>
      </c>
      <c r="G90" s="34" t="n">
        <f aca="false">IFERROR(F90/E90,"")</f>
        <v>0.0843403826787513</v>
      </c>
      <c r="H90" s="32" t="n">
        <v>645</v>
      </c>
      <c r="I90" s="32" t="n">
        <f aca="true">IF($H90="","",IFERROR(IF(ISBLANK(INDIRECT("'"&amp;$Q$2&amp;"'!H"&amp;ROW())),"",INDIRECT("'"&amp;$Q$2&amp;"'!H"&amp;ROW())),""))</f>
        <v>637</v>
      </c>
      <c r="J90" s="33" t="n">
        <f aca="false">IF(OR(H90="",I90=""),"",H90-I90)</f>
        <v>8</v>
      </c>
      <c r="K90" s="34" t="n">
        <f aca="false">IFERROR(J90/I90,"")</f>
        <v>0.0125588697017268</v>
      </c>
      <c r="L90" s="32" t="n">
        <f aca="false">IFERROR(D90/C90,"")</f>
        <v>626.472727272727</v>
      </c>
      <c r="M90" s="32" t="n">
        <f aca="false">IFERROR(H90/D90*1000,"")</f>
        <v>18.7195263524495</v>
      </c>
      <c r="N90" s="32" t="n">
        <v>1511</v>
      </c>
      <c r="O90" s="33" t="n">
        <f aca="true">IFERROR(IF(OR(N90="",ISBLANK(INDIRECT("'"&amp;$Q$2&amp;"'!N"&amp;ROW()))),"",N90-INDIRECT("'"&amp;$Q$2&amp;"'!N"&amp;ROW())),"")</f>
        <v>15</v>
      </c>
      <c r="P90" s="3"/>
      <c r="Q90" s="3"/>
      <c r="R90" s="3"/>
      <c r="S90" s="15" t="n">
        <f aca="true">IFERROR(IF(ISBLANK(INDIRECT("'"&amp;$Q$2&amp;"'!G"&amp;ROW())),"",INDIRECT("'"&amp;$Q$2&amp;"'!G"&amp;ROW())),"")</f>
        <v>-0.0452209969652354</v>
      </c>
      <c r="T90" s="16" t="n">
        <f aca="false">IF(OR($G90="",$S90=""),"",$G90-$S90)</f>
        <v>0.129561379643987</v>
      </c>
      <c r="U90" s="15" t="n">
        <f aca="true">IFERROR(IF(ISBLANK(INDIRECT("'"&amp;$Q$2&amp;"'!K"&amp;ROW())),"",INDIRECT("'"&amp;$Q$2&amp;"'!K"&amp;ROW())),"")</f>
        <v>-0.10407876230661</v>
      </c>
      <c r="V90" s="16" t="n">
        <f aca="false">IF(OR($K90="",$U90=""),"",$K90-$U90)</f>
        <v>0.116637632008337</v>
      </c>
      <c r="W90" s="17" t="n">
        <f aca="true">IFERROR(IF(ISBLANK(INDIRECT("'"&amp;$Q$2&amp;"'!O"&amp;ROW())),"",INDIRECT("'"&amp;$Q$2&amp;"'!O"&amp;ROW())),"")</f>
        <v>4</v>
      </c>
      <c r="X90" s="17" t="n">
        <f aca="false">IF(OR($O90="",$W90=""),"",$O90-$W90)</f>
        <v>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72</v>
      </c>
      <c r="D91" s="32" t="n">
        <v>96841</v>
      </c>
      <c r="E91" s="32" t="n">
        <f aca="true">IF($D91="","",IFERROR(IF(ISBLANK(INDIRECT("'"&amp;$Q$2&amp;"'!D"&amp;ROW())),"",INDIRECT("'"&amp;$Q$2&amp;"'!D"&amp;ROW())),""))</f>
        <v>81997</v>
      </c>
      <c r="F91" s="33" t="n">
        <f aca="false">IF(OR(D91="",E91=""),"",D91-E91)</f>
        <v>14844</v>
      </c>
      <c r="G91" s="34" t="n">
        <f aca="false">IFERROR(F91/E91,"")</f>
        <v>0.181031013329756</v>
      </c>
      <c r="H91" s="32" t="n">
        <v>990</v>
      </c>
      <c r="I91" s="32" t="n">
        <f aca="true">IF($H91="","",IFERROR(IF(ISBLANK(INDIRECT("'"&amp;$Q$2&amp;"'!H"&amp;ROW())),"",INDIRECT("'"&amp;$Q$2&amp;"'!H"&amp;ROW())),""))</f>
        <v>987</v>
      </c>
      <c r="J91" s="33" t="n">
        <f aca="false">IF(OR(H91="",I91=""),"",H91-I91)</f>
        <v>3</v>
      </c>
      <c r="K91" s="34" t="n">
        <f aca="false">IFERROR(J91/I91,"")</f>
        <v>0.00303951367781155</v>
      </c>
      <c r="L91" s="32" t="n">
        <f aca="false">IFERROR(D91/C91,"")</f>
        <v>1345.01388888889</v>
      </c>
      <c r="M91" s="32" t="n">
        <f aca="false">IFERROR(H91/D91*1000,"")</f>
        <v>10.2229427618467</v>
      </c>
      <c r="N91" s="32" t="n">
        <v>2741</v>
      </c>
      <c r="O91" s="33" t="n">
        <f aca="true">IFERROR(IF(OR(N91="",ISBLANK(INDIRECT("'"&amp;$Q$2&amp;"'!N"&amp;ROW()))),"",N91-INDIRECT("'"&amp;$Q$2&amp;"'!N"&amp;ROW())),"")</f>
        <v>96</v>
      </c>
      <c r="P91" s="3"/>
      <c r="Q91" s="3"/>
      <c r="R91" s="3"/>
      <c r="S91" s="15" t="n">
        <f aca="true">IFERROR(IF(ISBLANK(INDIRECT("'"&amp;$Q$2&amp;"'!G"&amp;ROW())),"",INDIRECT("'"&amp;$Q$2&amp;"'!G"&amp;ROW())),"")</f>
        <v>0.00362296667115458</v>
      </c>
      <c r="T91" s="16" t="n">
        <f aca="false">IF(OR($G91="",$S91=""),"",$G91-$S91)</f>
        <v>0.177408046658601</v>
      </c>
      <c r="U91" s="15" t="n">
        <f aca="true">IFERROR(IF(ISBLANK(INDIRECT("'"&amp;$Q$2&amp;"'!K"&amp;ROW())),"",INDIRECT("'"&amp;$Q$2&amp;"'!K"&amp;ROW())),"")</f>
        <v>-0.0608943862987631</v>
      </c>
      <c r="V91" s="16" t="n">
        <f aca="false">IF(OR($K91="",$U91=""),"",$K91-$U91)</f>
        <v>0.0639338999765746</v>
      </c>
      <c r="W91" s="17" t="n">
        <f aca="true">IFERROR(IF(ISBLANK(INDIRECT("'"&amp;$Q$2&amp;"'!O"&amp;ROW())),"",INDIRECT("'"&amp;$Q$2&amp;"'!O"&amp;ROW())),"")</f>
        <v>10</v>
      </c>
      <c r="X91" s="17" t="n">
        <f aca="false">IF(OR($O91="",$W91=""),"",$O91-$W91)</f>
        <v>86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79</v>
      </c>
      <c r="D92" s="32" t="n">
        <v>41556</v>
      </c>
      <c r="E92" s="32" t="n">
        <f aca="true">IF($D92="","",IFERROR(IF(ISBLANK(INDIRECT("'"&amp;$Q$2&amp;"'!D"&amp;ROW())),"",INDIRECT("'"&amp;$Q$2&amp;"'!D"&amp;ROW())),""))</f>
        <v>41492</v>
      </c>
      <c r="F92" s="33" t="n">
        <f aca="false">IF(OR(D92="",E92=""),"",D92-E92)</f>
        <v>64</v>
      </c>
      <c r="G92" s="34" t="n">
        <f aca="false">IFERROR(F92/E92,"")</f>
        <v>0.00154246601754555</v>
      </c>
      <c r="H92" s="32" t="n">
        <v>644</v>
      </c>
      <c r="I92" s="32" t="n">
        <f aca="true">IF($H92="","",IFERROR(IF(ISBLANK(INDIRECT("'"&amp;$Q$2&amp;"'!H"&amp;ROW())),"",INDIRECT("'"&amp;$Q$2&amp;"'!H"&amp;ROW())),""))</f>
        <v>574</v>
      </c>
      <c r="J92" s="33" t="n">
        <f aca="false">IF(OR(H92="",I92=""),"",H92-I92)</f>
        <v>70</v>
      </c>
      <c r="K92" s="34" t="n">
        <f aca="false">IFERROR(J92/I92,"")</f>
        <v>0.121951219512195</v>
      </c>
      <c r="L92" s="32" t="n">
        <f aca="false">IFERROR(D92/C92,"")</f>
        <v>526.025316455696</v>
      </c>
      <c r="M92" s="32" t="n">
        <f aca="false">IFERROR(H92/D92*1000,"")</f>
        <v>15.4971604581769</v>
      </c>
      <c r="N92" s="32" t="n">
        <v>1229</v>
      </c>
      <c r="O92" s="33" t="n">
        <f aca="true">IFERROR(IF(OR(N92="",ISBLANK(INDIRECT("'"&amp;$Q$2&amp;"'!N"&amp;ROW()))),"",N92-INDIRECT("'"&amp;$Q$2&amp;"'!N"&amp;ROW())),"")</f>
        <v>12</v>
      </c>
      <c r="P92" s="3"/>
      <c r="Q92" s="3"/>
      <c r="R92" s="3"/>
      <c r="S92" s="15" t="n">
        <f aca="true">IFERROR(IF(ISBLANK(INDIRECT("'"&amp;$Q$2&amp;"'!G"&amp;ROW())),"",INDIRECT("'"&amp;$Q$2&amp;"'!G"&amp;ROW())),"")</f>
        <v>0.00584228261133063</v>
      </c>
      <c r="T92" s="16" t="n">
        <f aca="false">IF(OR($G92="",$S92=""),"",$G92-$S92)</f>
        <v>-0.00429981659378508</v>
      </c>
      <c r="U92" s="15" t="n">
        <f aca="true">IFERROR(IF(ISBLANK(INDIRECT("'"&amp;$Q$2&amp;"'!K"&amp;ROW())),"",INDIRECT("'"&amp;$Q$2&amp;"'!K"&amp;ROW())),"")</f>
        <v>0.0305206463195691</v>
      </c>
      <c r="V92" s="16" t="n">
        <f aca="false">IF(OR($K92="",$U92=""),"",$K92-$U92)</f>
        <v>0.091430573192626</v>
      </c>
      <c r="W92" s="17" t="n">
        <f aca="true">IFERROR(IF(ISBLANK(INDIRECT("'"&amp;$Q$2&amp;"'!O"&amp;ROW())),"",INDIRECT("'"&amp;$Q$2&amp;"'!O"&amp;ROW())),"")</f>
        <v>5</v>
      </c>
      <c r="X92" s="17" t="n">
        <f aca="false">IF(OR($O92="",$W92=""),"",$O92-$W92)</f>
        <v>7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27</v>
      </c>
      <c r="D93" s="32" t="n">
        <v>12052</v>
      </c>
      <c r="E93" s="32" t="n">
        <f aca="true">IF($D93="","",IFERROR(IF(ISBLANK(INDIRECT("'"&amp;$Q$2&amp;"'!D"&amp;ROW())),"",INDIRECT("'"&amp;$Q$2&amp;"'!D"&amp;ROW())),""))</f>
        <v>8518</v>
      </c>
      <c r="F93" s="33" t="n">
        <f aca="false">IF(OR(D93="",E93=""),"",D93-E93)</f>
        <v>3534</v>
      </c>
      <c r="G93" s="34" t="n">
        <f aca="false">IFERROR(F93/E93,"")</f>
        <v>0.41488612350317</v>
      </c>
      <c r="H93" s="32" t="n">
        <v>1050</v>
      </c>
      <c r="I93" s="32" t="n">
        <f aca="true">IF($H93="","",IFERROR(IF(ISBLANK(INDIRECT("'"&amp;$Q$2&amp;"'!H"&amp;ROW())),"",INDIRECT("'"&amp;$Q$2&amp;"'!H"&amp;ROW())),""))</f>
        <v>706</v>
      </c>
      <c r="J93" s="33" t="n">
        <f aca="false">IF(OR(H93="",I93=""),"",H93-I93)</f>
        <v>344</v>
      </c>
      <c r="K93" s="34" t="n">
        <f aca="false">IFERROR(J93/I93,"")</f>
        <v>0.487252124645892</v>
      </c>
      <c r="L93" s="32" t="n">
        <f aca="false">IFERROR(D93/C93,"")</f>
        <v>446.37037037037</v>
      </c>
      <c r="M93" s="32" t="n">
        <f aca="false">IFERROR(H93/D93*1000,"")</f>
        <v>87.1224692997013</v>
      </c>
      <c r="N93" s="32" t="n">
        <v>1368</v>
      </c>
      <c r="O93" s="33" t="n">
        <f aca="true">IFERROR(IF(OR(N93="",ISBLANK(INDIRECT("'"&amp;$Q$2&amp;"'!N"&amp;ROW()))),"",N93-INDIRECT("'"&amp;$Q$2&amp;"'!N"&amp;ROW())),"")</f>
        <v>8</v>
      </c>
      <c r="P93" s="3"/>
      <c r="Q93" s="3"/>
      <c r="R93" s="3"/>
      <c r="S93" s="15" t="n">
        <f aca="true">IFERROR(IF(ISBLANK(INDIRECT("'"&amp;$Q$2&amp;"'!G"&amp;ROW())),"",INDIRECT("'"&amp;$Q$2&amp;"'!G"&amp;ROW())),"")</f>
        <v>-0.00687886207298589</v>
      </c>
      <c r="T93" s="16" t="n">
        <f aca="false">IF(OR($G93="",$S93=""),"",$G93-$S93)</f>
        <v>0.421764985576156</v>
      </c>
      <c r="U93" s="15" t="n">
        <f aca="true">IFERROR(IF(ISBLANK(INDIRECT("'"&amp;$Q$2&amp;"'!K"&amp;ROW())),"",INDIRECT("'"&amp;$Q$2&amp;"'!K"&amp;ROW())),"")</f>
        <v>0.0056980056980057</v>
      </c>
      <c r="V93" s="16" t="n">
        <f aca="false">IF(OR($K93="",$U93=""),"",$K93-$U93)</f>
        <v>0.481554118947887</v>
      </c>
      <c r="W93" s="17" t="n">
        <f aca="true">IFERROR(IF(ISBLANK(INDIRECT("'"&amp;$Q$2&amp;"'!O"&amp;ROW())),"",INDIRECT("'"&amp;$Q$2&amp;"'!O"&amp;ROW())),"")</f>
        <v>5</v>
      </c>
      <c r="X93" s="17" t="n">
        <f aca="false">IF(OR($O93="",$W93=""),"",$O93-$W93)</f>
        <v>3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9</v>
      </c>
      <c r="D94" s="32" t="n">
        <v>943</v>
      </c>
      <c r="E94" s="32" t="n">
        <f aca="true">IF($D94="","",IFERROR(IF(ISBLANK(INDIRECT("'"&amp;$Q$2&amp;"'!D"&amp;ROW())),"",INDIRECT("'"&amp;$Q$2&amp;"'!D"&amp;ROW())),""))</f>
        <v>781</v>
      </c>
      <c r="F94" s="33" t="n">
        <f aca="false">IF(OR(D94="",E94=""),"",D94-E94)</f>
        <v>162</v>
      </c>
      <c r="G94" s="34" t="n">
        <f aca="false">IFERROR(F94/E94,"")</f>
        <v>0.207426376440461</v>
      </c>
      <c r="H94" s="32" t="n">
        <v>40</v>
      </c>
      <c r="I94" s="32" t="n">
        <f aca="true">IF($H94="","",IFERROR(IF(ISBLANK(INDIRECT("'"&amp;$Q$2&amp;"'!H"&amp;ROW())),"",INDIRECT("'"&amp;$Q$2&amp;"'!H"&amp;ROW())),""))</f>
        <v>48</v>
      </c>
      <c r="J94" s="33" t="n">
        <f aca="false">IF(OR(H94="",I94=""),"",H94-I94)</f>
        <v>-8</v>
      </c>
      <c r="K94" s="34" t="n">
        <f aca="false">IFERROR(J94/I94,"")</f>
        <v>-0.166666666666667</v>
      </c>
      <c r="L94" s="32" t="n">
        <f aca="false">IFERROR(D94/C94,"")</f>
        <v>104.777777777778</v>
      </c>
      <c r="M94" s="32" t="n">
        <f aca="false">IFERROR(H94/D94*1000,"")</f>
        <v>42.4178154825027</v>
      </c>
      <c r="N94" s="32" t="n">
        <v>234</v>
      </c>
      <c r="O94" s="33" t="n">
        <f aca="true">IFERROR(IF(OR(N94="",ISBLANK(INDIRECT("'"&amp;$Q$2&amp;"'!N"&amp;ROW()))),"",N94-INDIRECT("'"&amp;$Q$2&amp;"'!N"&amp;ROW())),"")</f>
        <v>1</v>
      </c>
      <c r="P94" s="3"/>
      <c r="Q94" s="3"/>
      <c r="R94" s="3"/>
      <c r="S94" s="15" t="n">
        <f aca="true">IFERROR(IF(ISBLANK(INDIRECT("'"&amp;$Q$2&amp;"'!G"&amp;ROW())),"",INDIRECT("'"&amp;$Q$2&amp;"'!G"&amp;ROW())),"")</f>
        <v>0.0222513089005236</v>
      </c>
      <c r="T94" s="16" t="n">
        <f aca="false">IF(OR($G94="",$S94=""),"",$G94-$S94)</f>
        <v>0.185175067539937</v>
      </c>
      <c r="U94" s="15" t="n">
        <f aca="true">IFERROR(IF(ISBLANK(INDIRECT("'"&amp;$Q$2&amp;"'!K"&amp;ROW())),"",INDIRECT("'"&amp;$Q$2&amp;"'!K"&amp;ROW())),"")</f>
        <v>1.28571428571429</v>
      </c>
      <c r="V94" s="16" t="n">
        <f aca="false">IF(OR($K94="",$U94=""),"",$K94-$U94)</f>
        <v>-1.45238095238095</v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7784</v>
      </c>
      <c r="E95" s="32" t="n">
        <f aca="true">IF($D95="","",IFERROR(IF(ISBLANK(INDIRECT("'"&amp;$Q$2&amp;"'!D"&amp;ROW())),"",INDIRECT("'"&amp;$Q$2&amp;"'!D"&amp;ROW())),""))</f>
        <v>4046</v>
      </c>
      <c r="F95" s="33" t="n">
        <f aca="false">IF(OR(D95="",E95=""),"",D95-E95)</f>
        <v>3738</v>
      </c>
      <c r="G95" s="34" t="n">
        <f aca="false">IFERROR(F95/E95,"")</f>
        <v>0.923875432525952</v>
      </c>
      <c r="H95" s="32" t="n">
        <v>66</v>
      </c>
      <c r="I95" s="32" t="n">
        <f aca="true">IF($H95="","",IFERROR(IF(ISBLANK(INDIRECT("'"&amp;$Q$2&amp;"'!H"&amp;ROW())),"",INDIRECT("'"&amp;$Q$2&amp;"'!H"&amp;ROW())),""))</f>
        <v>107</v>
      </c>
      <c r="J95" s="33" t="n">
        <f aca="false">IF(OR(H95="",I95=""),"",H95-I95)</f>
        <v>-41</v>
      </c>
      <c r="K95" s="34" t="n">
        <f aca="false">IFERROR(J95/I95,"")</f>
        <v>-0.383177570093458</v>
      </c>
      <c r="L95" s="32" t="n">
        <f aca="false">IFERROR(D95/C95,"")</f>
        <v>973</v>
      </c>
      <c r="M95" s="32" t="n">
        <f aca="false">IFERROR(H95/D95*1000,"")</f>
        <v>8.47893114080165</v>
      </c>
      <c r="N95" s="32" t="n">
        <v>378</v>
      </c>
      <c r="O95" s="33" t="n">
        <f aca="true">IFERROR(IF(OR(N95="",ISBLANK(INDIRECT("'"&amp;$Q$2&amp;"'!N"&amp;ROW()))),"",N95-INDIRECT("'"&amp;$Q$2&amp;"'!N"&amp;ROW())),"")</f>
        <v>32</v>
      </c>
      <c r="P95" s="3"/>
      <c r="Q95" s="3"/>
      <c r="R95" s="3"/>
      <c r="S95" s="15" t="n">
        <f aca="true">IFERROR(IF(ISBLANK(INDIRECT("'"&amp;$Q$2&amp;"'!G"&amp;ROW())),"",INDIRECT("'"&amp;$Q$2&amp;"'!G"&amp;ROW())),"")</f>
        <v>-0.017722748239864</v>
      </c>
      <c r="T95" s="16" t="n">
        <f aca="false">IF(OR($G95="",$S95=""),"",$G95-$S95)</f>
        <v>0.941598180765816</v>
      </c>
      <c r="U95" s="15" t="n">
        <f aca="true">IFERROR(IF(ISBLANK(INDIRECT("'"&amp;$Q$2&amp;"'!K"&amp;ROW())),"",INDIRECT("'"&amp;$Q$2&amp;"'!K"&amp;ROW())),"")</f>
        <v>0.126315789473684</v>
      </c>
      <c r="V95" s="16" t="n">
        <f aca="false">IF(OR($K95="",$U95=""),"",$K95-$U95)</f>
        <v>-0.509493359567142</v>
      </c>
      <c r="W95" s="17" t="n">
        <f aca="true">IFERROR(IF(ISBLANK(INDIRECT("'"&amp;$Q$2&amp;"'!O"&amp;ROW())),"",INDIRECT("'"&amp;$Q$2&amp;"'!O"&amp;ROW())),"")</f>
        <v>12</v>
      </c>
      <c r="X95" s="17" t="n">
        <f aca="false">IF(OR($O95="",$W95=""),"",$O95-$W95)</f>
        <v>20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1456</v>
      </c>
      <c r="D96" s="36" t="n">
        <f aca="false">SUM(D75:D95)</f>
        <v>1030049</v>
      </c>
      <c r="E96" s="36" t="n">
        <f aca="false">SUM(E75:E95)</f>
        <v>940640</v>
      </c>
      <c r="F96" s="37" t="n">
        <f aca="false">SUM(F75:F95)</f>
        <v>89409</v>
      </c>
      <c r="G96" s="38" t="n">
        <f aca="false">IF(C96=0,"",IFERROR(F96/E96,""))</f>
        <v>0.0950512417077734</v>
      </c>
      <c r="H96" s="36" t="n">
        <f aca="false">SUM(H75:H95)</f>
        <v>13921</v>
      </c>
      <c r="I96" s="36" t="n">
        <f aca="false">SUM(I75:I95)</f>
        <v>13037</v>
      </c>
      <c r="J96" s="37" t="n">
        <f aca="false">SUM(J75:J95)</f>
        <v>884</v>
      </c>
      <c r="K96" s="38" t="n">
        <f aca="false">IF(C96=0,"",IFERROR(J96/I96,""))</f>
        <v>0.0678070108153716</v>
      </c>
      <c r="L96" s="36" t="n">
        <f aca="false">IFERROR(D96/C96,"")</f>
        <v>707.451236263736</v>
      </c>
      <c r="M96" s="36" t="n">
        <f aca="false">IFERROR(H96/D96*1000,"")</f>
        <v>13.5148910391642</v>
      </c>
      <c r="N96" s="36" t="n">
        <f aca="false">SUM(N75:N95)</f>
        <v>31996</v>
      </c>
      <c r="O96" s="37" t="n">
        <f aca="false">SUM(O75:O95)</f>
        <v>428</v>
      </c>
      <c r="P96" s="3"/>
      <c r="Q96" s="3"/>
      <c r="R96" s="3"/>
      <c r="S96" s="23" t="n">
        <f aca="true">IFERROR(IF(ISBLANK(INDIRECT("'"&amp;$Q$2&amp;"'!G"&amp;ROW())),"",INDIRECT("'"&amp;$Q$2&amp;"'!G"&amp;ROW())),"")</f>
        <v>-0.0626519662943742</v>
      </c>
      <c r="T96" s="24" t="n">
        <f aca="false">IF(OR($G96="",$S96=""),"",$G96-$S96)</f>
        <v>0.157703208002148</v>
      </c>
      <c r="U96" s="23" t="n">
        <f aca="true">IFERROR(IF(ISBLANK(INDIRECT("'"&amp;$Q$2&amp;"'!K"&amp;ROW())),"",INDIRECT("'"&amp;$Q$2&amp;"'!K"&amp;ROW())),"")</f>
        <v>-0.0596508944027698</v>
      </c>
      <c r="V96" s="24" t="n">
        <f aca="false">IF(OR($K96="",$U96=""),"",$K96-$U96)</f>
        <v>0.127457905218141</v>
      </c>
      <c r="W96" s="25" t="n">
        <f aca="true">IFERROR(IF(ISBLANK(INDIRECT("'"&amp;$Q$2&amp;"'!O"&amp;ROW())),"",INDIRECT("'"&amp;$Q$2&amp;"'!O"&amp;ROW())),"")</f>
        <v>270</v>
      </c>
      <c r="X96" s="25" t="n">
        <f aca="false">IF(OR(C96=0,$O96="",$W96=""),"",$O96-$W96)</f>
        <v>158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6327</v>
      </c>
      <c r="D97" s="40" t="n">
        <f aca="false">D30+D51+D74+D96</f>
        <v>6053101</v>
      </c>
      <c r="E97" s="40" t="n">
        <f aca="false">E30+E51+E74+E96</f>
        <v>6681698</v>
      </c>
      <c r="F97" s="41" t="n">
        <f aca="false">F30+F51+F74+F96</f>
        <v>-628597</v>
      </c>
      <c r="G97" s="42" t="n">
        <f aca="false">IF(OR(C30=0,C51=0,C74=0,C96=0),"",IFERROR(F97/E97,""))</f>
        <v>-0.0940774336104386</v>
      </c>
      <c r="H97" s="40" t="n">
        <f aca="false">H30+H51+H74+H96</f>
        <v>49082</v>
      </c>
      <c r="I97" s="40" t="n">
        <f aca="false">I30+I51+I74+I96</f>
        <v>51376</v>
      </c>
      <c r="J97" s="41" t="n">
        <f aca="false">J30+J51+J74+J96</f>
        <v>-2294</v>
      </c>
      <c r="K97" s="42" t="n">
        <f aca="false">IF(OR(C30=0,C51=0,C74=0,C96=0),"",IFERROR(J97/I97,""))</f>
        <v>-0.0446511990034257</v>
      </c>
      <c r="L97" s="40" t="n">
        <f aca="false">IFERROR(D97/C97,"")</f>
        <v>956.709498972657</v>
      </c>
      <c r="M97" s="40" t="n">
        <f aca="false">IFERROR(H97/D97*1000,"")</f>
        <v>8.10857112742708</v>
      </c>
      <c r="N97" s="40" t="n">
        <f aca="false">N30+N51+N74+N96</f>
        <v>704247</v>
      </c>
      <c r="O97" s="41" t="n">
        <f aca="false">O30+O51+O74+O96</f>
        <v>1347</v>
      </c>
      <c r="P97" s="3"/>
      <c r="Q97" s="3"/>
      <c r="R97" s="3"/>
      <c r="S97" s="23" t="n">
        <f aca="true">IFERROR(IF(ISBLANK(INDIRECT("'"&amp;$Q$2&amp;"'!G"&amp;ROW())),"",INDIRECT("'"&amp;$Q$2&amp;"'!G"&amp;ROW())),"")</f>
        <v>0.12830824414492</v>
      </c>
      <c r="T97" s="24" t="n">
        <f aca="false">IF(OR($G97="",$S97=""),"",$G97-$S97)</f>
        <v>-0.222385677755358</v>
      </c>
      <c r="U97" s="23" t="n">
        <f aca="true">IFERROR(IF(ISBLANK(INDIRECT("'"&amp;$Q$2&amp;"'!K"&amp;ROW())),"",INDIRECT("'"&amp;$Q$2&amp;"'!K"&amp;ROW())),"")</f>
        <v>0.0597143457256879</v>
      </c>
      <c r="V97" s="24" t="n">
        <f aca="false">IF(OR($K97="",$U97=""),"",$K97-$U97)</f>
        <v>-0.104365544729114</v>
      </c>
      <c r="W97" s="25" t="n">
        <f aca="true">IFERROR(IF(ISBLANK(INDIRECT("'"&amp;$Q$2&amp;"'!O"&amp;ROW())),"",INDIRECT("'"&amp;$Q$2&amp;"'!O"&amp;ROW())),"")</f>
        <v>1171</v>
      </c>
      <c r="X97" s="25" t="n">
        <f aca="false">IF(OR(C30=0,C51=0,C74=0,C96=0),"",$O97-$W97)</f>
        <v>176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110</v>
      </c>
      <c r="D3" s="32" t="n">
        <v>2647589</v>
      </c>
      <c r="E3" s="32" t="n">
        <f aca="true">IF($D3="","",IFERROR(IF(ISBLANK(INDIRECT("'"&amp;$Q$2&amp;"'!D"&amp;ROW())),"",INDIRECT("'"&amp;$Q$2&amp;"'!D"&amp;ROW())),""))</f>
        <v>1913477</v>
      </c>
      <c r="F3" s="33" t="n">
        <f aca="false">IF(OR(D3="",E3=""),"",D3-E3)</f>
        <v>734112</v>
      </c>
      <c r="G3" s="34" t="n">
        <f aca="false">IFERROR(F3/E3,"")</f>
        <v>0.383653422539179</v>
      </c>
      <c r="H3" s="32" t="n">
        <v>5901</v>
      </c>
      <c r="I3" s="32" t="n">
        <f aca="true">IF($H3="","",IFERROR(IF(ISBLANK(INDIRECT("'"&amp;$Q$2&amp;"'!H"&amp;ROW())),"",INDIRECT("'"&amp;$Q$2&amp;"'!H"&amp;ROW())),""))</f>
        <v>4474</v>
      </c>
      <c r="J3" s="33" t="n">
        <f aca="false">IF(OR(H3="",I3=""),"",H3-I3)</f>
        <v>1427</v>
      </c>
      <c r="K3" s="34" t="n">
        <f aca="false">IFERROR(J3/I3,"")</f>
        <v>0.318953956191328</v>
      </c>
      <c r="L3" s="32" t="n">
        <f aca="false">IFERROR(D3/C3,"")</f>
        <v>24068.9909090909</v>
      </c>
      <c r="M3" s="32" t="n">
        <f aca="false">IFERROR(H3/D3*1000,"")</f>
        <v>2.22882025873351</v>
      </c>
      <c r="N3" s="32" t="n">
        <v>89650</v>
      </c>
      <c r="O3" s="33" t="n">
        <f aca="true">IFERROR(IF(OR(N3="",ISBLANK(INDIRECT("'"&amp;$Q$2&amp;"'!N"&amp;ROW()))),"",N3-INDIRECT("'"&amp;$Q$2&amp;"'!N"&amp;ROW())),"")</f>
        <v>292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2.70201112454655</v>
      </c>
      <c r="T3" s="16" t="n">
        <f aca="false">IF(OR($G3="",$S3=""),"",$G3-$S3)</f>
        <v>-2.31835770200738</v>
      </c>
      <c r="U3" s="15" t="n">
        <f aca="true">IFERROR(IF(ISBLANK(INDIRECT("'"&amp;$Q$2&amp;"'!K"&amp;ROW())),"",INDIRECT("'"&amp;$Q$2&amp;"'!K"&amp;ROW())),"")</f>
        <v>1.30262480699949</v>
      </c>
      <c r="V3" s="16" t="n">
        <f aca="false">IF(OR($K3="",$U3=""),"",$K3-$U3)</f>
        <v>-0.983670850808158</v>
      </c>
      <c r="W3" s="17" t="n">
        <f aca="true">IFERROR(IF(ISBLANK(INDIRECT("'"&amp;$Q$2&amp;"'!O"&amp;ROW())),"",INDIRECT("'"&amp;$Q$2&amp;"'!O"&amp;ROW())),"")</f>
        <v>282</v>
      </c>
      <c r="X3" s="17" t="n">
        <f aca="false">IF(OR($O3="",$W3=""),"",$O3-$W3)</f>
        <v>10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120</v>
      </c>
      <c r="D4" s="32" t="n">
        <v>218156</v>
      </c>
      <c r="E4" s="32" t="n">
        <f aca="true">IF($D4="","",IFERROR(IF(ISBLANK(INDIRECT("'"&amp;$Q$2&amp;"'!D"&amp;ROW())),"",INDIRECT("'"&amp;$Q$2&amp;"'!D"&amp;ROW())),""))</f>
        <v>126444</v>
      </c>
      <c r="F4" s="33" t="n">
        <f aca="false">IF(OR(D4="",E4=""),"",D4-E4)</f>
        <v>91712</v>
      </c>
      <c r="G4" s="34" t="n">
        <f aca="false">IFERROR(F4/E4,"")</f>
        <v>0.725317136439847</v>
      </c>
      <c r="H4" s="32" t="n">
        <v>672</v>
      </c>
      <c r="I4" s="32" t="n">
        <f aca="true">IF($H4="","",IFERROR(IF(ISBLANK(INDIRECT("'"&amp;$Q$2&amp;"'!H"&amp;ROW())),"",INDIRECT("'"&amp;$Q$2&amp;"'!H"&amp;ROW())),""))</f>
        <v>528</v>
      </c>
      <c r="J4" s="33" t="n">
        <f aca="false">IF(OR(H4="",I4=""),"",H4-I4)</f>
        <v>144</v>
      </c>
      <c r="K4" s="34" t="n">
        <f aca="false">IFERROR(J4/I4,"")</f>
        <v>0.272727272727273</v>
      </c>
      <c r="L4" s="32" t="n">
        <f aca="false">IFERROR(D4/C4,"")</f>
        <v>1817.96666666667</v>
      </c>
      <c r="M4" s="32" t="n">
        <f aca="false">IFERROR(H4/D4*1000,"")</f>
        <v>3.08036450980033</v>
      </c>
      <c r="N4" s="32" t="n">
        <v>26291</v>
      </c>
      <c r="O4" s="33" t="n">
        <f aca="true">IFERROR(IF(OR(N4="",ISBLANK(INDIRECT("'"&amp;$Q$2&amp;"'!N"&amp;ROW()))),"",N4-INDIRECT("'"&amp;$Q$2&amp;"'!N"&amp;ROW())),"")</f>
        <v>31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-0.415166161744641</v>
      </c>
      <c r="T4" s="16" t="n">
        <f aca="false">IF(OR($G4="",$S4=""),"",$G4-$S4)</f>
        <v>1.14048329818449</v>
      </c>
      <c r="U4" s="15" t="n">
        <f aca="true">IFERROR(IF(ISBLANK(INDIRECT("'"&amp;$Q$2&amp;"'!K"&amp;ROW())),"",INDIRECT("'"&amp;$Q$2&amp;"'!K"&amp;ROW())),"")</f>
        <v>-0.240287769784173</v>
      </c>
      <c r="V4" s="16" t="n">
        <f aca="false">IF(OR($K4="",$U4=""),"",$K4-$U4)</f>
        <v>0.513015042511445</v>
      </c>
      <c r="W4" s="17" t="n">
        <f aca="true">IFERROR(IF(ISBLANK(INDIRECT("'"&amp;$Q$2&amp;"'!O"&amp;ROW())),"",INDIRECT("'"&amp;$Q$2&amp;"'!O"&amp;ROW())),"")</f>
        <v>11</v>
      </c>
      <c r="X4" s="17" t="n">
        <f aca="false">IF(OR($O4="",$W4=""),"",$O4-$W4)</f>
        <v>20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171</v>
      </c>
      <c r="D5" s="32" t="n">
        <v>2991</v>
      </c>
      <c r="E5" s="32" t="n">
        <f aca="true">IF($D5="","",IFERROR(IF(ISBLANK(INDIRECT("'"&amp;$Q$2&amp;"'!D"&amp;ROW())),"",INDIRECT("'"&amp;$Q$2&amp;"'!D"&amp;ROW())),""))</f>
        <v>3977</v>
      </c>
      <c r="F5" s="33" t="n">
        <f aca="false">IF(OR(D5="",E5=""),"",D5-E5)</f>
        <v>-986</v>
      </c>
      <c r="G5" s="34" t="n">
        <f aca="false">IFERROR(F5/E5,"")</f>
        <v>-0.247925572039226</v>
      </c>
      <c r="H5" s="32" t="n">
        <v>12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0</v>
      </c>
      <c r="K5" s="34" t="n">
        <f aca="false">IFERROR(J5/I5,"")</f>
        <v>0</v>
      </c>
      <c r="L5" s="32" t="n">
        <f aca="false">IFERROR(D5/C5,"")</f>
        <v>17.4912280701754</v>
      </c>
      <c r="M5" s="32" t="n">
        <f aca="false">IFERROR(H5/D5*1000,"")</f>
        <v>4.01203610832498</v>
      </c>
      <c r="N5" s="32" t="n">
        <v>3503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-0.058252427184466</v>
      </c>
      <c r="T5" s="16" t="n">
        <f aca="false">IF(OR($G5="",$S5=""),"",$G5-$S5)</f>
        <v>-0.18967314485476</v>
      </c>
      <c r="U5" s="15" t="n">
        <f aca="true">IFERROR(IF(ISBLANK(INDIRECT("'"&amp;$Q$2&amp;"'!K"&amp;ROW())),"",INDIRECT("'"&amp;$Q$2&amp;"'!K"&amp;ROW())),"")</f>
        <v>0.2</v>
      </c>
      <c r="V5" s="16" t="n">
        <f aca="false">IF(OR($K5="",$U5=""),"",$K5-$U5)</f>
        <v>-0.2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79350</v>
      </c>
      <c r="E6" s="32" t="n">
        <f aca="true">IF($D6="","",IFERROR(IF(ISBLANK(INDIRECT("'"&amp;$Q$2&amp;"'!D"&amp;ROW())),"",INDIRECT("'"&amp;$Q$2&amp;"'!D"&amp;ROW())),""))</f>
        <v>63285</v>
      </c>
      <c r="F6" s="33" t="n">
        <f aca="false">IF(OR(D6="",E6=""),"",D6-E6)</f>
        <v>16065</v>
      </c>
      <c r="G6" s="34" t="n">
        <f aca="false">IFERROR(F6/E6,"")</f>
        <v>0.25385162360749</v>
      </c>
      <c r="H6" s="32" t="n">
        <v>466</v>
      </c>
      <c r="I6" s="32" t="n">
        <f aca="true">IF($H6="","",IFERROR(IF(ISBLANK(INDIRECT("'"&amp;$Q$2&amp;"'!H"&amp;ROW())),"",INDIRECT("'"&amp;$Q$2&amp;"'!H"&amp;ROW())),""))</f>
        <v>343</v>
      </c>
      <c r="J6" s="33" t="n">
        <f aca="false">IF(OR(H6="",I6=""),"",H6-I6)</f>
        <v>123</v>
      </c>
      <c r="K6" s="34" t="n">
        <f aca="false">IFERROR(J6/I6,"")</f>
        <v>0.358600583090379</v>
      </c>
      <c r="L6" s="32" t="n">
        <f aca="false">IFERROR(D6/C6,"")</f>
        <v>956.024096385542</v>
      </c>
      <c r="M6" s="32" t="n">
        <f aca="false">IFERROR(H6/D6*1000,"")</f>
        <v>5.87271581600504</v>
      </c>
      <c r="N6" s="32" t="n">
        <v>22949</v>
      </c>
      <c r="O6" s="33" t="n">
        <f aca="true">IFERROR(IF(OR(N6="",ISBLANK(INDIRECT("'"&amp;$Q$2&amp;"'!N"&amp;ROW()))),"",N6-INDIRECT("'"&amp;$Q$2&amp;"'!N"&amp;ROW())),"")</f>
        <v>17</v>
      </c>
      <c r="P6" s="3"/>
      <c r="Q6" s="3"/>
      <c r="R6" s="3"/>
      <c r="S6" s="15" t="n">
        <f aca="true">IFERROR(IF(ISBLANK(INDIRECT("'"&amp;$Q$2&amp;"'!G"&amp;ROW())),"",INDIRECT("'"&amp;$Q$2&amp;"'!G"&amp;ROW())),"")</f>
        <v>0.208951802395553</v>
      </c>
      <c r="T6" s="16" t="n">
        <f aca="false">IF(OR($G6="",$S6=""),"",$G6-$S6)</f>
        <v>0.0448998212119372</v>
      </c>
      <c r="U6" s="15" t="n">
        <f aca="true">IFERROR(IF(ISBLANK(INDIRECT("'"&amp;$Q$2&amp;"'!K"&amp;ROW())),"",INDIRECT("'"&amp;$Q$2&amp;"'!K"&amp;ROW())),"")</f>
        <v>0.178694158075601</v>
      </c>
      <c r="V6" s="16" t="n">
        <f aca="false">IF(OR($K6="",$U6=""),"",$K6-$U6)</f>
        <v>0.179906425014778</v>
      </c>
      <c r="W6" s="17" t="n">
        <f aca="true">IFERROR(IF(ISBLANK(INDIRECT("'"&amp;$Q$2&amp;"'!O"&amp;ROW())),"",INDIRECT("'"&amp;$Q$2&amp;"'!O"&amp;ROW())),"")</f>
        <v>1</v>
      </c>
      <c r="X6" s="17" t="n">
        <f aca="false">IF(OR($O6="",$W6=""),"",$O6-$W6)</f>
        <v>16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95</v>
      </c>
      <c r="D7" s="32" t="n">
        <v>84352</v>
      </c>
      <c r="E7" s="32" t="n">
        <f aca="true">IF($D7="","",IFERROR(IF(ISBLANK(INDIRECT("'"&amp;$Q$2&amp;"'!D"&amp;ROW())),"",INDIRECT("'"&amp;$Q$2&amp;"'!D"&amp;ROW())),""))</f>
        <v>78870</v>
      </c>
      <c r="F7" s="33" t="n">
        <f aca="false">IF(OR(D7="",E7=""),"",D7-E7)</f>
        <v>5482</v>
      </c>
      <c r="G7" s="34" t="n">
        <f aca="false">IFERROR(F7/E7,"")</f>
        <v>0.0695067833143147</v>
      </c>
      <c r="H7" s="32" t="n">
        <v>1068</v>
      </c>
      <c r="I7" s="32" t="n">
        <f aca="true">IF($H7="","",IFERROR(IF(ISBLANK(INDIRECT("'"&amp;$Q$2&amp;"'!H"&amp;ROW())),"",INDIRECT("'"&amp;$Q$2&amp;"'!H"&amp;ROW())),""))</f>
        <v>796</v>
      </c>
      <c r="J7" s="33" t="n">
        <f aca="false">IF(OR(H7="",I7=""),"",H7-I7)</f>
        <v>272</v>
      </c>
      <c r="K7" s="34" t="n">
        <f aca="false">IFERROR(J7/I7,"")</f>
        <v>0.341708542713568</v>
      </c>
      <c r="L7" s="32" t="n">
        <f aca="false">IFERROR(D7/C7,"")</f>
        <v>887.915789473684</v>
      </c>
      <c r="M7" s="32" t="n">
        <f aca="false">IFERROR(H7/D7*1000,"")</f>
        <v>12.6612291350531</v>
      </c>
      <c r="N7" s="32" t="n">
        <v>24901</v>
      </c>
      <c r="O7" s="33" t="n">
        <f aca="true">IFERROR(IF(OR(N7="",ISBLANK(INDIRECT("'"&amp;$Q$2&amp;"'!N"&amp;ROW()))),"",N7-INDIRECT("'"&amp;$Q$2&amp;"'!N"&amp;ROW())),"")</f>
        <v>33</v>
      </c>
      <c r="P7" s="3"/>
      <c r="Q7" s="3"/>
      <c r="R7" s="3"/>
      <c r="S7" s="15" t="n">
        <f aca="true">IFERROR(IF(ISBLANK(INDIRECT("'"&amp;$Q$2&amp;"'!G"&amp;ROW())),"",INDIRECT("'"&amp;$Q$2&amp;"'!G"&amp;ROW())),"")</f>
        <v>-0.270674397314617</v>
      </c>
      <c r="T7" s="16" t="n">
        <f aca="false">IF(OR($G7="",$S7=""),"",$G7-$S7)</f>
        <v>0.340181180628932</v>
      </c>
      <c r="U7" s="15" t="n">
        <f aca="true">IFERROR(IF(ISBLANK(INDIRECT("'"&amp;$Q$2&amp;"'!K"&amp;ROW())),"",INDIRECT("'"&amp;$Q$2&amp;"'!K"&amp;ROW())),"")</f>
        <v>-0.223414634146341</v>
      </c>
      <c r="V7" s="16" t="n">
        <f aca="false">IF(OR($K7="",$U7=""),"",$K7-$U7)</f>
        <v>0.565123176859909</v>
      </c>
      <c r="W7" s="17" t="n">
        <f aca="true">IFERROR(IF(ISBLANK(INDIRECT("'"&amp;$Q$2&amp;"'!O"&amp;ROW())),"",INDIRECT("'"&amp;$Q$2&amp;"'!O"&amp;ROW())),"")</f>
        <v>36</v>
      </c>
      <c r="X7" s="17" t="n">
        <f aca="false">IF(OR($O7="",$W7=""),"",$O7-$W7)</f>
        <v>-3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76</v>
      </c>
      <c r="D8" s="32" t="n">
        <v>196212</v>
      </c>
      <c r="E8" s="32" t="n">
        <f aca="true">IF($D8="","",IFERROR(IF(ISBLANK(INDIRECT("'"&amp;$Q$2&amp;"'!D"&amp;ROW())),"",INDIRECT("'"&amp;$Q$2&amp;"'!D"&amp;ROW())),""))</f>
        <v>296983</v>
      </c>
      <c r="F8" s="33" t="n">
        <f aca="false">IF(OR(D8="",E8=""),"",D8-E8)</f>
        <v>-100771</v>
      </c>
      <c r="G8" s="34" t="n">
        <f aca="false">IFERROR(F8/E8,"")</f>
        <v>-0.339315718408124</v>
      </c>
      <c r="H8" s="32" t="n">
        <v>2605</v>
      </c>
      <c r="I8" s="32" t="n">
        <f aca="true">IF($H8="","",IFERROR(IF(ISBLANK(INDIRECT("'"&amp;$Q$2&amp;"'!H"&amp;ROW())),"",INDIRECT("'"&amp;$Q$2&amp;"'!H"&amp;ROW())),""))</f>
        <v>3566</v>
      </c>
      <c r="J8" s="33" t="n">
        <f aca="false">IF(OR(H8="",I8=""),"",H8-I8)</f>
        <v>-961</v>
      </c>
      <c r="K8" s="34" t="n">
        <f aca="false">IFERROR(J8/I8,"")</f>
        <v>-0.269489624228828</v>
      </c>
      <c r="L8" s="32" t="n">
        <f aca="false">IFERROR(D8/C8,"")</f>
        <v>2581.73684210526</v>
      </c>
      <c r="M8" s="32" t="n">
        <f aca="false">IFERROR(H8/D8*1000,"")</f>
        <v>13.2764560781196</v>
      </c>
      <c r="N8" s="32" t="n">
        <v>21769</v>
      </c>
      <c r="O8" s="33" t="n">
        <f aca="true">IFERROR(IF(OR(N8="",ISBLANK(INDIRECT("'"&amp;$Q$2&amp;"'!N"&amp;ROW()))),"",N8-INDIRECT("'"&amp;$Q$2&amp;"'!N"&amp;ROW())),"")</f>
        <v>25</v>
      </c>
      <c r="P8" s="3"/>
      <c r="Q8" s="3"/>
      <c r="R8" s="3"/>
      <c r="S8" s="15" t="n">
        <f aca="true">IFERROR(IF(ISBLANK(INDIRECT("'"&amp;$Q$2&amp;"'!G"&amp;ROW())),"",INDIRECT("'"&amp;$Q$2&amp;"'!G"&amp;ROW())),"")</f>
        <v>-0.146541715520611</v>
      </c>
      <c r="T8" s="16" t="n">
        <f aca="false">IF(OR($G8="",$S8=""),"",$G8-$S8)</f>
        <v>-0.192774002887514</v>
      </c>
      <c r="U8" s="15" t="n">
        <f aca="true">IFERROR(IF(ISBLANK(INDIRECT("'"&amp;$Q$2&amp;"'!K"&amp;ROW())),"",INDIRECT("'"&amp;$Q$2&amp;"'!K"&amp;ROW())),"")</f>
        <v>-0.046524064171123</v>
      </c>
      <c r="V8" s="16" t="n">
        <f aca="false">IF(OR($K8="",$U8=""),"",$K8-$U8)</f>
        <v>-0.222965560057705</v>
      </c>
      <c r="W8" s="17" t="n">
        <f aca="true">IFERROR(IF(ISBLANK(INDIRECT("'"&amp;$Q$2&amp;"'!O"&amp;ROW())),"",INDIRECT("'"&amp;$Q$2&amp;"'!O"&amp;ROW())),"")</f>
        <v>29</v>
      </c>
      <c r="X8" s="17" t="n">
        <f aca="false">IF(OR($O8="",$W8=""),"",$O8-$W8)</f>
        <v>-4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91</v>
      </c>
      <c r="D9" s="32" t="n">
        <v>320603</v>
      </c>
      <c r="E9" s="32" t="n">
        <f aca="true">IF($D9="","",IFERROR(IF(ISBLANK(INDIRECT("'"&amp;$Q$2&amp;"'!D"&amp;ROW())),"",INDIRECT("'"&amp;$Q$2&amp;"'!D"&amp;ROW())),""))</f>
        <v>322545</v>
      </c>
      <c r="F9" s="33" t="n">
        <f aca="false">IF(OR(D9="",E9=""),"",D9-E9)</f>
        <v>-1942</v>
      </c>
      <c r="G9" s="34" t="n">
        <f aca="false">IFERROR(F9/E9,"")</f>
        <v>-0.00602086530561627</v>
      </c>
      <c r="H9" s="32" t="n">
        <v>4182</v>
      </c>
      <c r="I9" s="32" t="n">
        <f aca="true">IF($H9="","",IFERROR(IF(ISBLANK(INDIRECT("'"&amp;$Q$2&amp;"'!H"&amp;ROW())),"",INDIRECT("'"&amp;$Q$2&amp;"'!H"&amp;ROW())),""))</f>
        <v>4156</v>
      </c>
      <c r="J9" s="33" t="n">
        <f aca="false">IF(OR(H9="",I9=""),"",H9-I9)</f>
        <v>26</v>
      </c>
      <c r="K9" s="34" t="n">
        <f aca="false">IFERROR(J9/I9,"")</f>
        <v>0.00625601539942252</v>
      </c>
      <c r="L9" s="32" t="n">
        <f aca="false">IFERROR(D9/C9,"")</f>
        <v>3523.10989010989</v>
      </c>
      <c r="M9" s="32" t="n">
        <f aca="false">IFERROR(H9/D9*1000,"")</f>
        <v>13.0441698923591</v>
      </c>
      <c r="N9" s="32" t="n">
        <v>31346</v>
      </c>
      <c r="O9" s="33" t="n">
        <f aca="true">IFERROR(IF(OR(N9="",ISBLANK(INDIRECT("'"&amp;$Q$2&amp;"'!N"&amp;ROW()))),"",N9-INDIRECT("'"&amp;$Q$2&amp;"'!N"&amp;ROW())),"")</f>
        <v>16</v>
      </c>
      <c r="P9" s="3"/>
      <c r="Q9" s="3"/>
      <c r="R9" s="3"/>
      <c r="S9" s="15" t="n">
        <f aca="true">IFERROR(IF(ISBLANK(INDIRECT("'"&amp;$Q$2&amp;"'!G"&amp;ROW())),"",INDIRECT("'"&amp;$Q$2&amp;"'!G"&amp;ROW())),"")</f>
        <v>-0.24076153351835</v>
      </c>
      <c r="T9" s="16" t="n">
        <f aca="false">IF(OR($G9="",$S9=""),"",$G9-$S9)</f>
        <v>0.234740668212734</v>
      </c>
      <c r="U9" s="15" t="n">
        <f aca="true">IFERROR(IF(ISBLANK(INDIRECT("'"&amp;$Q$2&amp;"'!K"&amp;ROW())),"",INDIRECT("'"&amp;$Q$2&amp;"'!K"&amp;ROW())),"")</f>
        <v>-0.00740386911870074</v>
      </c>
      <c r="V9" s="16" t="n">
        <f aca="false">IF(OR($K9="",$U9=""),"",$K9-$U9)</f>
        <v>0.0136598845181233</v>
      </c>
      <c r="W9" s="17" t="n">
        <f aca="true">IFERROR(IF(ISBLANK(INDIRECT("'"&amp;$Q$2&amp;"'!O"&amp;ROW())),"",INDIRECT("'"&amp;$Q$2&amp;"'!O"&amp;ROW())),"")</f>
        <v>29</v>
      </c>
      <c r="X9" s="17" t="n">
        <f aca="false">IF(OR($O9="",$W9=""),"",$O9-$W9)</f>
        <v>-13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145</v>
      </c>
      <c r="D10" s="32" t="n">
        <v>197099</v>
      </c>
      <c r="E10" s="32" t="n">
        <f aca="true">IF($D10="","",IFERROR(IF(ISBLANK(INDIRECT("'"&amp;$Q$2&amp;"'!D"&amp;ROW())),"",INDIRECT("'"&amp;$Q$2&amp;"'!D"&amp;ROW())),""))</f>
        <v>167913</v>
      </c>
      <c r="F10" s="33" t="n">
        <f aca="false">IF(OR(D10="",E10=""),"",D10-E10)</f>
        <v>29186</v>
      </c>
      <c r="G10" s="34" t="n">
        <f aca="false">IFERROR(F10/E10,"")</f>
        <v>0.173816202438167</v>
      </c>
      <c r="H10" s="32" t="n">
        <v>2190</v>
      </c>
      <c r="I10" s="32" t="n">
        <f aca="true">IF($H10="","",IFERROR(IF(ISBLANK(INDIRECT("'"&amp;$Q$2&amp;"'!H"&amp;ROW())),"",INDIRECT("'"&amp;$Q$2&amp;"'!H"&amp;ROW())),""))</f>
        <v>1192</v>
      </c>
      <c r="J10" s="33" t="n">
        <f aca="false">IF(OR(H10="",I10=""),"",H10-I10)</f>
        <v>998</v>
      </c>
      <c r="K10" s="34" t="n">
        <f aca="false">IFERROR(J10/I10,"")</f>
        <v>0.837248322147651</v>
      </c>
      <c r="L10" s="32" t="n">
        <f aca="false">IFERROR(D10/C10,"")</f>
        <v>1359.30344827586</v>
      </c>
      <c r="M10" s="32" t="n">
        <f aca="false">IFERROR(H10/D10*1000,"")</f>
        <v>11.1111674843607</v>
      </c>
      <c r="N10" s="32" t="n">
        <v>21613</v>
      </c>
      <c r="O10" s="33" t="n">
        <f aca="true">IFERROR(IF(OR(N10="",ISBLANK(INDIRECT("'"&amp;$Q$2&amp;"'!N"&amp;ROW()))),"",N10-INDIRECT("'"&amp;$Q$2&amp;"'!N"&amp;ROW())),"")</f>
        <v>27</v>
      </c>
      <c r="P10" s="3"/>
      <c r="Q10" s="3"/>
      <c r="R10" s="3"/>
      <c r="S10" s="15" t="n">
        <f aca="true">IFERROR(IF(ISBLANK(INDIRECT("'"&amp;$Q$2&amp;"'!G"&amp;ROW())),"",INDIRECT("'"&amp;$Q$2&amp;"'!G"&amp;ROW())),"")</f>
        <v>-0.172149090371247</v>
      </c>
      <c r="T10" s="16" t="n">
        <f aca="false">IF(OR($G10="",$S10=""),"",$G10-$S10)</f>
        <v>0.345965292809414</v>
      </c>
      <c r="U10" s="15" t="n">
        <f aca="true">IFERROR(IF(ISBLANK(INDIRECT("'"&amp;$Q$2&amp;"'!K"&amp;ROW())),"",INDIRECT("'"&amp;$Q$2&amp;"'!K"&amp;ROW())),"")</f>
        <v>-0.0865900383141763</v>
      </c>
      <c r="V10" s="16" t="n">
        <f aca="false">IF(OR($K10="",$U10=""),"",$K10-$U10)</f>
        <v>0.923838360461827</v>
      </c>
      <c r="W10" s="17" t="n">
        <f aca="true">IFERROR(IF(ISBLANK(INDIRECT("'"&amp;$Q$2&amp;"'!O"&amp;ROW())),"",INDIRECT("'"&amp;$Q$2&amp;"'!O"&amp;ROW())),"")</f>
        <v>12</v>
      </c>
      <c r="X10" s="17" t="n">
        <f aca="false">IF(OR($O10="",$W10=""),"",$O10-$W10)</f>
        <v>15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366428</v>
      </c>
      <c r="E11" s="32" t="n">
        <f aca="true">IF($D11="","",IFERROR(IF(ISBLANK(INDIRECT("'"&amp;$Q$2&amp;"'!D"&amp;ROW())),"",INDIRECT("'"&amp;$Q$2&amp;"'!D"&amp;ROW())),""))</f>
        <v>407601</v>
      </c>
      <c r="F11" s="33" t="n">
        <f aca="false">IF(OR(D11="",E11=""),"",D11-E11)</f>
        <v>-41173</v>
      </c>
      <c r="G11" s="34" t="n">
        <f aca="false">IFERROR(F11/E11,"")</f>
        <v>-0.101013000458782</v>
      </c>
      <c r="H11" s="32" t="n">
        <v>2775</v>
      </c>
      <c r="I11" s="32" t="n">
        <f aca="true">IF($H11="","",IFERROR(IF(ISBLANK(INDIRECT("'"&amp;$Q$2&amp;"'!H"&amp;ROW())),"",INDIRECT("'"&amp;$Q$2&amp;"'!H"&amp;ROW())),""))</f>
        <v>3694</v>
      </c>
      <c r="J11" s="33" t="n">
        <f aca="false">IF(OR(H11="",I11=""),"",H11-I11)</f>
        <v>-919</v>
      </c>
      <c r="K11" s="34" t="n">
        <f aca="false">IFERROR(J11/I11,"")</f>
        <v>-0.248781808337845</v>
      </c>
      <c r="L11" s="32" t="n">
        <f aca="false">IFERROR(D11/C11,"")</f>
        <v>3523.34615384615</v>
      </c>
      <c r="M11" s="32" t="n">
        <f aca="false">IFERROR(H11/D11*1000,"")</f>
        <v>7.57311122512472</v>
      </c>
      <c r="N11" s="32" t="n">
        <v>20815</v>
      </c>
      <c r="O11" s="33" t="n">
        <f aca="true">IFERROR(IF(OR(N11="",ISBLANK(INDIRECT("'"&amp;$Q$2&amp;"'!N"&amp;ROW()))),"",N11-INDIRECT("'"&amp;$Q$2&amp;"'!N"&amp;ROW())),"")</f>
        <v>18</v>
      </c>
      <c r="P11" s="3"/>
      <c r="Q11" s="3"/>
      <c r="R11" s="3"/>
      <c r="S11" s="15" t="n">
        <f aca="true">IFERROR(IF(ISBLANK(INDIRECT("'"&amp;$Q$2&amp;"'!G"&amp;ROW())),"",INDIRECT("'"&amp;$Q$2&amp;"'!G"&amp;ROW())),"")</f>
        <v>-0.287881434995755</v>
      </c>
      <c r="T11" s="16" t="n">
        <f aca="false">IF(OR($G11="",$S11=""),"",$G11-$S11)</f>
        <v>0.186868434536973</v>
      </c>
      <c r="U11" s="15" t="n">
        <f aca="true">IFERROR(IF(ISBLANK(INDIRECT("'"&amp;$Q$2&amp;"'!K"&amp;ROW())),"",INDIRECT("'"&amp;$Q$2&amp;"'!K"&amp;ROW())),"")</f>
        <v>-0.173046787553168</v>
      </c>
      <c r="V11" s="16" t="n">
        <f aca="false">IF(OR($K11="",$U11=""),"",$K11-$U11)</f>
        <v>-0.0757350207846775</v>
      </c>
      <c r="W11" s="17" t="n">
        <f aca="true">IFERROR(IF(ISBLANK(INDIRECT("'"&amp;$Q$2&amp;"'!O"&amp;ROW())),"",INDIRECT("'"&amp;$Q$2&amp;"'!O"&amp;ROW())),"")</f>
        <v>23</v>
      </c>
      <c r="X11" s="17" t="n">
        <f aca="false">IF(OR($O11="",$W11=""),"",$O11-$W11)</f>
        <v>-5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65</v>
      </c>
      <c r="D12" s="32" t="n">
        <v>119193</v>
      </c>
      <c r="E12" s="32" t="n">
        <f aca="true">IF($D12="","",IFERROR(IF(ISBLANK(INDIRECT("'"&amp;$Q$2&amp;"'!D"&amp;ROW())),"",INDIRECT("'"&amp;$Q$2&amp;"'!D"&amp;ROW())),""))</f>
        <v>111561</v>
      </c>
      <c r="F12" s="33" t="n">
        <f aca="false">IF(OR(D12="",E12=""),"",D12-E12)</f>
        <v>7632</v>
      </c>
      <c r="G12" s="34" t="n">
        <f aca="false">IFERROR(F12/E12,"")</f>
        <v>0.0684110038454299</v>
      </c>
      <c r="H12" s="32" t="n">
        <v>1839</v>
      </c>
      <c r="I12" s="32" t="n">
        <f aca="true">IF($H12="","",IFERROR(IF(ISBLANK(INDIRECT("'"&amp;$Q$2&amp;"'!H"&amp;ROW())),"",INDIRECT("'"&amp;$Q$2&amp;"'!H"&amp;ROW())),""))</f>
        <v>1930</v>
      </c>
      <c r="J12" s="33" t="n">
        <f aca="false">IF(OR(H12="",I12=""),"",H12-I12)</f>
        <v>-91</v>
      </c>
      <c r="K12" s="34" t="n">
        <f aca="false">IFERROR(J12/I12,"")</f>
        <v>-0.0471502590673575</v>
      </c>
      <c r="L12" s="32" t="n">
        <f aca="false">IFERROR(D12/C12,"")</f>
        <v>1833.73846153846</v>
      </c>
      <c r="M12" s="32" t="n">
        <f aca="false">IFERROR(H12/D12*1000,"")</f>
        <v>15.4287584002416</v>
      </c>
      <c r="N12" s="32" t="n">
        <v>15558</v>
      </c>
      <c r="O12" s="33" t="n">
        <f aca="true">IFERROR(IF(OR(N12="",ISBLANK(INDIRECT("'"&amp;$Q$2&amp;"'!N"&amp;ROW()))),"",N12-INDIRECT("'"&amp;$Q$2&amp;"'!N"&amp;ROW())),"")</f>
        <v>60</v>
      </c>
      <c r="P12" s="3"/>
      <c r="Q12" s="3"/>
      <c r="R12" s="3"/>
      <c r="S12" s="15" t="n">
        <f aca="true">IFERROR(IF(ISBLANK(INDIRECT("'"&amp;$Q$2&amp;"'!G"&amp;ROW())),"",INDIRECT("'"&amp;$Q$2&amp;"'!G"&amp;ROW())),"")</f>
        <v>-0.266036395215727</v>
      </c>
      <c r="T12" s="16" t="n">
        <f aca="false">IF(OR($G12="",$S12=""),"",$G12-$S12)</f>
        <v>0.334447399061156</v>
      </c>
      <c r="U12" s="15" t="n">
        <f aca="true">IFERROR(IF(ISBLANK(INDIRECT("'"&amp;$Q$2&amp;"'!K"&amp;ROW())),"",INDIRECT("'"&amp;$Q$2&amp;"'!K"&amp;ROW())),"")</f>
        <v>-0.181856718948707</v>
      </c>
      <c r="V12" s="16" t="n">
        <f aca="false">IF(OR($K12="",$U12=""),"",$K12-$U12)</f>
        <v>0.13470645988135</v>
      </c>
      <c r="W12" s="17" t="n">
        <f aca="true">IFERROR(IF(ISBLANK(INDIRECT("'"&amp;$Q$2&amp;"'!O"&amp;ROW())),"",INDIRECT("'"&amp;$Q$2&amp;"'!O"&amp;ROW())),"")</f>
        <v>44</v>
      </c>
      <c r="X12" s="17" t="n">
        <f aca="false">IF(OR($O12="",$W12=""),"",$O12-$W12)</f>
        <v>16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47</v>
      </c>
      <c r="D13" s="32" t="n">
        <v>19819</v>
      </c>
      <c r="E13" s="32" t="n">
        <f aca="true">IF($D13="","",IFERROR(IF(ISBLANK(INDIRECT("'"&amp;$Q$2&amp;"'!D"&amp;ROW())),"",INDIRECT("'"&amp;$Q$2&amp;"'!D"&amp;ROW())),""))</f>
        <v>33284</v>
      </c>
      <c r="F13" s="33" t="n">
        <f aca="false">IF(OR(D13="",E13=""),"",D13-E13)</f>
        <v>-13465</v>
      </c>
      <c r="G13" s="34" t="n">
        <f aca="false">IFERROR(F13/E13,"")</f>
        <v>-0.404548732123543</v>
      </c>
      <c r="H13" s="32" t="n">
        <v>287</v>
      </c>
      <c r="I13" s="32" t="n">
        <f aca="true">IF($H13="","",IFERROR(IF(ISBLANK(INDIRECT("'"&amp;$Q$2&amp;"'!H"&amp;ROW())),"",INDIRECT("'"&amp;$Q$2&amp;"'!H"&amp;ROW())),""))</f>
        <v>353</v>
      </c>
      <c r="J13" s="33" t="n">
        <f aca="false">IF(OR(H13="",I13=""),"",H13-I13)</f>
        <v>-66</v>
      </c>
      <c r="K13" s="34" t="n">
        <f aca="false">IFERROR(J13/I13,"")</f>
        <v>-0.186968838526912</v>
      </c>
      <c r="L13" s="32" t="n">
        <f aca="false">IFERROR(D13/C13,"")</f>
        <v>421.68085106383</v>
      </c>
      <c r="M13" s="32" t="n">
        <f aca="false">IFERROR(H13/D13*1000,"")</f>
        <v>14.4810535344871</v>
      </c>
      <c r="N13" s="32" t="n">
        <v>16429</v>
      </c>
      <c r="O13" s="33" t="n">
        <f aca="true">IFERROR(IF(OR(N13="",ISBLANK(INDIRECT("'"&amp;$Q$2&amp;"'!N"&amp;ROW()))),"",N13-INDIRECT("'"&amp;$Q$2&amp;"'!N"&amp;ROW())),"")</f>
        <v>-14</v>
      </c>
      <c r="P13" s="3"/>
      <c r="Q13" s="3"/>
      <c r="R13" s="3"/>
      <c r="S13" s="15" t="n">
        <f aca="true">IFERROR(IF(ISBLANK(INDIRECT("'"&amp;$Q$2&amp;"'!G"&amp;ROW())),"",INDIRECT("'"&amp;$Q$2&amp;"'!G"&amp;ROW())),"")</f>
        <v>-0.31555244812766</v>
      </c>
      <c r="T13" s="16" t="n">
        <f aca="false">IF(OR($G13="",$S13=""),"",$G13-$S13)</f>
        <v>-0.0889962839958824</v>
      </c>
      <c r="U13" s="15" t="n">
        <f aca="true">IFERROR(IF(ISBLANK(INDIRECT("'"&amp;$Q$2&amp;"'!K"&amp;ROW())),"",INDIRECT("'"&amp;$Q$2&amp;"'!K"&amp;ROW())),"")</f>
        <v>-0.5</v>
      </c>
      <c r="V13" s="16" t="n">
        <f aca="false">IF(OR($K13="",$U13=""),"",$K13-$U13)</f>
        <v>0.313031161473088</v>
      </c>
      <c r="W13" s="17" t="n">
        <f aca="true">IFERROR(IF(ISBLANK(INDIRECT("'"&amp;$Q$2&amp;"'!O"&amp;ROW())),"",INDIRECT("'"&amp;$Q$2&amp;"'!O"&amp;ROW())),"")</f>
        <v>-4</v>
      </c>
      <c r="X13" s="17" t="n">
        <f aca="false">IF(OR($O13="",$W13=""),"",$O13-$W13)</f>
        <v>-10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65</v>
      </c>
      <c r="D14" s="32" t="n">
        <v>58490</v>
      </c>
      <c r="E14" s="32" t="n">
        <f aca="true">IF($D14="","",IFERROR(IF(ISBLANK(INDIRECT("'"&amp;$Q$2&amp;"'!D"&amp;ROW())),"",INDIRECT("'"&amp;$Q$2&amp;"'!D"&amp;ROW())),""))</f>
        <v>48840</v>
      </c>
      <c r="F14" s="33" t="n">
        <f aca="false">IF(OR(D14="",E14=""),"",D14-E14)</f>
        <v>9650</v>
      </c>
      <c r="G14" s="34" t="n">
        <f aca="false">IFERROR(F14/E14,"")</f>
        <v>0.197583947583948</v>
      </c>
      <c r="H14" s="32" t="n">
        <v>798</v>
      </c>
      <c r="I14" s="32" t="n">
        <f aca="true">IF($H14="","",IFERROR(IF(ISBLANK(INDIRECT("'"&amp;$Q$2&amp;"'!H"&amp;ROW())),"",INDIRECT("'"&amp;$Q$2&amp;"'!H"&amp;ROW())),""))</f>
        <v>534</v>
      </c>
      <c r="J14" s="33" t="n">
        <f aca="false">IF(OR(H14="",I14=""),"",H14-I14)</f>
        <v>264</v>
      </c>
      <c r="K14" s="34" t="n">
        <f aca="false">IFERROR(J14/I14,"")</f>
        <v>0.49438202247191</v>
      </c>
      <c r="L14" s="32" t="n">
        <f aca="false">IFERROR(D14/C14,"")</f>
        <v>899.846153846154</v>
      </c>
      <c r="M14" s="32" t="n">
        <f aca="false">IFERROR(H14/D14*1000,"")</f>
        <v>13.6433578389468</v>
      </c>
      <c r="N14" s="32" t="n">
        <v>6468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-0.406308879839543</v>
      </c>
      <c r="T14" s="16" t="n">
        <f aca="false">IF(OR($G14="",$S14=""),"",$G14-$S14)</f>
        <v>0.603892827423491</v>
      </c>
      <c r="U14" s="15" t="n">
        <f aca="true">IFERROR(IF(ISBLANK(INDIRECT("'"&amp;$Q$2&amp;"'!K"&amp;ROW())),"",INDIRECT("'"&amp;$Q$2&amp;"'!K"&amp;ROW())),"")</f>
        <v>-0.321473951715375</v>
      </c>
      <c r="V14" s="16" t="n">
        <f aca="false">IF(OR($K14="",$U14=""),"",$K14-$U14)</f>
        <v>0.815855974187285</v>
      </c>
      <c r="W14" s="17" t="n">
        <f aca="true">IFERROR(IF(ISBLANK(INDIRECT("'"&amp;$Q$2&amp;"'!O"&amp;ROW())),"",INDIRECT("'"&amp;$Q$2&amp;"'!O"&amp;ROW())),"")</f>
        <v>37</v>
      </c>
      <c r="X14" s="17" t="n">
        <f aca="false">IF(OR($O14="",$W14=""),"",$O14-$W14)</f>
        <v>-8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33209</v>
      </c>
      <c r="E15" s="32" t="n">
        <f aca="true">IF($D15="","",IFERROR(IF(ISBLANK(INDIRECT("'"&amp;$Q$2&amp;"'!D"&amp;ROW())),"",INDIRECT("'"&amp;$Q$2&amp;"'!D"&amp;ROW())),""))</f>
        <v>30735</v>
      </c>
      <c r="F15" s="33" t="n">
        <f aca="false">IF(OR(D15="",E15=""),"",D15-E15)</f>
        <v>2474</v>
      </c>
      <c r="G15" s="34" t="n">
        <f aca="false">IFERROR(F15/E15,"")</f>
        <v>0.0804945501870831</v>
      </c>
      <c r="H15" s="32" t="n">
        <v>303</v>
      </c>
      <c r="I15" s="32" t="n">
        <f aca="true">IF($H15="","",IFERROR(IF(ISBLANK(INDIRECT("'"&amp;$Q$2&amp;"'!H"&amp;ROW())),"",INDIRECT("'"&amp;$Q$2&amp;"'!H"&amp;ROW())),""))</f>
        <v>302</v>
      </c>
      <c r="J15" s="33" t="n">
        <f aca="false">IF(OR(H15="",I15=""),"",H15-I15)</f>
        <v>1</v>
      </c>
      <c r="K15" s="34" t="n">
        <f aca="false">IFERROR(J15/I15,"")</f>
        <v>0.0033112582781457</v>
      </c>
      <c r="L15" s="32" t="n">
        <f aca="false">IFERROR(D15/C15,"")</f>
        <v>1229.96296296296</v>
      </c>
      <c r="M15" s="32" t="n">
        <f aca="false">IFERROR(H15/D15*1000,"")</f>
        <v>9.12403264175374</v>
      </c>
      <c r="N15" s="32" t="n">
        <v>3699</v>
      </c>
      <c r="O15" s="33" t="n">
        <f aca="true">IFERROR(IF(OR(N15="",ISBLANK(INDIRECT("'"&amp;$Q$2&amp;"'!N"&amp;ROW()))),"",N15-INDIRECT("'"&amp;$Q$2&amp;"'!N"&amp;ROW())),"")</f>
        <v>12</v>
      </c>
      <c r="P15" s="3"/>
      <c r="Q15" s="3"/>
      <c r="R15" s="3"/>
      <c r="S15" s="15" t="n">
        <f aca="true">IFERROR(IF(ISBLANK(INDIRECT("'"&amp;$Q$2&amp;"'!G"&amp;ROW())),"",INDIRECT("'"&amp;$Q$2&amp;"'!G"&amp;ROW())),"")</f>
        <v>-0.28873923910025</v>
      </c>
      <c r="T15" s="16" t="n">
        <f aca="false">IF(OR($G15="",$S15=""),"",$G15-$S15)</f>
        <v>0.369233789287333</v>
      </c>
      <c r="U15" s="15" t="n">
        <f aca="true">IFERROR(IF(ISBLANK(INDIRECT("'"&amp;$Q$2&amp;"'!K"&amp;ROW())),"",INDIRECT("'"&amp;$Q$2&amp;"'!K"&amp;ROW())),"")</f>
        <v>-0.132183908045977</v>
      </c>
      <c r="V15" s="16" t="n">
        <f aca="false">IF(OR($K15="",$U15=""),"",$K15-$U15)</f>
        <v>0.135495166324123</v>
      </c>
      <c r="W15" s="17" t="n">
        <f aca="true">IFERROR(IF(ISBLANK(INDIRECT("'"&amp;$Q$2&amp;"'!O"&amp;ROW())),"",INDIRECT("'"&amp;$Q$2&amp;"'!O"&amp;ROW())),"")</f>
        <v>8</v>
      </c>
      <c r="X15" s="17" t="n">
        <f aca="false">IF(OR($O15="",$W15=""),"",$O15-$W15)</f>
        <v>4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46</v>
      </c>
      <c r="D16" s="32" t="n">
        <v>86941</v>
      </c>
      <c r="E16" s="32" t="n">
        <f aca="true">IF($D16="","",IFERROR(IF(ISBLANK(INDIRECT("'"&amp;$Q$2&amp;"'!D"&amp;ROW())),"",INDIRECT("'"&amp;$Q$2&amp;"'!D"&amp;ROW())),""))</f>
        <v>99250</v>
      </c>
      <c r="F16" s="33" t="n">
        <f aca="false">IF(OR(D16="",E16=""),"",D16-E16)</f>
        <v>-12309</v>
      </c>
      <c r="G16" s="34" t="n">
        <f aca="false">IFERROR(F16/E16,"")</f>
        <v>-0.124020151133501</v>
      </c>
      <c r="H16" s="32" t="n">
        <v>723</v>
      </c>
      <c r="I16" s="32" t="n">
        <f aca="true">IF($H16="","",IFERROR(IF(ISBLANK(INDIRECT("'"&amp;$Q$2&amp;"'!H"&amp;ROW())),"",INDIRECT("'"&amp;$Q$2&amp;"'!H"&amp;ROW())),""))</f>
        <v>1001</v>
      </c>
      <c r="J16" s="33" t="n">
        <f aca="false">IF(OR(H16="",I16=""),"",H16-I16)</f>
        <v>-278</v>
      </c>
      <c r="K16" s="34" t="n">
        <f aca="false">IFERROR(J16/I16,"")</f>
        <v>-0.277722277722278</v>
      </c>
      <c r="L16" s="32" t="n">
        <f aca="false">IFERROR(D16/C16,"")</f>
        <v>1890.02173913043</v>
      </c>
      <c r="M16" s="32" t="n">
        <f aca="false">IFERROR(H16/D16*1000,"")</f>
        <v>8.31598440321598</v>
      </c>
      <c r="N16" s="32" t="n">
        <v>12902</v>
      </c>
      <c r="O16" s="33" t="n">
        <f aca="true">IFERROR(IF(OR(N16="",ISBLANK(INDIRECT("'"&amp;$Q$2&amp;"'!N"&amp;ROW()))),"",N16-INDIRECT("'"&amp;$Q$2&amp;"'!N"&amp;ROW())),"")</f>
        <v>89</v>
      </c>
      <c r="P16" s="3"/>
      <c r="Q16" s="3"/>
      <c r="R16" s="3"/>
      <c r="S16" s="15" t="n">
        <f aca="true">IFERROR(IF(ISBLANK(INDIRECT("'"&amp;$Q$2&amp;"'!G"&amp;ROW())),"",INDIRECT("'"&amp;$Q$2&amp;"'!G"&amp;ROW())),"")</f>
        <v>-0.373714300137562</v>
      </c>
      <c r="T16" s="16" t="n">
        <f aca="false">IF(OR($G16="",$S16=""),"",$G16-$S16)</f>
        <v>0.249694149004061</v>
      </c>
      <c r="U16" s="15" t="n">
        <f aca="true">IFERROR(IF(ISBLANK(INDIRECT("'"&amp;$Q$2&amp;"'!K"&amp;ROW())),"",INDIRECT("'"&amp;$Q$2&amp;"'!K"&amp;ROW())),"")</f>
        <v>-0.331775700934579</v>
      </c>
      <c r="V16" s="16" t="n">
        <f aca="false">IF(OR($K16="",$U16=""),"",$K16-$U16)</f>
        <v>0.0540534232123017</v>
      </c>
      <c r="W16" s="17" t="n">
        <f aca="true">IFERROR(IF(ISBLANK(INDIRECT("'"&amp;$Q$2&amp;"'!O"&amp;ROW())),"",INDIRECT("'"&amp;$Q$2&amp;"'!O"&amp;ROW())),"")</f>
        <v>80</v>
      </c>
      <c r="X16" s="17" t="n">
        <f aca="false">IF(OR($O16="",$W16=""),"",$O16-$W16)</f>
        <v>9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57</v>
      </c>
      <c r="D17" s="32" t="n">
        <v>182773</v>
      </c>
      <c r="E17" s="32" t="n">
        <f aca="true">IF($D17="","",IFERROR(IF(ISBLANK(INDIRECT("'"&amp;$Q$2&amp;"'!D"&amp;ROW())),"",INDIRECT("'"&amp;$Q$2&amp;"'!D"&amp;ROW())),""))</f>
        <v>156420</v>
      </c>
      <c r="F17" s="33" t="n">
        <f aca="false">IF(OR(D17="",E17=""),"",D17-E17)</f>
        <v>26353</v>
      </c>
      <c r="G17" s="34" t="n">
        <f aca="false">IFERROR(F17/E17,"")</f>
        <v>0.168475898222734</v>
      </c>
      <c r="H17" s="32" t="n">
        <v>1997</v>
      </c>
      <c r="I17" s="32" t="n">
        <f aca="true">IF($H17="","",IFERROR(IF(ISBLANK(INDIRECT("'"&amp;$Q$2&amp;"'!H"&amp;ROW())),"",INDIRECT("'"&amp;$Q$2&amp;"'!H"&amp;ROW())),""))</f>
        <v>1581</v>
      </c>
      <c r="J17" s="33" t="n">
        <f aca="false">IF(OR(H17="",I17=""),"",H17-I17)</f>
        <v>416</v>
      </c>
      <c r="K17" s="34" t="n">
        <f aca="false">IFERROR(J17/I17,"")</f>
        <v>0.263124604680582</v>
      </c>
      <c r="L17" s="32" t="n">
        <f aca="false">IFERROR(D17/C17,"")</f>
        <v>3206.54385964912</v>
      </c>
      <c r="M17" s="32" t="n">
        <f aca="false">IFERROR(H17/D17*1000,"")</f>
        <v>10.9261214730841</v>
      </c>
      <c r="N17" s="32" t="n">
        <v>7831</v>
      </c>
      <c r="O17" s="33" t="n">
        <f aca="true">IFERROR(IF(OR(N17="",ISBLANK(INDIRECT("'"&amp;$Q$2&amp;"'!N"&amp;ROW()))),"",N17-INDIRECT("'"&amp;$Q$2&amp;"'!N"&amp;ROW())),"")</f>
        <v>9</v>
      </c>
      <c r="P17" s="3"/>
      <c r="Q17" s="3"/>
      <c r="R17" s="3"/>
      <c r="S17" s="15" t="n">
        <f aca="true">IFERROR(IF(ISBLANK(INDIRECT("'"&amp;$Q$2&amp;"'!G"&amp;ROW())),"",INDIRECT("'"&amp;$Q$2&amp;"'!G"&amp;ROW())),"")</f>
        <v>-0.240196435597394</v>
      </c>
      <c r="T17" s="16" t="n">
        <f aca="false">IF(OR($G17="",$S17=""),"",$G17-$S17)</f>
        <v>0.408672333820128</v>
      </c>
      <c r="U17" s="15" t="n">
        <f aca="true">IFERROR(IF(ISBLANK(INDIRECT("'"&amp;$Q$2&amp;"'!K"&amp;ROW())),"",INDIRECT("'"&amp;$Q$2&amp;"'!K"&amp;ROW())),"")</f>
        <v>-0.350184956843403</v>
      </c>
      <c r="V17" s="16" t="n">
        <f aca="false">IF(OR($K17="",$U17=""),"",$K17-$U17)</f>
        <v>0.613309561523985</v>
      </c>
      <c r="W17" s="17" t="n">
        <f aca="true">IFERROR(IF(ISBLANK(INDIRECT("'"&amp;$Q$2&amp;"'!O"&amp;ROW())),"",INDIRECT("'"&amp;$Q$2&amp;"'!O"&amp;ROW())),"")</f>
        <v>8</v>
      </c>
      <c r="X17" s="17" t="n">
        <f aca="false">IF(OR($O17="",$W17=""),"",$O17-$W17)</f>
        <v>1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63</v>
      </c>
      <c r="D18" s="32" t="n">
        <v>149877</v>
      </c>
      <c r="E18" s="32" t="n">
        <f aca="true">IF($D18="","",IFERROR(IF(ISBLANK(INDIRECT("'"&amp;$Q$2&amp;"'!D"&amp;ROW())),"",INDIRECT("'"&amp;$Q$2&amp;"'!D"&amp;ROW())),""))</f>
        <v>146062</v>
      </c>
      <c r="F18" s="33" t="n">
        <f aca="false">IF(OR(D18="",E18=""),"",D18-E18)</f>
        <v>3815</v>
      </c>
      <c r="G18" s="34" t="n">
        <f aca="false">IFERROR(F18/E18,"")</f>
        <v>0.0261190453369117</v>
      </c>
      <c r="H18" s="32" t="n">
        <v>1760</v>
      </c>
      <c r="I18" s="32" t="n">
        <f aca="true">IF($H18="","",IFERROR(IF(ISBLANK(INDIRECT("'"&amp;$Q$2&amp;"'!H"&amp;ROW())),"",INDIRECT("'"&amp;$Q$2&amp;"'!H"&amp;ROW())),""))</f>
        <v>1294</v>
      </c>
      <c r="J18" s="33" t="n">
        <f aca="false">IF(OR(H18="",I18=""),"",H18-I18)</f>
        <v>466</v>
      </c>
      <c r="K18" s="34" t="n">
        <f aca="false">IFERROR(J18/I18,"")</f>
        <v>0.360123647604328</v>
      </c>
      <c r="L18" s="32" t="n">
        <f aca="false">IFERROR(D18/C18,"")</f>
        <v>2379</v>
      </c>
      <c r="M18" s="32" t="n">
        <f aca="false">IFERROR(H18/D18*1000,"")</f>
        <v>11.7429625626347</v>
      </c>
      <c r="N18" s="32" t="n">
        <v>18244</v>
      </c>
      <c r="O18" s="33" t="n">
        <f aca="true">IFERROR(IF(OR(N18="",ISBLANK(INDIRECT("'"&amp;$Q$2&amp;"'!N"&amp;ROW()))),"",N18-INDIRECT("'"&amp;$Q$2&amp;"'!N"&amp;ROW())),"")</f>
        <v>16</v>
      </c>
      <c r="P18" s="3"/>
      <c r="Q18" s="3"/>
      <c r="R18" s="3"/>
      <c r="S18" s="15" t="n">
        <f aca="true">IFERROR(IF(ISBLANK(INDIRECT("'"&amp;$Q$2&amp;"'!G"&amp;ROW())),"",INDIRECT("'"&amp;$Q$2&amp;"'!G"&amp;ROW())),"")</f>
        <v>-0.258316280156195</v>
      </c>
      <c r="T18" s="16" t="n">
        <f aca="false">IF(OR($G18="",$S18=""),"",$G18-$S18)</f>
        <v>0.284435325493107</v>
      </c>
      <c r="U18" s="15" t="n">
        <f aca="true">IFERROR(IF(ISBLANK(INDIRECT("'"&amp;$Q$2&amp;"'!K"&amp;ROW())),"",INDIRECT("'"&amp;$Q$2&amp;"'!K"&amp;ROW())),"")</f>
        <v>-0.397859469520707</v>
      </c>
      <c r="V18" s="16" t="n">
        <f aca="false">IF(OR($K18="",$U18=""),"",$K18-$U18)</f>
        <v>0.757983117125035</v>
      </c>
      <c r="W18" s="17" t="n">
        <f aca="true">IFERROR(IF(ISBLANK(INDIRECT("'"&amp;$Q$2&amp;"'!O"&amp;ROW())),"",INDIRECT("'"&amp;$Q$2&amp;"'!O"&amp;ROW())),"")</f>
        <v>11</v>
      </c>
      <c r="X18" s="17" t="n">
        <f aca="false">IF(OR($O18="",$W18=""),"",$O18-$W18)</f>
        <v>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83</v>
      </c>
      <c r="D19" s="32" t="n">
        <v>159846</v>
      </c>
      <c r="E19" s="32" t="n">
        <f aca="true">IF($D19="","",IFERROR(IF(ISBLANK(INDIRECT("'"&amp;$Q$2&amp;"'!D"&amp;ROW())),"",INDIRECT("'"&amp;$Q$2&amp;"'!D"&amp;ROW())),""))</f>
        <v>117530</v>
      </c>
      <c r="F19" s="33" t="n">
        <f aca="false">IF(OR(D19="",E19=""),"",D19-E19)</f>
        <v>42316</v>
      </c>
      <c r="G19" s="34" t="n">
        <f aca="false">IFERROR(F19/E19,"")</f>
        <v>0.360044244022803</v>
      </c>
      <c r="H19" s="32" t="n">
        <v>2100</v>
      </c>
      <c r="I19" s="32" t="n">
        <f aca="true">IF($H19="","",IFERROR(IF(ISBLANK(INDIRECT("'"&amp;$Q$2&amp;"'!H"&amp;ROW())),"",INDIRECT("'"&amp;$Q$2&amp;"'!H"&amp;ROW())),""))</f>
        <v>1073</v>
      </c>
      <c r="J19" s="33" t="n">
        <f aca="false">IF(OR(H19="",I19=""),"",H19-I19)</f>
        <v>1027</v>
      </c>
      <c r="K19" s="34" t="n">
        <f aca="false">IFERROR(J19/I19,"")</f>
        <v>0.95712954333644</v>
      </c>
      <c r="L19" s="32" t="n">
        <f aca="false">IFERROR(D19/C19,"")</f>
        <v>1925.85542168675</v>
      </c>
      <c r="M19" s="32" t="n">
        <f aca="false">IFERROR(H19/D19*1000,"")</f>
        <v>13.1376449832964</v>
      </c>
      <c r="N19" s="32" t="n">
        <v>19041</v>
      </c>
      <c r="O19" s="33" t="n">
        <f aca="true">IFERROR(IF(OR(N19="",ISBLANK(INDIRECT("'"&amp;$Q$2&amp;"'!N"&amp;ROW()))),"",N19-INDIRECT("'"&amp;$Q$2&amp;"'!N"&amp;ROW())),"")</f>
        <v>12</v>
      </c>
      <c r="P19" s="3"/>
      <c r="Q19" s="3"/>
      <c r="R19" s="3"/>
      <c r="S19" s="15" t="n">
        <f aca="true">IFERROR(IF(ISBLANK(INDIRECT("'"&amp;$Q$2&amp;"'!G"&amp;ROW())),"",INDIRECT("'"&amp;$Q$2&amp;"'!G"&amp;ROW())),"")</f>
        <v>-0.317990587771066</v>
      </c>
      <c r="T19" s="16" t="n">
        <f aca="false">IF(OR($G19="",$S19=""),"",$G19-$S19)</f>
        <v>0.678034831793869</v>
      </c>
      <c r="U19" s="15" t="n">
        <f aca="true">IFERROR(IF(ISBLANK(INDIRECT("'"&amp;$Q$2&amp;"'!K"&amp;ROW())),"",INDIRECT("'"&amp;$Q$2&amp;"'!K"&amp;ROW())),"")</f>
        <v>-0.490745135263408</v>
      </c>
      <c r="V19" s="16" t="n">
        <f aca="false">IF(OR($K19="",$U19=""),"",$K19-$U19)</f>
        <v>1.44787467859985</v>
      </c>
      <c r="W19" s="17" t="n">
        <f aca="true">IFERROR(IF(ISBLANK(INDIRECT("'"&amp;$Q$2&amp;"'!O"&amp;ROW())),"",INDIRECT("'"&amp;$Q$2&amp;"'!O"&amp;ROW())),"")</f>
        <v>10</v>
      </c>
      <c r="X19" s="17" t="n">
        <f aca="false">IF(OR($O19="",$W19=""),"",$O19-$W19)</f>
        <v>2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3249</v>
      </c>
      <c r="E20" s="32" t="n">
        <f aca="true">IF($D20="","",IFERROR(IF(ISBLANK(INDIRECT("'"&amp;$Q$2&amp;"'!D"&amp;ROW())),"",INDIRECT("'"&amp;$Q$2&amp;"'!D"&amp;ROW())),""))</f>
        <v>54324</v>
      </c>
      <c r="F20" s="33" t="n">
        <f aca="false">IF(OR(D20="",E20=""),"",D20-E20)</f>
        <v>-51075</v>
      </c>
      <c r="G20" s="34" t="n">
        <f aca="false">IFERROR(F20/E20,"")</f>
        <v>-0.940192180251822</v>
      </c>
      <c r="H20" s="32" t="n">
        <v>1876</v>
      </c>
      <c r="I20" s="32" t="n">
        <f aca="true">IF($H20="","",IFERROR(IF(ISBLANK(INDIRECT("'"&amp;$Q$2&amp;"'!H"&amp;ROW())),"",INDIRECT("'"&amp;$Q$2&amp;"'!H"&amp;ROW())),""))</f>
        <v>1597</v>
      </c>
      <c r="J20" s="33" t="n">
        <f aca="false">IF(OR(H20="",I20=""),"",H20-I20)</f>
        <v>279</v>
      </c>
      <c r="K20" s="34" t="n">
        <f aca="false">IFERROR(J20/I20,"")</f>
        <v>0.174702567313713</v>
      </c>
      <c r="L20" s="32" t="n">
        <f aca="false">IFERROR(D20/C20,"")</f>
        <v>154.714285714286</v>
      </c>
      <c r="M20" s="32" t="n">
        <f aca="false">IFERROR(H20/D20*1000,"")</f>
        <v>577.408433364112</v>
      </c>
      <c r="N20" s="32" t="n">
        <v>14800</v>
      </c>
      <c r="O20" s="33" t="n">
        <f aca="true">IFERROR(IF(OR(N20="",ISBLANK(INDIRECT("'"&amp;$Q$2&amp;"'!N"&amp;ROW()))),"",N20-INDIRECT("'"&amp;$Q$2&amp;"'!N"&amp;ROW())),"")</f>
        <v>172</v>
      </c>
      <c r="P20" s="3"/>
      <c r="Q20" s="3"/>
      <c r="R20" s="3"/>
      <c r="S20" s="15" t="n">
        <f aca="true">IFERROR(IF(ISBLANK(INDIRECT("'"&amp;$Q$2&amp;"'!G"&amp;ROW())),"",INDIRECT("'"&amp;$Q$2&amp;"'!G"&amp;ROW())),"")</f>
        <v>3.23182986679131</v>
      </c>
      <c r="T20" s="16" t="n">
        <f aca="false">IF(OR($G20="",$S20=""),"",$G20-$S20)</f>
        <v>-4.17202204704313</v>
      </c>
      <c r="U20" s="15" t="n">
        <f aca="true">IFERROR(IF(ISBLANK(INDIRECT("'"&amp;$Q$2&amp;"'!K"&amp;ROW())),"",INDIRECT("'"&amp;$Q$2&amp;"'!K"&amp;ROW())),"")</f>
        <v>-0.094671201814059</v>
      </c>
      <c r="V20" s="16" t="n">
        <f aca="false">IF(OR($K20="",$U20=""),"",$K20-$U20)</f>
        <v>0.269373769127772</v>
      </c>
      <c r="W20" s="17" t="n">
        <f aca="true">IFERROR(IF(ISBLANK(INDIRECT("'"&amp;$Q$2&amp;"'!O"&amp;ROW())),"",INDIRECT("'"&amp;$Q$2&amp;"'!O"&amp;ROW())),"")</f>
        <v>67</v>
      </c>
      <c r="X20" s="17" t="n">
        <f aca="false">IF(OR($O20="",$W20=""),"",$O20-$W20)</f>
        <v>105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5</v>
      </c>
      <c r="D21" s="32" t="n">
        <v>11151</v>
      </c>
      <c r="E21" s="32" t="n">
        <f aca="true">IF($D21="","",IFERROR(IF(ISBLANK(INDIRECT("'"&amp;$Q$2&amp;"'!D"&amp;ROW())),"",INDIRECT("'"&amp;$Q$2&amp;"'!D"&amp;ROW())),""))</f>
        <v>10388</v>
      </c>
      <c r="F21" s="33" t="n">
        <f aca="false">IF(OR(D21="",E21=""),"",D21-E21)</f>
        <v>763</v>
      </c>
      <c r="G21" s="34" t="n">
        <f aca="false">IFERROR(F21/E21,"")</f>
        <v>0.0734501347708895</v>
      </c>
      <c r="H21" s="32" t="n">
        <v>305</v>
      </c>
      <c r="I21" s="32" t="n">
        <f aca="true">IF($H21="","",IFERROR(IF(ISBLANK(INDIRECT("'"&amp;$Q$2&amp;"'!H"&amp;ROW())),"",INDIRECT("'"&amp;$Q$2&amp;"'!H"&amp;ROW())),""))</f>
        <v>300</v>
      </c>
      <c r="J21" s="33" t="n">
        <f aca="false">IF(OR(H21="",I21=""),"",H21-I21)</f>
        <v>5</v>
      </c>
      <c r="K21" s="34" t="n">
        <f aca="false">IFERROR(J21/I21,"")</f>
        <v>0.0166666666666667</v>
      </c>
      <c r="L21" s="32" t="n">
        <f aca="false">IFERROR(D21/C21,"")</f>
        <v>2230.2</v>
      </c>
      <c r="M21" s="32" t="n">
        <f aca="false">IFERROR(H21/D21*1000,"")</f>
        <v>27.351807012824</v>
      </c>
      <c r="N21" s="32" t="n">
        <v>10613</v>
      </c>
      <c r="O21" s="33" t="n">
        <f aca="true">IFERROR(IF(OR(N21="",ISBLANK(INDIRECT("'"&amp;$Q$2&amp;"'!N"&amp;ROW()))),"",N21-INDIRECT("'"&amp;$Q$2&amp;"'!N"&amp;ROW())),"")</f>
        <v>8</v>
      </c>
      <c r="P21" s="3"/>
      <c r="Q21" s="3"/>
      <c r="R21" s="3"/>
      <c r="S21" s="15" t="n">
        <f aca="true">IFERROR(IF(ISBLANK(INDIRECT("'"&amp;$Q$2&amp;"'!G"&amp;ROW())),"",INDIRECT("'"&amp;$Q$2&amp;"'!G"&amp;ROW())),"")</f>
        <v>-0.0258814703675919</v>
      </c>
      <c r="T21" s="16" t="n">
        <f aca="false">IF(OR($G21="",$S21=""),"",$G21-$S21)</f>
        <v>0.0993316051384814</v>
      </c>
      <c r="U21" s="15" t="n">
        <f aca="true">IFERROR(IF(ISBLANK(INDIRECT("'"&amp;$Q$2&amp;"'!K"&amp;ROW())),"",INDIRECT("'"&amp;$Q$2&amp;"'!K"&amp;ROW())),"")</f>
        <v>-0.23469387755102</v>
      </c>
      <c r="V21" s="16" t="n">
        <f aca="false">IF(OR($K21="",$U21=""),"",$K21-$U21)</f>
        <v>0.251360544217687</v>
      </c>
      <c r="W21" s="17" t="n">
        <f aca="true">IFERROR(IF(ISBLANK(INDIRECT("'"&amp;$Q$2&amp;"'!O"&amp;ROW())),"",INDIRECT("'"&amp;$Q$2&amp;"'!O"&amp;ROW())),"")</f>
        <v>4</v>
      </c>
      <c r="X21" s="17" t="n">
        <f aca="false">IF(OR($O21="",$W21=""),"",$O21-$W21)</f>
        <v>4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19</v>
      </c>
      <c r="D22" s="32" t="n">
        <v>3270</v>
      </c>
      <c r="E22" s="32" t="n">
        <f aca="true">IF($D22="","",IFERROR(IF(ISBLANK(INDIRECT("'"&amp;$Q$2&amp;"'!D"&amp;ROW())),"",INDIRECT("'"&amp;$Q$2&amp;"'!D"&amp;ROW())),""))</f>
        <v>2665</v>
      </c>
      <c r="F22" s="33" t="n">
        <f aca="false">IF(OR(D22="",E22=""),"",D22-E22)</f>
        <v>605</v>
      </c>
      <c r="G22" s="34" t="n">
        <f aca="false">IFERROR(F22/E22,"")</f>
        <v>0.227016885553471</v>
      </c>
      <c r="H22" s="32" t="n">
        <v>167</v>
      </c>
      <c r="I22" s="32" t="n">
        <f aca="true">IF($H22="","",IFERROR(IF(ISBLANK(INDIRECT("'"&amp;$Q$2&amp;"'!H"&amp;ROW())),"",INDIRECT("'"&amp;$Q$2&amp;"'!H"&amp;ROW())),""))</f>
        <v>108</v>
      </c>
      <c r="J22" s="33" t="n">
        <f aca="false">IF(OR(H22="",I22=""),"",H22-I22)</f>
        <v>59</v>
      </c>
      <c r="K22" s="34" t="n">
        <f aca="false">IFERROR(J22/I22,"")</f>
        <v>0.546296296296296</v>
      </c>
      <c r="L22" s="32" t="n">
        <f aca="false">IFERROR(D22/C22,"")</f>
        <v>172.105263157895</v>
      </c>
      <c r="M22" s="32" t="n">
        <f aca="false">IFERROR(H22/D22*1000,"")</f>
        <v>51.0703363914373</v>
      </c>
      <c r="N22" s="32" t="n">
        <v>7370</v>
      </c>
      <c r="O22" s="33" t="n">
        <f aca="true">IFERROR(IF(OR(N22="",ISBLANK(INDIRECT("'"&amp;$Q$2&amp;"'!N"&amp;ROW()))),"",N22-INDIRECT("'"&amp;$Q$2&amp;"'!N"&amp;ROW())),"")</f>
        <v>-5</v>
      </c>
      <c r="P22" s="3"/>
      <c r="Q22" s="3"/>
      <c r="R22" s="3"/>
      <c r="S22" s="15" t="n">
        <f aca="true">IFERROR(IF(ISBLANK(INDIRECT("'"&amp;$Q$2&amp;"'!G"&amp;ROW())),"",INDIRECT("'"&amp;$Q$2&amp;"'!G"&amp;ROW())),"")</f>
        <v>-0.682964549131573</v>
      </c>
      <c r="T22" s="16" t="n">
        <f aca="false">IF(OR($G22="",$S22=""),"",$G22-$S22)</f>
        <v>0.909981434685044</v>
      </c>
      <c r="U22" s="15" t="n">
        <f aca="true">IFERROR(IF(ISBLANK(INDIRECT("'"&amp;$Q$2&amp;"'!K"&amp;ROW())),"",INDIRECT("'"&amp;$Q$2&amp;"'!K"&amp;ROW())),"")</f>
        <v>-0.353293413173653</v>
      </c>
      <c r="V22" s="16" t="n">
        <f aca="false">IF(OR($K22="",$U22=""),"",$K22-$U22)</f>
        <v>0.899589709469949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12</v>
      </c>
      <c r="D23" s="32" t="n">
        <v>21466</v>
      </c>
      <c r="E23" s="32" t="n">
        <f aca="true">IF($D23="","",IFERROR(IF(ISBLANK(INDIRECT("'"&amp;$Q$2&amp;"'!D"&amp;ROW())),"",INDIRECT("'"&amp;$Q$2&amp;"'!D"&amp;ROW())),""))</f>
        <v>13070</v>
      </c>
      <c r="F23" s="33" t="n">
        <f aca="false">IF(OR(D23="",E23=""),"",D23-E23)</f>
        <v>8396</v>
      </c>
      <c r="G23" s="34" t="n">
        <f aca="false">IFERROR(F23/E23,"")</f>
        <v>0.64238714613619</v>
      </c>
      <c r="H23" s="32" t="n">
        <v>583</v>
      </c>
      <c r="I23" s="32" t="n">
        <f aca="true">IF($H23="","",IFERROR(IF(ISBLANK(INDIRECT("'"&amp;$Q$2&amp;"'!H"&amp;ROW())),"",INDIRECT("'"&amp;$Q$2&amp;"'!H"&amp;ROW())),""))</f>
        <v>344</v>
      </c>
      <c r="J23" s="33" t="n">
        <f aca="false">IF(OR(H23="",I23=""),"",H23-I23)</f>
        <v>239</v>
      </c>
      <c r="K23" s="34" t="n">
        <f aca="false">IFERROR(J23/I23,"")</f>
        <v>0.694767441860465</v>
      </c>
      <c r="L23" s="32" t="n">
        <f aca="false">IFERROR(D23/C23,"")</f>
        <v>1788.83333333333</v>
      </c>
      <c r="M23" s="32" t="n">
        <f aca="false">IFERROR(H23/D23*1000,"")</f>
        <v>27.1592285474704</v>
      </c>
      <c r="N23" s="32" t="n">
        <v>5634</v>
      </c>
      <c r="O23" s="33" t="n">
        <f aca="true">IFERROR(IF(OR(N23="",ISBLANK(INDIRECT("'"&amp;$Q$2&amp;"'!N"&amp;ROW()))),"",N23-INDIRECT("'"&amp;$Q$2&amp;"'!N"&amp;ROW())),"")</f>
        <v>9</v>
      </c>
      <c r="P23" s="3"/>
      <c r="Q23" s="3"/>
      <c r="R23" s="3"/>
      <c r="S23" s="15" t="n">
        <f aca="true">IFERROR(IF(ISBLANK(INDIRECT("'"&amp;$Q$2&amp;"'!G"&amp;ROW())),"",INDIRECT("'"&amp;$Q$2&amp;"'!G"&amp;ROW())),"")</f>
        <v>-0.158348895614656</v>
      </c>
      <c r="T23" s="16" t="n">
        <f aca="false">IF(OR($G23="",$S23=""),"",$G23-$S23)</f>
        <v>0.800736041750846</v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4</v>
      </c>
      <c r="X23" s="17" t="n">
        <f aca="false">IF(OR($O23="",$W23=""),"",$O23-$W23)</f>
        <v>5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10670</v>
      </c>
      <c r="E24" s="32" t="n">
        <f aca="true">IF($D24="","",IFERROR(IF(ISBLANK(INDIRECT("'"&amp;$Q$2&amp;"'!D"&amp;ROW())),"",INDIRECT("'"&amp;$Q$2&amp;"'!D"&amp;ROW())),""))</f>
        <v>5841</v>
      </c>
      <c r="F24" s="33" t="n">
        <f aca="false">IF(OR(D24="",E24=""),"",D24-E24)</f>
        <v>4829</v>
      </c>
      <c r="G24" s="34" t="n">
        <f aca="false">IFERROR(F24/E24,"")</f>
        <v>0.826741996233522</v>
      </c>
      <c r="H24" s="32" t="n">
        <v>290</v>
      </c>
      <c r="I24" s="32" t="n">
        <f aca="true">IF($H24="","",IFERROR(IF(ISBLANK(INDIRECT("'"&amp;$Q$2&amp;"'!H"&amp;ROW())),"",INDIRECT("'"&amp;$Q$2&amp;"'!H"&amp;ROW())),""))</f>
        <v>202</v>
      </c>
      <c r="J24" s="33" t="n">
        <f aca="false">IF(OR(H24="",I24=""),"",H24-I24)</f>
        <v>88</v>
      </c>
      <c r="K24" s="34" t="n">
        <f aca="false">IFERROR(J24/I24,"")</f>
        <v>0.435643564356436</v>
      </c>
      <c r="L24" s="32" t="n">
        <f aca="false">IFERROR(D24/C24,"")</f>
        <v>1524.28571428571</v>
      </c>
      <c r="M24" s="32" t="n">
        <f aca="false">IFERROR(H24/D24*1000,"")</f>
        <v>27.1790065604499</v>
      </c>
      <c r="N24" s="32" t="n">
        <v>2343</v>
      </c>
      <c r="O24" s="33" t="n">
        <f aca="true">IFERROR(IF(OR(N24="",ISBLANK(INDIRECT("'"&amp;$Q$2&amp;"'!N"&amp;ROW()))),"",N24-INDIRECT("'"&amp;$Q$2&amp;"'!N"&amp;ROW())),"")</f>
        <v>15</v>
      </c>
      <c r="P24" s="3"/>
      <c r="Q24" s="3"/>
      <c r="R24" s="3"/>
      <c r="S24" s="15" t="n">
        <f aca="true">IFERROR(IF(ISBLANK(INDIRECT("'"&amp;$Q$2&amp;"'!G"&amp;ROW())),"",INDIRECT("'"&amp;$Q$2&amp;"'!G"&amp;ROW())),"")</f>
        <v>-0.411900926298832</v>
      </c>
      <c r="T24" s="16" t="n">
        <f aca="false">IF(OR($G24="",$S24=""),"",$G24-$S24)</f>
        <v>1.23864292253235</v>
      </c>
      <c r="U24" s="15" t="n">
        <f aca="true">IFERROR(IF(ISBLANK(INDIRECT("'"&amp;$Q$2&amp;"'!K"&amp;ROW())),"",INDIRECT("'"&amp;$Q$2&amp;"'!K"&amp;ROW())),"")</f>
        <v>-0.32890365448505</v>
      </c>
      <c r="V24" s="16" t="n">
        <f aca="false">IF(OR($K24="",$U24=""),"",$K24-$U24)</f>
        <v>0.764547218841486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10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22186</v>
      </c>
      <c r="E25" s="32" t="n">
        <f aca="true">IF($D25="","",IFERROR(IF(ISBLANK(INDIRECT("'"&amp;$Q$2&amp;"'!D"&amp;ROW())),"",INDIRECT("'"&amp;$Q$2&amp;"'!D"&amp;ROW())),""))</f>
        <v>10255</v>
      </c>
      <c r="F25" s="33" t="n">
        <f aca="false">IF(OR(D25="",E25=""),"",D25-E25)</f>
        <v>11931</v>
      </c>
      <c r="G25" s="34" t="n">
        <f aca="false">IFERROR(F25/E25,"")</f>
        <v>1.1634324719649</v>
      </c>
      <c r="H25" s="32" t="n">
        <v>206</v>
      </c>
      <c r="I25" s="32" t="n">
        <f aca="true">IF($H25="","",IFERROR(IF(ISBLANK(INDIRECT("'"&amp;$Q$2&amp;"'!H"&amp;ROW())),"",INDIRECT("'"&amp;$Q$2&amp;"'!H"&amp;ROW())),""))</f>
        <v>95</v>
      </c>
      <c r="J25" s="33" t="n">
        <f aca="false">IF(OR(H25="",I25=""),"",H25-I25)</f>
        <v>111</v>
      </c>
      <c r="K25" s="34" t="n">
        <f aca="false">IFERROR(J25/I25,"")</f>
        <v>1.16842105263158</v>
      </c>
      <c r="L25" s="32" t="n">
        <f aca="false">IFERROR(D25/C25,"")</f>
        <v>3169.42857142857</v>
      </c>
      <c r="M25" s="32" t="n">
        <f aca="false">IFERROR(H25/D25*1000,"")</f>
        <v>9.28513476967457</v>
      </c>
      <c r="N25" s="32" t="n">
        <v>6192</v>
      </c>
      <c r="O25" s="33" t="n">
        <f aca="true">IFERROR(IF(OR(N25="",ISBLANK(INDIRECT("'"&amp;$Q$2&amp;"'!N"&amp;ROW()))),"",N25-INDIRECT("'"&amp;$Q$2&amp;"'!N"&amp;ROW())),"")</f>
        <v>5</v>
      </c>
      <c r="P25" s="3"/>
      <c r="Q25" s="3"/>
      <c r="R25" s="3"/>
      <c r="S25" s="15" t="n">
        <f aca="true">IFERROR(IF(ISBLANK(INDIRECT("'"&amp;$Q$2&amp;"'!G"&amp;ROW())),"",INDIRECT("'"&amp;$Q$2&amp;"'!G"&amp;ROW())),"")</f>
        <v>-0.507468421305413</v>
      </c>
      <c r="T25" s="16" t="n">
        <f aca="false">IF(OR($G25="",$S25=""),"",$G25-$S25)</f>
        <v>1.67090089327031</v>
      </c>
      <c r="U25" s="15" t="n">
        <f aca="true">IFERROR(IF(ISBLANK(INDIRECT("'"&amp;$Q$2&amp;"'!K"&amp;ROW())),"",INDIRECT("'"&amp;$Q$2&amp;"'!K"&amp;ROW())),"")</f>
        <v>-0.46927374301676</v>
      </c>
      <c r="V25" s="16" t="n">
        <f aca="false">IF(OR($K25="",$U25=""),"",$K25-$U25)</f>
        <v>1.63769479564834</v>
      </c>
      <c r="W25" s="17" t="n">
        <f aca="true">IFERROR(IF(ISBLANK(INDIRECT("'"&amp;$Q$2&amp;"'!O"&amp;ROW())),"",INDIRECT("'"&amp;$Q$2&amp;"'!O"&amp;ROW())),"")</f>
        <v>1</v>
      </c>
      <c r="X25" s="17" t="n">
        <f aca="false">IF(OR($O25="",$W25=""),"",$O25-$W25)</f>
        <v>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237</v>
      </c>
      <c r="D26" s="32" t="n">
        <v>40045</v>
      </c>
      <c r="E26" s="32" t="n">
        <f aca="true">IF($D26="","",IFERROR(IF(ISBLANK(INDIRECT("'"&amp;$Q$2&amp;"'!D"&amp;ROW())),"",INDIRECT("'"&amp;$Q$2&amp;"'!D"&amp;ROW())),""))</f>
        <v>32051</v>
      </c>
      <c r="F26" s="33" t="n">
        <f aca="false">IF(OR(D26="",E26=""),"",D26-E26)</f>
        <v>7994</v>
      </c>
      <c r="G26" s="34" t="n">
        <f aca="false">IFERROR(F26/E26,"")</f>
        <v>0.249414994851955</v>
      </c>
      <c r="H26" s="32" t="n">
        <v>118</v>
      </c>
      <c r="I26" s="32" t="n">
        <f aca="true">IF($H26="","",IFERROR(IF(ISBLANK(INDIRECT("'"&amp;$Q$2&amp;"'!H"&amp;ROW())),"",INDIRECT("'"&amp;$Q$2&amp;"'!H"&amp;ROW())),""))</f>
        <v>122</v>
      </c>
      <c r="J26" s="33" t="n">
        <f aca="false">IF(OR(H26="",I26=""),"",H26-I26)</f>
        <v>-4</v>
      </c>
      <c r="K26" s="34" t="n">
        <f aca="false">IFERROR(J26/I26,"")</f>
        <v>-0.0327868852459016</v>
      </c>
      <c r="L26" s="32" t="n">
        <f aca="false">IFERROR(D26/C26,"")</f>
        <v>168.966244725738</v>
      </c>
      <c r="M26" s="32" t="n">
        <f aca="false">IFERROR(H26/D26*1000,"")</f>
        <v>2.94668497939818</v>
      </c>
      <c r="N26" s="32" t="n">
        <v>7968</v>
      </c>
      <c r="O26" s="33" t="n">
        <f aca="true">IFERROR(IF(OR(N26="",ISBLANK(INDIRECT("'"&amp;$Q$2&amp;"'!N"&amp;ROW()))),"",N26-INDIRECT("'"&amp;$Q$2&amp;"'!N"&amp;ROW())),"")</f>
        <v>28</v>
      </c>
      <c r="P26" s="3"/>
      <c r="Q26" s="3"/>
      <c r="R26" s="3"/>
      <c r="S26" s="15" t="n">
        <f aca="true">IFERROR(IF(ISBLANK(INDIRECT("'"&amp;$Q$2&amp;"'!G"&amp;ROW())),"",INDIRECT("'"&amp;$Q$2&amp;"'!G"&amp;ROW())),"")</f>
        <v>-0.676219820183857</v>
      </c>
      <c r="T26" s="16" t="n">
        <f aca="false">IF(OR($G26="",$S26=""),"",$G26-$S26)</f>
        <v>0.925634815035812</v>
      </c>
      <c r="U26" s="15" t="n">
        <f aca="true">IFERROR(IF(ISBLANK(INDIRECT("'"&amp;$Q$2&amp;"'!K"&amp;ROW())),"",INDIRECT("'"&amp;$Q$2&amp;"'!K"&amp;ROW())),"")</f>
        <v>-0.721461187214612</v>
      </c>
      <c r="V26" s="16" t="n">
        <f aca="false">IF(OR($K26="",$U26=""),"",$K26-$U26)</f>
        <v>0.68867430196871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20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2476</v>
      </c>
      <c r="E27" s="32" t="n">
        <f aca="true">IF($D27="","",IFERROR(IF(ISBLANK(INDIRECT("'"&amp;$Q$2&amp;"'!D"&amp;ROW())),"",INDIRECT("'"&amp;$Q$2&amp;"'!D"&amp;ROW())),""))</f>
        <v>2184</v>
      </c>
      <c r="F27" s="33" t="n">
        <f aca="false">IF(OR(D27="",E27=""),"",D27-E27)</f>
        <v>292</v>
      </c>
      <c r="G27" s="34" t="n">
        <f aca="false">IFERROR(F27/E27,"")</f>
        <v>0.133699633699634</v>
      </c>
      <c r="H27" s="32" t="n">
        <v>38</v>
      </c>
      <c r="I27" s="32" t="n">
        <f aca="true">IF($H27="","",IFERROR(IF(ISBLANK(INDIRECT("'"&amp;$Q$2&amp;"'!H"&amp;ROW())),"",INDIRECT("'"&amp;$Q$2&amp;"'!H"&amp;ROW())),""))</f>
        <v>27</v>
      </c>
      <c r="J27" s="33" t="n">
        <f aca="false">IF(OR(H27="",I27=""),"",H27-I27)</f>
        <v>11</v>
      </c>
      <c r="K27" s="34" t="n">
        <f aca="false">IFERROR(J27/I27,"")</f>
        <v>0.407407407407407</v>
      </c>
      <c r="L27" s="32" t="n">
        <f aca="false">IFERROR(D27/C27,"")</f>
        <v>247.6</v>
      </c>
      <c r="M27" s="32" t="n">
        <f aca="false">IFERROR(H27/D27*1000,"")</f>
        <v>15.3473344103393</v>
      </c>
      <c r="N27" s="32" t="n">
        <v>16702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0.190839694656489</v>
      </c>
      <c r="T27" s="16" t="n">
        <f aca="false">IF(OR($G27="",$S27=""),"",$G27-$S27)</f>
        <v>-0.0571400609568549</v>
      </c>
      <c r="U27" s="15" t="n">
        <f aca="true">IFERROR(IF(ISBLANK(INDIRECT("'"&amp;$Q$2&amp;"'!K"&amp;ROW())),"",INDIRECT("'"&amp;$Q$2&amp;"'!K"&amp;ROW())),"")</f>
        <v>-0.25</v>
      </c>
      <c r="V27" s="16" t="n">
        <f aca="false">IF(OR($K27="",$U27=""),"",$K27-$U27)</f>
        <v>0.657407407407407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21</v>
      </c>
      <c r="D28" s="32" t="n">
        <v>8406</v>
      </c>
      <c r="E28" s="32" t="n">
        <f aca="true">IF($D28="","",IFERROR(IF(ISBLANK(INDIRECT("'"&amp;$Q$2&amp;"'!D"&amp;ROW())),"",INDIRECT("'"&amp;$Q$2&amp;"'!D"&amp;ROW())),""))</f>
        <v>7159</v>
      </c>
      <c r="F28" s="33" t="n">
        <f aca="false">IF(OR(D28="",E28=""),"",D28-E28)</f>
        <v>1247</v>
      </c>
      <c r="G28" s="34" t="n">
        <f aca="false">IFERROR(F28/E28,"")</f>
        <v>0.174186338874144</v>
      </c>
      <c r="H28" s="32" t="n">
        <v>45</v>
      </c>
      <c r="I28" s="32" t="n">
        <f aca="true">IF($H28="","",IFERROR(IF(ISBLANK(INDIRECT("'"&amp;$Q$2&amp;"'!H"&amp;ROW())),"",INDIRECT("'"&amp;$Q$2&amp;"'!H"&amp;ROW())),""))</f>
        <v>30</v>
      </c>
      <c r="J28" s="33" t="n">
        <f aca="false">IF(OR(H28="",I28=""),"",H28-I28)</f>
        <v>15</v>
      </c>
      <c r="K28" s="34" t="n">
        <f aca="false">IFERROR(J28/I28,"")</f>
        <v>0.5</v>
      </c>
      <c r="L28" s="32" t="n">
        <f aca="false">IFERROR(D28/C28,"")</f>
        <v>400.285714285714</v>
      </c>
      <c r="M28" s="32" t="n">
        <f aca="false">IFERROR(H28/D28*1000,"")</f>
        <v>5.35331905781585</v>
      </c>
      <c r="N28" s="32" t="n">
        <v>21932</v>
      </c>
      <c r="O28" s="33" t="n">
        <f aca="true">IFERROR(IF(OR(N28="",ISBLANK(INDIRECT("'"&amp;$Q$2&amp;"'!N"&amp;ROW()))),"",N28-INDIRECT("'"&amp;$Q$2&amp;"'!N"&amp;ROW())),"")</f>
        <v>9</v>
      </c>
      <c r="P28" s="3"/>
      <c r="Q28" s="3"/>
      <c r="R28" s="3"/>
      <c r="S28" s="15" t="n">
        <f aca="true">IFERROR(IF(ISBLANK(INDIRECT("'"&amp;$Q$2&amp;"'!G"&amp;ROW())),"",INDIRECT("'"&amp;$Q$2&amp;"'!G"&amp;ROW())),"")</f>
        <v>0.326231937754724</v>
      </c>
      <c r="T28" s="16" t="n">
        <f aca="false">IF(OR($G28="",$S28=""),"",$G28-$S28)</f>
        <v>-0.15204559888058</v>
      </c>
      <c r="U28" s="15" t="n">
        <f aca="true">IFERROR(IF(ISBLANK(INDIRECT("'"&amp;$Q$2&amp;"'!K"&amp;ROW())),"",INDIRECT("'"&amp;$Q$2&amp;"'!K"&amp;ROW())),"")</f>
        <v>-0.4</v>
      </c>
      <c r="V28" s="16" t="n">
        <f aca="false">IF(OR($K28="",$U28=""),"",$K28-$U28)</f>
        <v>0.9</v>
      </c>
      <c r="W28" s="17" t="n">
        <f aca="true">IFERROR(IF(ISBLANK(INDIRECT("'"&amp;$Q$2&amp;"'!O"&amp;ROW())),"",INDIRECT("'"&amp;$Q$2&amp;"'!O"&amp;ROW())),"")</f>
        <v>4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9</v>
      </c>
      <c r="D29" s="32" t="n">
        <v>26347</v>
      </c>
      <c r="E29" s="32" t="n">
        <f aca="true">IF($D29="","",IFERROR(IF(ISBLANK(INDIRECT("'"&amp;$Q$2&amp;"'!D"&amp;ROW())),"",INDIRECT("'"&amp;$Q$2&amp;"'!D"&amp;ROW())),""))</f>
        <v>10725</v>
      </c>
      <c r="F29" s="33" t="n">
        <f aca="false">IF(OR(D29="",E29=""),"",D29-E29)</f>
        <v>15622</v>
      </c>
      <c r="G29" s="34" t="n">
        <f aca="false">IFERROR(F29/E29,"")</f>
        <v>1.45659673659674</v>
      </c>
      <c r="H29" s="32" t="n">
        <v>363</v>
      </c>
      <c r="I29" s="32" t="n">
        <f aca="true">IF($H29="","",IFERROR(IF(ISBLANK(INDIRECT("'"&amp;$Q$2&amp;"'!H"&amp;ROW())),"",INDIRECT("'"&amp;$Q$2&amp;"'!H"&amp;ROW())),""))</f>
        <v>253</v>
      </c>
      <c r="J29" s="33" t="n">
        <f aca="false">IF(OR(H29="",I29=""),"",H29-I29)</f>
        <v>110</v>
      </c>
      <c r="K29" s="34" t="n">
        <f aca="false">IFERROR(J29/I29,"")</f>
        <v>0.434782608695652</v>
      </c>
      <c r="L29" s="32" t="n">
        <f aca="false">IFERROR(D29/C29,"")</f>
        <v>2927.44444444444</v>
      </c>
      <c r="M29" s="32" t="n">
        <f aca="false">IFERROR(H29/D29*1000,"")</f>
        <v>13.777659695601</v>
      </c>
      <c r="N29" s="32" t="n">
        <v>9759</v>
      </c>
      <c r="O29" s="33" t="n">
        <f aca="true">IFERROR(IF(OR(N29="",ISBLANK(INDIRECT("'"&amp;$Q$2&amp;"'!N"&amp;ROW()))),"",N29-INDIRECT("'"&amp;$Q$2&amp;"'!N"&amp;ROW())),"")</f>
        <v>134</v>
      </c>
      <c r="P29" s="3"/>
      <c r="Q29" s="3"/>
      <c r="R29" s="3"/>
      <c r="S29" s="15" t="n">
        <f aca="true">IFERROR(IF(ISBLANK(INDIRECT("'"&amp;$Q$2&amp;"'!G"&amp;ROW())),"",INDIRECT("'"&amp;$Q$2&amp;"'!G"&amp;ROW())),"")</f>
        <v>1.92553191489362</v>
      </c>
      <c r="T29" s="16" t="n">
        <f aca="false">IF(OR($G29="",$S29=""),"",$G29-$S29)</f>
        <v>-0.468935178296881</v>
      </c>
      <c r="U29" s="15" t="n">
        <f aca="true">IFERROR(IF(ISBLANK(INDIRECT("'"&amp;$Q$2&amp;"'!K"&amp;ROW())),"",INDIRECT("'"&amp;$Q$2&amp;"'!K"&amp;ROW())),"")</f>
        <v>1.97647058823529</v>
      </c>
      <c r="V29" s="16" t="n">
        <f aca="false">IF(OR($K29="",$U29=""),"",$K29-$U29)</f>
        <v>-1.54168797953964</v>
      </c>
      <c r="W29" s="17" t="n">
        <f aca="true">IFERROR(IF(ISBLANK(INDIRECT("'"&amp;$Q$2&amp;"'!O"&amp;ROW())),"",INDIRECT("'"&amp;$Q$2&amp;"'!O"&amp;ROW())),"")</f>
        <v>23</v>
      </c>
      <c r="X29" s="17" t="n">
        <f aca="false">IF(OR($O29="",$W29=""),"",$O29-$W29)</f>
        <v>111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1796</v>
      </c>
      <c r="D30" s="36" t="n">
        <f aca="false">SUM(D3:D29)</f>
        <v>5072194</v>
      </c>
      <c r="E30" s="36" t="n">
        <f aca="false">SUM(E3:E29)</f>
        <v>4273439</v>
      </c>
      <c r="F30" s="37" t="n">
        <f aca="false">SUM(F3:F29)</f>
        <v>798755</v>
      </c>
      <c r="G30" s="38" t="n">
        <f aca="false">IF(C30=0,"",IFERROR(F30/E30,""))</f>
        <v>0.186911524886631</v>
      </c>
      <c r="H30" s="36" t="n">
        <f aca="false">SUM(H3:H29)</f>
        <v>33669</v>
      </c>
      <c r="I30" s="36" t="n">
        <f aca="false">SUM(I3:I29)</f>
        <v>29907</v>
      </c>
      <c r="J30" s="37" t="n">
        <f aca="false">SUM(J3:J29)</f>
        <v>3762</v>
      </c>
      <c r="K30" s="38" t="n">
        <f aca="false">IF(C30=0,"",IFERROR(J30/I30,""))</f>
        <v>0.125789948841408</v>
      </c>
      <c r="L30" s="36" t="n">
        <f aca="false">IFERROR(D30/C30,"")</f>
        <v>2824.16146993319</v>
      </c>
      <c r="M30" s="36" t="n">
        <f aca="false">IFERROR(H30/D30*1000,"")</f>
        <v>6.63795588260228</v>
      </c>
      <c r="N30" s="36" t="n">
        <f aca="false">SUM(N3:N29)</f>
        <v>466322</v>
      </c>
      <c r="O30" s="37" t="n">
        <f aca="false">SUM(O3:O29)</f>
        <v>1041</v>
      </c>
      <c r="P30" s="3"/>
      <c r="Q30" s="3"/>
      <c r="R30" s="3"/>
      <c r="S30" s="23" t="n">
        <f aca="true">IFERROR(IF(ISBLANK(INDIRECT("'"&amp;$Q$2&amp;"'!G"&amp;ROW())),"",INDIRECT("'"&amp;$Q$2&amp;"'!G"&amp;ROW())),"")</f>
        <v>0.156988543389246</v>
      </c>
      <c r="T30" s="24" t="n">
        <f aca="false">IF(OR($G30="",$S30=""),"",$G30-$S30)</f>
        <v>0.0299229814973847</v>
      </c>
      <c r="U30" s="23" t="n">
        <f aca="true">IFERROR(IF(ISBLANK(INDIRECT("'"&amp;$Q$2&amp;"'!K"&amp;ROW())),"",INDIRECT("'"&amp;$Q$2&amp;"'!K"&amp;ROW())),"")</f>
        <v>-0.106239913932222</v>
      </c>
      <c r="V30" s="24" t="n">
        <f aca="false">IF(OR($K30="",$U30=""),"",$K30-$U30)</f>
        <v>0.23202986277363</v>
      </c>
      <c r="W30" s="25" t="n">
        <f aca="true">IFERROR(IF(ISBLANK(INDIRECT("'"&amp;$Q$2&amp;"'!O"&amp;ROW())),"",INDIRECT("'"&amp;$Q$2&amp;"'!O"&amp;ROW())),"")</f>
        <v>728</v>
      </c>
      <c r="X30" s="25" t="n">
        <f aca="false">IF(OR(C30=0,$O30="",$W30=""),"",$O30-$W30)</f>
        <v>313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114</v>
      </c>
      <c r="D31" s="32" t="n">
        <v>29953</v>
      </c>
      <c r="E31" s="32" t="n">
        <f aca="true">IF($D31="","",IFERROR(IF(ISBLANK(INDIRECT("'"&amp;$Q$2&amp;"'!D"&amp;ROW())),"",INDIRECT("'"&amp;$Q$2&amp;"'!D"&amp;ROW())),""))</f>
        <v>25088</v>
      </c>
      <c r="F31" s="33" t="n">
        <f aca="false">IF(OR(D31="",E31=""),"",D31-E31)</f>
        <v>4865</v>
      </c>
      <c r="G31" s="34" t="n">
        <f aca="false">IFERROR(F31/E31,"")</f>
        <v>0.193917410714286</v>
      </c>
      <c r="H31" s="32" t="n">
        <v>158</v>
      </c>
      <c r="I31" s="32" t="n">
        <f aca="true">IF($H31="","",IFERROR(IF(ISBLANK(INDIRECT("'"&amp;$Q$2&amp;"'!H"&amp;ROW())),"",INDIRECT("'"&amp;$Q$2&amp;"'!H"&amp;ROW())),""))</f>
        <v>112</v>
      </c>
      <c r="J31" s="33" t="n">
        <f aca="false">IF(OR(H31="",I31=""),"",H31-I31)</f>
        <v>46</v>
      </c>
      <c r="K31" s="34" t="n">
        <f aca="false">IFERROR(J31/I31,"")</f>
        <v>0.410714285714286</v>
      </c>
      <c r="L31" s="32" t="n">
        <f aca="false">IFERROR(D31/C31,"")</f>
        <v>262.745614035088</v>
      </c>
      <c r="M31" s="32" t="n">
        <f aca="false">IFERROR(H31/D31*1000,"")</f>
        <v>5.27493072480219</v>
      </c>
      <c r="N31" s="32" t="n">
        <v>32493</v>
      </c>
      <c r="O31" s="33" t="n">
        <f aca="true">IFERROR(IF(OR(N31="",ISBLANK(INDIRECT("'"&amp;$Q$2&amp;"'!N"&amp;ROW()))),"",N31-INDIRECT("'"&amp;$Q$2&amp;"'!N"&amp;ROW())),"")</f>
        <v>2</v>
      </c>
      <c r="P31" s="3"/>
      <c r="Q31" s="3"/>
      <c r="R31" s="3"/>
      <c r="S31" s="15" t="n">
        <f aca="true">IFERROR(IF(ISBLANK(INDIRECT("'"&amp;$Q$2&amp;"'!G"&amp;ROW())),"",INDIRECT("'"&amp;$Q$2&amp;"'!G"&amp;ROW())),"")</f>
        <v>-0.316403269754768</v>
      </c>
      <c r="T31" s="16" t="n">
        <f aca="false">IF(OR($G31="",$S31=""),"",$G31-$S31)</f>
        <v>0.510320680469054</v>
      </c>
      <c r="U31" s="15" t="n">
        <f aca="true">IFERROR(IF(ISBLANK(INDIRECT("'"&amp;$Q$2&amp;"'!K"&amp;ROW())),"",INDIRECT("'"&amp;$Q$2&amp;"'!K"&amp;ROW())),"")</f>
        <v>-0.0344827586206897</v>
      </c>
      <c r="V31" s="16" t="n">
        <f aca="false">IF(OR($K31="",$U31=""),"",$K31-$U31)</f>
        <v>0.445197044334975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-1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102</v>
      </c>
      <c r="D32" s="32" t="n">
        <v>35196</v>
      </c>
      <c r="E32" s="32" t="n">
        <f aca="true">IF($D32="","",IFERROR(IF(ISBLANK(INDIRECT("'"&amp;$Q$2&amp;"'!D"&amp;ROW())),"",INDIRECT("'"&amp;$Q$2&amp;"'!D"&amp;ROW())),""))</f>
        <v>31127</v>
      </c>
      <c r="F32" s="33" t="n">
        <f aca="false">IF(OR(D32="",E32=""),"",D32-E32)</f>
        <v>4069</v>
      </c>
      <c r="G32" s="34" t="n">
        <f aca="false">IFERROR(F32/E32,"")</f>
        <v>0.130722523853889</v>
      </c>
      <c r="H32" s="32" t="n">
        <v>30</v>
      </c>
      <c r="I32" s="32" t="n">
        <f aca="true">IF($H32="","",IFERROR(IF(ISBLANK(INDIRECT("'"&amp;$Q$2&amp;"'!H"&amp;ROW())),"",INDIRECT("'"&amp;$Q$2&amp;"'!H"&amp;ROW())),""))</f>
        <v>35</v>
      </c>
      <c r="J32" s="33" t="n">
        <f aca="false">IF(OR(H32="",I32=""),"",H32-I32)</f>
        <v>-5</v>
      </c>
      <c r="K32" s="34" t="n">
        <f aca="false">IFERROR(J32/I32,"")</f>
        <v>-0.142857142857143</v>
      </c>
      <c r="L32" s="32" t="n">
        <f aca="false">IFERROR(D32/C32,"")</f>
        <v>345.058823529412</v>
      </c>
      <c r="M32" s="32" t="n">
        <f aca="false">IFERROR(H32/D32*1000,"")</f>
        <v>0.85236958745312</v>
      </c>
      <c r="N32" s="32" t="n">
        <v>21739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-0.262603051265043</v>
      </c>
      <c r="T32" s="16" t="n">
        <f aca="false">IF(OR($G32="",$S32=""),"",$G32-$S32)</f>
        <v>0.393325575118932</v>
      </c>
      <c r="U32" s="15" t="n">
        <f aca="true">IFERROR(IF(ISBLANK(INDIRECT("'"&amp;$Q$2&amp;"'!K"&amp;ROW())),"",INDIRECT("'"&amp;$Q$2&amp;"'!K"&amp;ROW())),"")</f>
        <v>-0.619565217391304</v>
      </c>
      <c r="V32" s="16" t="n">
        <f aca="false">IF(OR($K32="",$U32=""),"",$K32-$U32)</f>
        <v>0.476708074534162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0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73</v>
      </c>
      <c r="D33" s="32" t="n">
        <v>24690</v>
      </c>
      <c r="E33" s="32" t="n">
        <f aca="true">IF($D33="","",IFERROR(IF(ISBLANK(INDIRECT("'"&amp;$Q$2&amp;"'!D"&amp;ROW())),"",INDIRECT("'"&amp;$Q$2&amp;"'!D"&amp;ROW())),""))</f>
        <v>24654</v>
      </c>
      <c r="F33" s="33" t="n">
        <f aca="false">IF(OR(D33="",E33=""),"",D33-E33)</f>
        <v>36</v>
      </c>
      <c r="G33" s="34" t="n">
        <f aca="false">IFERROR(F33/E33,"")</f>
        <v>0.00146020929666586</v>
      </c>
      <c r="H33" s="32" t="n">
        <v>20</v>
      </c>
      <c r="I33" s="32" t="n">
        <f aca="true">IF($H33="","",IFERROR(IF(ISBLANK(INDIRECT("'"&amp;$Q$2&amp;"'!H"&amp;ROW())),"",INDIRECT("'"&amp;$Q$2&amp;"'!H"&amp;ROW())),""))</f>
        <v>18</v>
      </c>
      <c r="J33" s="33" t="n">
        <f aca="false">IF(OR(H33="",I33=""),"",H33-I33)</f>
        <v>2</v>
      </c>
      <c r="K33" s="34" t="n">
        <f aca="false">IFERROR(J33/I33,"")</f>
        <v>0.111111111111111</v>
      </c>
      <c r="L33" s="32" t="n">
        <f aca="false">IFERROR(D33/C33,"")</f>
        <v>338.219178082192</v>
      </c>
      <c r="M33" s="32" t="n">
        <f aca="false">IFERROR(H33/D33*1000,"")</f>
        <v>0.810044552450385</v>
      </c>
      <c r="N33" s="32" t="n">
        <v>8964</v>
      </c>
      <c r="O33" s="33" t="n">
        <f aca="true">IFERROR(IF(OR(N33="",ISBLANK(INDIRECT("'"&amp;$Q$2&amp;"'!N"&amp;ROW()))),"",N33-INDIRECT("'"&amp;$Q$2&amp;"'!N"&amp;ROW())),"")</f>
        <v>6</v>
      </c>
      <c r="P33" s="3"/>
      <c r="Q33" s="3"/>
      <c r="R33" s="3"/>
      <c r="S33" s="15" t="n">
        <f aca="true">IFERROR(IF(ISBLANK(INDIRECT("'"&amp;$Q$2&amp;"'!G"&amp;ROW())),"",INDIRECT("'"&amp;$Q$2&amp;"'!G"&amp;ROW())),"")</f>
        <v>0.470037564844076</v>
      </c>
      <c r="T33" s="16" t="n">
        <f aca="false">IF(OR($G33="",$S33=""),"",$G33-$S33)</f>
        <v>-0.46857735554741</v>
      </c>
      <c r="U33" s="15" t="n">
        <f aca="true">IFERROR(IF(ISBLANK(INDIRECT("'"&amp;$Q$2&amp;"'!K"&amp;ROW())),"",INDIRECT("'"&amp;$Q$2&amp;"'!K"&amp;ROW())),"")</f>
        <v>2.6</v>
      </c>
      <c r="V33" s="16" t="n">
        <f aca="false">IF(OR($K33="",$U33=""),"",$K33-$U33)</f>
        <v>-2.48888888888889</v>
      </c>
      <c r="W33" s="17" t="n">
        <f aca="true">IFERROR(IF(ISBLANK(INDIRECT("'"&amp;$Q$2&amp;"'!O"&amp;ROW())),"",INDIRECT("'"&amp;$Q$2&amp;"'!O"&amp;ROW())),"")</f>
        <v>1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78</v>
      </c>
      <c r="D34" s="32" t="n">
        <v>583</v>
      </c>
      <c r="E34" s="32" t="n">
        <f aca="true">IF($D34="","",IFERROR(IF(ISBLANK(INDIRECT("'"&amp;$Q$2&amp;"'!D"&amp;ROW())),"",INDIRECT("'"&amp;$Q$2&amp;"'!D"&amp;ROW())),""))</f>
        <v>604</v>
      </c>
      <c r="F34" s="33" t="n">
        <f aca="false">IF(OR(D34="",E34=""),"",D34-E34)</f>
        <v>-21</v>
      </c>
      <c r="G34" s="34" t="n">
        <f aca="false">IFERROR(F34/E34,"")</f>
        <v>-0.0347682119205298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7.47435897435897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-0.162274618585298</v>
      </c>
      <c r="T34" s="16" t="n">
        <f aca="false">IF(OR($G34="",$S34=""),"",$G34-$S34)</f>
        <v>0.127506406664768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73</v>
      </c>
      <c r="D35" s="32" t="n">
        <v>7094</v>
      </c>
      <c r="E35" s="32" t="n">
        <f aca="true">IF($D35="","",IFERROR(IF(ISBLANK(INDIRECT("'"&amp;$Q$2&amp;"'!D"&amp;ROW())),"",INDIRECT("'"&amp;$Q$2&amp;"'!D"&amp;ROW())),""))</f>
        <v>8859</v>
      </c>
      <c r="F35" s="33" t="n">
        <f aca="false">IF(OR(D35="",E35=""),"",D35-E35)</f>
        <v>-1765</v>
      </c>
      <c r="G35" s="34" t="n">
        <f aca="false">IFERROR(F35/E35,"")</f>
        <v>-0.199232419008917</v>
      </c>
      <c r="H35" s="32" t="n">
        <v>72</v>
      </c>
      <c r="I35" s="32" t="n">
        <f aca="true">IF($H35="","",IFERROR(IF(ISBLANK(INDIRECT("'"&amp;$Q$2&amp;"'!H"&amp;ROW())),"",INDIRECT("'"&amp;$Q$2&amp;"'!H"&amp;ROW())),""))</f>
        <v>70</v>
      </c>
      <c r="J35" s="33" t="n">
        <f aca="false">IF(OR(H35="",I35=""),"",H35-I35)</f>
        <v>2</v>
      </c>
      <c r="K35" s="34" t="n">
        <f aca="false">IFERROR(J35/I35,"")</f>
        <v>0.0285714285714286</v>
      </c>
      <c r="L35" s="32" t="n">
        <f aca="false">IFERROR(D35/C35,"")</f>
        <v>97.1780821917808</v>
      </c>
      <c r="M35" s="32" t="n">
        <f aca="false">IFERROR(H35/D35*1000,"")</f>
        <v>10.1494220468001</v>
      </c>
      <c r="N35" s="32" t="n">
        <v>1943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-0.0647170608108108</v>
      </c>
      <c r="T35" s="16" t="n">
        <f aca="false">IF(OR($G35="",$S35=""),"",$G35-$S35)</f>
        <v>-0.134515358198107</v>
      </c>
      <c r="U35" s="15" t="n">
        <f aca="true">IFERROR(IF(ISBLANK(INDIRECT("'"&amp;$Q$2&amp;"'!K"&amp;ROW())),"",INDIRECT("'"&amp;$Q$2&amp;"'!K"&amp;ROW())),"")</f>
        <v>0.458333333333333</v>
      </c>
      <c r="V35" s="16" t="n">
        <f aca="false">IF(OR($K35="",$U35=""),"",$K35-$U35)</f>
        <v>-0.429761904761905</v>
      </c>
      <c r="W35" s="17" t="n">
        <f aca="true">IFERROR(IF(ISBLANK(INDIRECT("'"&amp;$Q$2&amp;"'!O"&amp;ROW())),"",INDIRECT("'"&amp;$Q$2&amp;"'!O"&amp;ROW())),"")</f>
        <v>0</v>
      </c>
      <c r="X35" s="17" t="n">
        <f aca="false">IF(OR($O35="",$W35=""),"",$O35-$W35)</f>
        <v>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35834</v>
      </c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 t="n">
        <v>491</v>
      </c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n">
        <f aca="false">IFERROR(D36/C36,"")</f>
        <v>431.734939759036</v>
      </c>
      <c r="M36" s="32" t="n">
        <f aca="false">IFERROR(H36/D36*1000,"")</f>
        <v>13.7020706591505</v>
      </c>
      <c r="N36" s="32" t="n">
        <v>5896</v>
      </c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130</v>
      </c>
      <c r="D37" s="32" t="n">
        <v>7921</v>
      </c>
      <c r="E37" s="32" t="n">
        <f aca="true">IF($D37="","",IFERROR(IF(ISBLANK(INDIRECT("'"&amp;$Q$2&amp;"'!D"&amp;ROW())),"",INDIRECT("'"&amp;$Q$2&amp;"'!D"&amp;ROW())),""))</f>
        <v>5607</v>
      </c>
      <c r="F37" s="33" t="n">
        <f aca="false">IF(OR(D37="",E37=""),"",D37-E37)</f>
        <v>2314</v>
      </c>
      <c r="G37" s="34" t="n">
        <f aca="false">IFERROR(F37/E37,"")</f>
        <v>0.412698412698413</v>
      </c>
      <c r="H37" s="32" t="n">
        <v>96</v>
      </c>
      <c r="I37" s="32" t="n">
        <f aca="true">IF($H37="","",IFERROR(IF(ISBLANK(INDIRECT("'"&amp;$Q$2&amp;"'!H"&amp;ROW())),"",INDIRECT("'"&amp;$Q$2&amp;"'!H"&amp;ROW())),""))</f>
        <v>18</v>
      </c>
      <c r="J37" s="33" t="n">
        <f aca="false">IF(OR(H37="",I37=""),"",H37-I37)</f>
        <v>78</v>
      </c>
      <c r="K37" s="34" t="n">
        <f aca="false">IFERROR(J37/I37,"")</f>
        <v>4.33333333333333</v>
      </c>
      <c r="L37" s="32" t="n">
        <f aca="false">IFERROR(D37/C37,"")</f>
        <v>60.9307692307692</v>
      </c>
      <c r="M37" s="32" t="n">
        <f aca="false">IFERROR(H37/D37*1000,"")</f>
        <v>12.1196818583512</v>
      </c>
      <c r="N37" s="32" t="n">
        <v>3239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-0.137915129151292</v>
      </c>
      <c r="T37" s="16" t="n">
        <f aca="false">IF(OR($G37="",$S37=""),"",$G37-$S37)</f>
        <v>0.550613541849704</v>
      </c>
      <c r="U37" s="15" t="n">
        <f aca="true">IFERROR(IF(ISBLANK(INDIRECT("'"&amp;$Q$2&amp;"'!K"&amp;ROW())),"",INDIRECT("'"&amp;$Q$2&amp;"'!K"&amp;ROW())),"")</f>
        <v>-0.625</v>
      </c>
      <c r="V37" s="16" t="n">
        <f aca="false">IF(OR($K37="",$U37=""),"",$K37-$U37)</f>
        <v>4.95833333333333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104</v>
      </c>
      <c r="D38" s="32" t="n">
        <v>10012</v>
      </c>
      <c r="E38" s="32" t="n">
        <f aca="true">IF($D38="","",IFERROR(IF(ISBLANK(INDIRECT("'"&amp;$Q$2&amp;"'!D"&amp;ROW())),"",INDIRECT("'"&amp;$Q$2&amp;"'!D"&amp;ROW())),""))</f>
        <v>9151</v>
      </c>
      <c r="F38" s="33" t="n">
        <f aca="false">IF(OR(D38="",E38=""),"",D38-E38)</f>
        <v>861</v>
      </c>
      <c r="G38" s="34" t="n">
        <f aca="false">IFERROR(F38/E38,"")</f>
        <v>0.0940880778057043</v>
      </c>
      <c r="H38" s="32" t="n">
        <v>273</v>
      </c>
      <c r="I38" s="32" t="n">
        <f aca="true">IF($H38="","",IFERROR(IF(ISBLANK(INDIRECT("'"&amp;$Q$2&amp;"'!H"&amp;ROW())),"",INDIRECT("'"&amp;$Q$2&amp;"'!H"&amp;ROW())),""))</f>
        <v>151</v>
      </c>
      <c r="J38" s="33" t="n">
        <f aca="false">IF(OR(H38="",I38=""),"",H38-I38)</f>
        <v>122</v>
      </c>
      <c r="K38" s="34" t="n">
        <f aca="false">IFERROR(J38/I38,"")</f>
        <v>0.80794701986755</v>
      </c>
      <c r="L38" s="32" t="n">
        <f aca="false">IFERROR(D38/C38,"")</f>
        <v>96.2692307692308</v>
      </c>
      <c r="M38" s="32" t="n">
        <f aca="false">IFERROR(H38/D38*1000,"")</f>
        <v>27.2672792648821</v>
      </c>
      <c r="N38" s="32" t="n">
        <v>1716</v>
      </c>
      <c r="O38" s="33" t="n">
        <f aca="true">IFERROR(IF(OR(N38="",ISBLANK(INDIRECT("'"&amp;$Q$2&amp;"'!N"&amp;ROW()))),"",N38-INDIRECT("'"&amp;$Q$2&amp;"'!N"&amp;ROW())),"")</f>
        <v>5</v>
      </c>
      <c r="P38" s="3"/>
      <c r="Q38" s="3"/>
      <c r="R38" s="3"/>
      <c r="S38" s="15" t="n">
        <f aca="true">IFERROR(IF(ISBLANK(INDIRECT("'"&amp;$Q$2&amp;"'!G"&amp;ROW())),"",INDIRECT("'"&amp;$Q$2&amp;"'!G"&amp;ROW())),"")</f>
        <v>-0.159456232203546</v>
      </c>
      <c r="T38" s="16" t="n">
        <f aca="false">IF(OR($G38="",$S38=""),"",$G38-$S38)</f>
        <v>0.25354431000925</v>
      </c>
      <c r="U38" s="15" t="n">
        <f aca="true">IFERROR(IF(ISBLANK(INDIRECT("'"&amp;$Q$2&amp;"'!K"&amp;ROW())),"",INDIRECT("'"&amp;$Q$2&amp;"'!K"&amp;ROW())),"")</f>
        <v>-0.174863387978142</v>
      </c>
      <c r="V38" s="16" t="n">
        <f aca="false">IF(OR($K38="",$U38=""),"",$K38-$U38)</f>
        <v>0.982810407845692</v>
      </c>
      <c r="W38" s="17" t="n">
        <f aca="true">IFERROR(IF(ISBLANK(INDIRECT("'"&amp;$Q$2&amp;"'!O"&amp;ROW())),"",INDIRECT("'"&amp;$Q$2&amp;"'!O"&amp;ROW())),"")</f>
        <v>0</v>
      </c>
      <c r="X38" s="17" t="n">
        <f aca="false">IF(OR($O38="",$W38=""),"",$O38-$W38)</f>
        <v>5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55</v>
      </c>
      <c r="D39" s="32" t="n">
        <v>4149</v>
      </c>
      <c r="E39" s="32" t="n">
        <f aca="true">IF($D39="","",IFERROR(IF(ISBLANK(INDIRECT("'"&amp;$Q$2&amp;"'!D"&amp;ROW())),"",INDIRECT("'"&amp;$Q$2&amp;"'!D"&amp;ROW())),""))</f>
        <v>4189</v>
      </c>
      <c r="F39" s="33" t="n">
        <f aca="false">IF(OR(D39="",E39=""),"",D39-E39)</f>
        <v>-40</v>
      </c>
      <c r="G39" s="34" t="n">
        <f aca="false">IFERROR(F39/E39,"")</f>
        <v>-0.0095488183337312</v>
      </c>
      <c r="H39" s="32" t="n">
        <v>2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-1</v>
      </c>
      <c r="K39" s="34" t="n">
        <f aca="false">IFERROR(J39/I39,"")</f>
        <v>-0.333333333333333</v>
      </c>
      <c r="L39" s="32" t="n">
        <f aca="false">IFERROR(D39/C39,"")</f>
        <v>75.4363636363636</v>
      </c>
      <c r="M39" s="32" t="n">
        <f aca="false">IFERROR(H39/D39*1000,"")</f>
        <v>0.482043865991805</v>
      </c>
      <c r="N39" s="32" t="n">
        <v>226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-0.00546058879392213</v>
      </c>
      <c r="T39" s="16" t="n">
        <f aca="false">IF(OR($G39="",$S39=""),"",$G39-$S39)</f>
        <v>-0.00408822953980907</v>
      </c>
      <c r="U39" s="15" t="n">
        <f aca="true">IFERROR(IF(ISBLANK(INDIRECT("'"&amp;$Q$2&amp;"'!K"&amp;ROW())),"",INDIRECT("'"&amp;$Q$2&amp;"'!K"&amp;ROW())),"")</f>
        <v>-0.625</v>
      </c>
      <c r="V39" s="16" t="n">
        <f aca="false">IF(OR($K39="",$U39=""),"",$K39-$U39)</f>
        <v>0.291666666666667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37</v>
      </c>
      <c r="D40" s="32" t="n">
        <v>4445</v>
      </c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 t="n">
        <v>51</v>
      </c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n">
        <f aca="false">IFERROR(D40/C40,"")</f>
        <v>120.135135135135</v>
      </c>
      <c r="M40" s="32" t="n">
        <f aca="false">IFERROR(H40/D40*1000,"")</f>
        <v>11.4735658042745</v>
      </c>
      <c r="N40" s="32" t="n">
        <v>4962</v>
      </c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55</v>
      </c>
      <c r="D41" s="32" t="n">
        <v>12178</v>
      </c>
      <c r="E41" s="32" t="n">
        <f aca="true">IF($D41="","",IFERROR(IF(ISBLANK(INDIRECT("'"&amp;$Q$2&amp;"'!D"&amp;ROW())),"",INDIRECT("'"&amp;$Q$2&amp;"'!D"&amp;ROW())),""))</f>
        <v>12390</v>
      </c>
      <c r="F41" s="33" t="n">
        <f aca="false">IF(OR(D41="",E41=""),"",D41-E41)</f>
        <v>-212</v>
      </c>
      <c r="G41" s="34" t="n">
        <f aca="false">IFERROR(F41/E41,"")</f>
        <v>-0.0171105730427764</v>
      </c>
      <c r="H41" s="32" t="n">
        <v>109</v>
      </c>
      <c r="I41" s="32" t="n">
        <f aca="true">IF($H41="","",IFERROR(IF(ISBLANK(INDIRECT("'"&amp;$Q$2&amp;"'!H"&amp;ROW())),"",INDIRECT("'"&amp;$Q$2&amp;"'!H"&amp;ROW())),""))</f>
        <v>121</v>
      </c>
      <c r="J41" s="33" t="n">
        <f aca="false">IF(OR(H41="",I41=""),"",H41-I41)</f>
        <v>-12</v>
      </c>
      <c r="K41" s="34" t="n">
        <f aca="false">IFERROR(J41/I41,"")</f>
        <v>-0.0991735537190083</v>
      </c>
      <c r="L41" s="32" t="n">
        <f aca="false">IFERROR(D41/C41,"")</f>
        <v>221.418181818182</v>
      </c>
      <c r="M41" s="32" t="n">
        <f aca="false">IFERROR(H41/D41*1000,"")</f>
        <v>8.95056659550008</v>
      </c>
      <c r="N41" s="32" t="n">
        <v>3532</v>
      </c>
      <c r="O41" s="33" t="n">
        <f aca="true">IFERROR(IF(OR(N41="",ISBLANK(INDIRECT("'"&amp;$Q$2&amp;"'!N"&amp;ROW()))),"",N41-INDIRECT("'"&amp;$Q$2&amp;"'!N"&amp;ROW())),"")</f>
        <v>1</v>
      </c>
      <c r="P41" s="3"/>
      <c r="Q41" s="3"/>
      <c r="R41" s="3"/>
      <c r="S41" s="15" t="n">
        <f aca="true">IFERROR(IF(ISBLANK(INDIRECT("'"&amp;$Q$2&amp;"'!G"&amp;ROW())),"",INDIRECT("'"&amp;$Q$2&amp;"'!G"&amp;ROW())),"")</f>
        <v>-0.0312744331508991</v>
      </c>
      <c r="T41" s="16" t="n">
        <f aca="false">IF(OR($G41="",$S41=""),"",$G41-$S41)</f>
        <v>0.0141638601081227</v>
      </c>
      <c r="U41" s="15" t="n">
        <f aca="true">IFERROR(IF(ISBLANK(INDIRECT("'"&amp;$Q$2&amp;"'!K"&amp;ROW())),"",INDIRECT("'"&amp;$Q$2&amp;"'!K"&amp;ROW())),"")</f>
        <v>0.186274509803922</v>
      </c>
      <c r="V41" s="16" t="n">
        <f aca="false">IF(OR($K41="",$U41=""),"",$K41-$U41)</f>
        <v>-0.28544806352293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24</v>
      </c>
      <c r="D42" s="32" t="n">
        <v>5911</v>
      </c>
      <c r="E42" s="32" t="n">
        <f aca="true">IF($D42="","",IFERROR(IF(ISBLANK(INDIRECT("'"&amp;$Q$2&amp;"'!D"&amp;ROW())),"",INDIRECT("'"&amp;$Q$2&amp;"'!D"&amp;ROW())),""))</f>
        <v>6594</v>
      </c>
      <c r="F42" s="33" t="n">
        <f aca="false">IF(OR(D42="",E42=""),"",D42-E42)</f>
        <v>-683</v>
      </c>
      <c r="G42" s="34" t="n">
        <f aca="false">IFERROR(F42/E42,"")</f>
        <v>-0.103579011222323</v>
      </c>
      <c r="H42" s="32" t="n">
        <v>82</v>
      </c>
      <c r="I42" s="32" t="n">
        <f aca="true">IF($H42="","",IFERROR(IF(ISBLANK(INDIRECT("'"&amp;$Q$2&amp;"'!H"&amp;ROW())),"",INDIRECT("'"&amp;$Q$2&amp;"'!H"&amp;ROW())),""))</f>
        <v>83</v>
      </c>
      <c r="J42" s="33" t="n">
        <f aca="false">IF(OR(H42="",I42=""),"",H42-I42)</f>
        <v>-1</v>
      </c>
      <c r="K42" s="34" t="n">
        <f aca="false">IFERROR(J42/I42,"")</f>
        <v>-0.0120481927710843</v>
      </c>
      <c r="L42" s="32" t="n">
        <f aca="false">IFERROR(D42/C42,"")</f>
        <v>246.291666666667</v>
      </c>
      <c r="M42" s="32" t="n">
        <f aca="false">IFERROR(H42/D42*1000,"")</f>
        <v>13.872441211301</v>
      </c>
      <c r="N42" s="32" t="n">
        <v>655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-0.122788346414793</v>
      </c>
      <c r="T42" s="16" t="n">
        <f aca="false">IF(OR($G42="",$S42=""),"",$G42-$S42)</f>
        <v>0.0192093351924698</v>
      </c>
      <c r="U42" s="15" t="n">
        <f aca="true">IFERROR(IF(ISBLANK(INDIRECT("'"&amp;$Q$2&amp;"'!K"&amp;ROW())),"",INDIRECT("'"&amp;$Q$2&amp;"'!K"&amp;ROW())),"")</f>
        <v>-0.37593984962406</v>
      </c>
      <c r="V42" s="16" t="n">
        <f aca="false">IF(OR($K42="",$U42=""),"",$K42-$U42)</f>
        <v>0.363891656852976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46</v>
      </c>
      <c r="D43" s="32" t="n">
        <v>2419</v>
      </c>
      <c r="E43" s="32" t="n">
        <f aca="true">IF($D43="","",IFERROR(IF(ISBLANK(INDIRECT("'"&amp;$Q$2&amp;"'!D"&amp;ROW())),"",INDIRECT("'"&amp;$Q$2&amp;"'!D"&amp;ROW())),""))</f>
        <v>2452</v>
      </c>
      <c r="F43" s="33" t="n">
        <f aca="false">IF(OR(D43="",E43=""),"",D43-E43)</f>
        <v>-33</v>
      </c>
      <c r="G43" s="34" t="n">
        <f aca="false">IFERROR(F43/E43,"")</f>
        <v>-0.0134584013050571</v>
      </c>
      <c r="H43" s="32" t="n">
        <v>14</v>
      </c>
      <c r="I43" s="32" t="n">
        <f aca="true">IF($H43="","",IFERROR(IF(ISBLANK(INDIRECT("'"&amp;$Q$2&amp;"'!H"&amp;ROW())),"",INDIRECT("'"&amp;$Q$2&amp;"'!H"&amp;ROW())),""))</f>
        <v>11</v>
      </c>
      <c r="J43" s="33" t="n">
        <f aca="false">IF(OR(H43="",I43=""),"",H43-I43)</f>
        <v>3</v>
      </c>
      <c r="K43" s="34" t="n">
        <f aca="false">IFERROR(J43/I43,"")</f>
        <v>0.272727272727273</v>
      </c>
      <c r="L43" s="32" t="n">
        <f aca="false">IFERROR(D43/C43,"")</f>
        <v>52.5869565217391</v>
      </c>
      <c r="M43" s="32" t="n">
        <f aca="false">IFERROR(H43/D43*1000,"")</f>
        <v>5.78751550227367</v>
      </c>
      <c r="N43" s="32" t="n">
        <v>1954</v>
      </c>
      <c r="O43" s="33" t="n">
        <f aca="true">IFERROR(IF(OR(N43="",ISBLANK(INDIRECT("'"&amp;$Q$2&amp;"'!N"&amp;ROW()))),"",N43-INDIRECT("'"&amp;$Q$2&amp;"'!N"&amp;ROW())),"")</f>
        <v>2</v>
      </c>
      <c r="P43" s="3"/>
      <c r="Q43" s="3"/>
      <c r="R43" s="3"/>
      <c r="S43" s="15" t="n">
        <f aca="true">IFERROR(IF(ISBLANK(INDIRECT("'"&amp;$Q$2&amp;"'!G"&amp;ROW())),"",INDIRECT("'"&amp;$Q$2&amp;"'!G"&amp;ROW())),"")</f>
        <v>-0.331333515134988</v>
      </c>
      <c r="T43" s="16" t="n">
        <f aca="false">IF(OR($G43="",$S43=""),"",$G43-$S43)</f>
        <v>0.317875113829931</v>
      </c>
      <c r="U43" s="15" t="n">
        <f aca="true">IFERROR(IF(ISBLANK(INDIRECT("'"&amp;$Q$2&amp;"'!K"&amp;ROW())),"",INDIRECT("'"&amp;$Q$2&amp;"'!K"&amp;ROW())),"")</f>
        <v>-0.56</v>
      </c>
      <c r="V43" s="16" t="n">
        <f aca="false">IF(OR($K43="",$U43=""),"",$K43-$U43)</f>
        <v>0.832727272727273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9089</v>
      </c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 t="n">
        <v>162</v>
      </c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n">
        <f aca="false">IFERROR(D44/C44,"")</f>
        <v>178.21568627451</v>
      </c>
      <c r="M44" s="32" t="n">
        <f aca="false">IFERROR(H44/D44*1000,"")</f>
        <v>17.8237429860271</v>
      </c>
      <c r="N44" s="32" t="n">
        <v>4897</v>
      </c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55</v>
      </c>
      <c r="D45" s="32" t="n">
        <v>17624</v>
      </c>
      <c r="E45" s="32" t="n">
        <f aca="true">IF($D45="","",IFERROR(IF(ISBLANK(INDIRECT("'"&amp;$Q$2&amp;"'!D"&amp;ROW())),"",INDIRECT("'"&amp;$Q$2&amp;"'!D"&amp;ROW())),""))</f>
        <v>14463</v>
      </c>
      <c r="F45" s="33" t="n">
        <f aca="false">IF(OR(D45="",E45=""),"",D45-E45)</f>
        <v>3161</v>
      </c>
      <c r="G45" s="34" t="n">
        <f aca="false">IFERROR(F45/E45,"")</f>
        <v>0.218557698955957</v>
      </c>
      <c r="H45" s="32" t="n">
        <v>198</v>
      </c>
      <c r="I45" s="32" t="n">
        <f aca="true">IF($H45="","",IFERROR(IF(ISBLANK(INDIRECT("'"&amp;$Q$2&amp;"'!H"&amp;ROW())),"",INDIRECT("'"&amp;$Q$2&amp;"'!H"&amp;ROW())),""))</f>
        <v>201</v>
      </c>
      <c r="J45" s="33" t="n">
        <f aca="false">IF(OR(H45="",I45=""),"",H45-I45)</f>
        <v>-3</v>
      </c>
      <c r="K45" s="34" t="n">
        <f aca="false">IFERROR(J45/I45,"")</f>
        <v>-0.0149253731343284</v>
      </c>
      <c r="L45" s="32" t="n">
        <f aca="false">IFERROR(D45/C45,"")</f>
        <v>320.436363636364</v>
      </c>
      <c r="M45" s="32" t="n">
        <f aca="false">IFERROR(H45/D45*1000,"")</f>
        <v>11.2346799818429</v>
      </c>
      <c r="N45" s="32" t="n">
        <v>3752</v>
      </c>
      <c r="O45" s="33" t="n">
        <f aca="true">IFERROR(IF(OR(N45="",ISBLANK(INDIRECT("'"&amp;$Q$2&amp;"'!N"&amp;ROW()))),"",N45-INDIRECT("'"&amp;$Q$2&amp;"'!N"&amp;ROW())),"")</f>
        <v>5</v>
      </c>
      <c r="P45" s="3"/>
      <c r="Q45" s="3"/>
      <c r="R45" s="3"/>
      <c r="S45" s="15" t="n">
        <f aca="true">IFERROR(IF(ISBLANK(INDIRECT("'"&amp;$Q$2&amp;"'!G"&amp;ROW())),"",INDIRECT("'"&amp;$Q$2&amp;"'!G"&amp;ROW())),"")</f>
        <v>-0.328426820208024</v>
      </c>
      <c r="T45" s="16" t="n">
        <f aca="false">IF(OR($G45="",$S45=""),"",$G45-$S45)</f>
        <v>0.54698451916398</v>
      </c>
      <c r="U45" s="15" t="n">
        <f aca="true">IFERROR(IF(ISBLANK(INDIRECT("'"&amp;$Q$2&amp;"'!K"&amp;ROW())),"",INDIRECT("'"&amp;$Q$2&amp;"'!K"&amp;ROW())),"")</f>
        <v>-0.347402597402597</v>
      </c>
      <c r="V45" s="16" t="n">
        <f aca="false">IF(OR($K45="",$U45=""),"",$K45-$U45)</f>
        <v>0.332477224268269</v>
      </c>
      <c r="W45" s="17" t="n">
        <f aca="true">IFERROR(IF(ISBLANK(INDIRECT("'"&amp;$Q$2&amp;"'!O"&amp;ROW())),"",INDIRECT("'"&amp;$Q$2&amp;"'!O"&amp;ROW())),"")</f>
        <v>1</v>
      </c>
      <c r="X45" s="17" t="n">
        <f aca="false">IF(OR($O45="",$W45=""),"",$O45-$W45)</f>
        <v>4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71</v>
      </c>
      <c r="D46" s="32" t="n">
        <v>23500</v>
      </c>
      <c r="E46" s="32" t="n">
        <f aca="true">IF($D46="","",IFERROR(IF(ISBLANK(INDIRECT("'"&amp;$Q$2&amp;"'!D"&amp;ROW())),"",INDIRECT("'"&amp;$Q$2&amp;"'!D"&amp;ROW())),""))</f>
        <v>22558</v>
      </c>
      <c r="F46" s="33" t="n">
        <f aca="false">IF(OR(D46="",E46=""),"",D46-E46)</f>
        <v>942</v>
      </c>
      <c r="G46" s="34" t="n">
        <f aca="false">IFERROR(F46/E46,"")</f>
        <v>0.0417590211898218</v>
      </c>
      <c r="H46" s="32" t="n">
        <v>311</v>
      </c>
      <c r="I46" s="32" t="n">
        <f aca="true">IF($H46="","",IFERROR(IF(ISBLANK(INDIRECT("'"&amp;$Q$2&amp;"'!H"&amp;ROW())),"",INDIRECT("'"&amp;$Q$2&amp;"'!H"&amp;ROW())),""))</f>
        <v>342</v>
      </c>
      <c r="J46" s="33" t="n">
        <f aca="false">IF(OR(H46="",I46=""),"",H46-I46)</f>
        <v>-31</v>
      </c>
      <c r="K46" s="34" t="n">
        <f aca="false">IFERROR(J46/I46,"")</f>
        <v>-0.0906432748538012</v>
      </c>
      <c r="L46" s="32" t="n">
        <f aca="false">IFERROR(D46/C46,"")</f>
        <v>330.985915492958</v>
      </c>
      <c r="M46" s="32" t="n">
        <f aca="false">IFERROR(H46/D46*1000,"")</f>
        <v>13.2340425531915</v>
      </c>
      <c r="N46" s="32" t="n">
        <v>4508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-0.2358659936994</v>
      </c>
      <c r="T46" s="16" t="n">
        <f aca="false">IF(OR($G46="",$S46=""),"",$G46-$S46)</f>
        <v>0.277625014889222</v>
      </c>
      <c r="U46" s="15" t="n">
        <f aca="true">IFERROR(IF(ISBLANK(INDIRECT("'"&amp;$Q$2&amp;"'!K"&amp;ROW())),"",INDIRECT("'"&amp;$Q$2&amp;"'!K"&amp;ROW())),"")</f>
        <v>-0.0256410256410256</v>
      </c>
      <c r="V46" s="16" t="n">
        <f aca="false">IF(OR($K46="",$U46=""),"",$K46-$U46)</f>
        <v>-0.0650022492127755</v>
      </c>
      <c r="W46" s="17" t="n">
        <f aca="true">IFERROR(IF(ISBLANK(INDIRECT("'"&amp;$Q$2&amp;"'!O"&amp;ROW())),"",INDIRECT("'"&amp;$Q$2&amp;"'!O"&amp;ROW())),"")</f>
        <v>3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17</v>
      </c>
      <c r="D47" s="32" t="n">
        <v>1177</v>
      </c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 t="n">
        <v>73</v>
      </c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n">
        <f aca="false">IFERROR(D47/C47,"")</f>
        <v>69.2352941176471</v>
      </c>
      <c r="M47" s="32" t="n">
        <f aca="false">IFERROR(H47/D47*1000,"")</f>
        <v>62.0220900594732</v>
      </c>
      <c r="N47" s="32" t="n">
        <v>857</v>
      </c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4</v>
      </c>
      <c r="D48" s="32" t="n">
        <v>2358</v>
      </c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 t="n">
        <v>144</v>
      </c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n">
        <f aca="false">IFERROR(D48/C48,"")</f>
        <v>589.5</v>
      </c>
      <c r="M48" s="32" t="n">
        <f aca="false">IFERROR(H48/D48*1000,"")</f>
        <v>61.0687022900763</v>
      </c>
      <c r="N48" s="32" t="n">
        <v>868</v>
      </c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215</v>
      </c>
      <c r="D49" s="32" t="n">
        <v>9500</v>
      </c>
      <c r="E49" s="32" t="n">
        <f aca="true">IF($D49="","",IFERROR(IF(ISBLANK(INDIRECT("'"&amp;$Q$2&amp;"'!D"&amp;ROW())),"",INDIRECT("'"&amp;$Q$2&amp;"'!D"&amp;ROW())),""))</f>
        <v>10157</v>
      </c>
      <c r="F49" s="33" t="n">
        <f aca="false">IF(OR(D49="",E49=""),"",D49-E49)</f>
        <v>-657</v>
      </c>
      <c r="G49" s="34" t="n">
        <f aca="false">IFERROR(F49/E49,"")</f>
        <v>-0.064684454071084</v>
      </c>
      <c r="H49" s="32" t="n">
        <v>5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4</v>
      </c>
      <c r="K49" s="34" t="n">
        <f aca="false">IFERROR(J49/I49,"")</f>
        <v>4</v>
      </c>
      <c r="L49" s="32" t="n">
        <f aca="false">IFERROR(D49/C49,"")</f>
        <v>44.1860465116279</v>
      </c>
      <c r="M49" s="32" t="n">
        <f aca="false">IFERROR(H49/D49*1000,"")</f>
        <v>0.526315789473684</v>
      </c>
      <c r="N49" s="32" t="n">
        <v>4822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n">
        <f aca="true">IFERROR(IF(ISBLANK(INDIRECT("'"&amp;$Q$2&amp;"'!G"&amp;ROW())),"",INDIRECT("'"&amp;$Q$2&amp;"'!G"&amp;ROW())),"")</f>
        <v>0.273924495171203</v>
      </c>
      <c r="T49" s="16" t="n">
        <f aca="false">IF(OR($G49="",$S49=""),"",$G49-$S49)</f>
        <v>-0.338608949242287</v>
      </c>
      <c r="U49" s="15" t="n">
        <f aca="true">IFERROR(IF(ISBLANK(INDIRECT("'"&amp;$Q$2&amp;"'!K"&amp;ROW())),"",INDIRECT("'"&amp;$Q$2&amp;"'!K"&amp;ROW())),"")</f>
        <v>-0.5</v>
      </c>
      <c r="V49" s="16" t="n">
        <f aca="false">IF(OR($K49="",$U49=""),"",$K49-$U49)</f>
        <v>4.5</v>
      </c>
      <c r="W49" s="17" t="n">
        <f aca="true">IFERROR(IF(ISBLANK(INDIRECT("'"&amp;$Q$2&amp;"'!O"&amp;ROW())),"",INDIRECT("'"&amp;$Q$2&amp;"'!O"&amp;ROW())),"")</f>
        <v>0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388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2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77.6</v>
      </c>
      <c r="M50" s="32" t="n">
        <f aca="false">IFERROR(H50/D50*1000,"")</f>
        <v>5.15463917525773</v>
      </c>
      <c r="N50" s="32" t="n">
        <v>43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1392</v>
      </c>
      <c r="D51" s="36" t="n">
        <f aca="false">SUM(D31:D50)</f>
        <v>244021</v>
      </c>
      <c r="E51" s="36" t="n">
        <f aca="false">SUM(E31:E50)</f>
        <v>177893</v>
      </c>
      <c r="F51" s="37" t="n">
        <f aca="false">SUM(F31:F50)</f>
        <v>12837</v>
      </c>
      <c r="G51" s="38" t="n">
        <f aca="false">IF(C51=0,"",IFERROR(F51/E51,""))</f>
        <v>0.0721613554215174</v>
      </c>
      <c r="H51" s="36" t="n">
        <f aca="false">SUM(H31:H50)</f>
        <v>2293</v>
      </c>
      <c r="I51" s="36" t="n">
        <f aca="false">SUM(I31:I50)</f>
        <v>1166</v>
      </c>
      <c r="J51" s="37" t="n">
        <f aca="false">SUM(J31:J50)</f>
        <v>204</v>
      </c>
      <c r="K51" s="38" t="n">
        <f aca="false">IF(C51=0,"",IFERROR(J51/I51,""))</f>
        <v>0.174957118353345</v>
      </c>
      <c r="L51" s="36" t="n">
        <f aca="false">IFERROR(D51/C51,"")</f>
        <v>175.302442528736</v>
      </c>
      <c r="M51" s="36" t="n">
        <f aca="false">IFERROR(H51/D51*1000,"")</f>
        <v>9.39673224845403</v>
      </c>
      <c r="N51" s="36" t="n">
        <f aca="false">SUM(N31:N50)</f>
        <v>107072</v>
      </c>
      <c r="O51" s="37" t="n">
        <f aca="false">SUM(O31:O50)</f>
        <v>31</v>
      </c>
      <c r="P51" s="3"/>
      <c r="Q51" s="3"/>
      <c r="R51" s="3"/>
      <c r="S51" s="23" t="n">
        <f aca="true">IFERROR(IF(ISBLANK(INDIRECT("'"&amp;$Q$2&amp;"'!G"&amp;ROW())),"",INDIRECT("'"&amp;$Q$2&amp;"'!G"&amp;ROW())),"")</f>
        <v>-0.154834357168988</v>
      </c>
      <c r="T51" s="24" t="n">
        <f aca="false">IF(OR($G51="",$S51=""),"",$G51-$S51)</f>
        <v>0.226995712590505</v>
      </c>
      <c r="U51" s="23" t="n">
        <f aca="true">IFERROR(IF(ISBLANK(INDIRECT("'"&amp;$Q$2&amp;"'!K"&amp;ROW())),"",INDIRECT("'"&amp;$Q$2&amp;"'!K"&amp;ROW())),"")</f>
        <v>-0.17945109078114</v>
      </c>
      <c r="V51" s="24" t="n">
        <f aca="false">IF(OR($K51="",$U51=""),"",$K51-$U51)</f>
        <v>0.354408209134485</v>
      </c>
      <c r="W51" s="25" t="n">
        <f aca="true">IFERROR(IF(ISBLANK(INDIRECT("'"&amp;$Q$2&amp;"'!O"&amp;ROW())),"",INDIRECT("'"&amp;$Q$2&amp;"'!O"&amp;ROW())),"")</f>
        <v>14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140</v>
      </c>
      <c r="D52" s="32" t="n">
        <v>57464</v>
      </c>
      <c r="E52" s="32" t="n">
        <f aca="true">IF($D52="","",IFERROR(IF(ISBLANK(INDIRECT("'"&amp;$Q$2&amp;"'!D"&amp;ROW())),"",INDIRECT("'"&amp;$Q$2&amp;"'!D"&amp;ROW())),""))</f>
        <v>86846</v>
      </c>
      <c r="F52" s="33" t="n">
        <f aca="false">IF(OR(D52="",E52=""),"",D52-E52)</f>
        <v>-29382</v>
      </c>
      <c r="G52" s="34" t="n">
        <f aca="false">IFERROR(F52/E52,"")</f>
        <v>-0.338323008543859</v>
      </c>
      <c r="H52" s="32" t="n">
        <v>262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0</v>
      </c>
      <c r="K52" s="34" t="n">
        <f aca="false">IFERROR(J52/I52,"")</f>
        <v>0</v>
      </c>
      <c r="L52" s="32" t="n">
        <f aca="false">IFERROR(D52/C52,"")</f>
        <v>410.457142857143</v>
      </c>
      <c r="M52" s="32" t="n">
        <f aca="false">IFERROR(H52/D52*1000,"")</f>
        <v>4.55937630516497</v>
      </c>
      <c r="N52" s="32" t="n">
        <v>11741</v>
      </c>
      <c r="O52" s="33" t="n">
        <f aca="true">IFERROR(IF(OR(N52="",ISBLANK(INDIRECT("'"&amp;$Q$2&amp;"'!N"&amp;ROW()))),"",N52-INDIRECT("'"&amp;$Q$2&amp;"'!N"&amp;ROW())),"")</f>
        <v>-23</v>
      </c>
      <c r="P52" s="3"/>
      <c r="Q52" s="3"/>
      <c r="R52" s="3"/>
      <c r="S52" s="15" t="n">
        <f aca="true">IFERROR(IF(ISBLANK(INDIRECT("'"&amp;$Q$2&amp;"'!G"&amp;ROW())),"",INDIRECT("'"&amp;$Q$2&amp;"'!G"&amp;ROW())),"")</f>
        <v>1.08674131385458</v>
      </c>
      <c r="T52" s="16" t="n">
        <f aca="false">IF(OR($G52="",$S52=""),"",$G52-$S52)</f>
        <v>-1.42506432239844</v>
      </c>
      <c r="U52" s="15" t="n">
        <f aca="true">IFERROR(IF(ISBLANK(INDIRECT("'"&amp;$Q$2&amp;"'!K"&amp;ROW())),"",INDIRECT("'"&amp;$Q$2&amp;"'!K"&amp;ROW())),"")</f>
        <v>0.0194552529182879</v>
      </c>
      <c r="V52" s="16" t="n">
        <f aca="false">IF(OR($K52="",$U52=""),"",$K52-$U52)</f>
        <v>-0.0194552529182879</v>
      </c>
      <c r="W52" s="17" t="n">
        <f aca="true">IFERROR(IF(ISBLANK(INDIRECT("'"&amp;$Q$2&amp;"'!O"&amp;ROW())),"",INDIRECT("'"&amp;$Q$2&amp;"'!O"&amp;ROW())),"")</f>
        <v>-25</v>
      </c>
      <c r="X52" s="17" t="n">
        <f aca="false">IF(OR($O52="",$W52=""),"",$O52-$W52)</f>
        <v>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43678</v>
      </c>
      <c r="E53" s="32" t="n">
        <f aca="true">IF($D53="","",IFERROR(IF(ISBLANK(INDIRECT("'"&amp;$Q$2&amp;"'!D"&amp;ROW())),"",INDIRECT("'"&amp;$Q$2&amp;"'!D"&amp;ROW())),""))</f>
        <v>15751</v>
      </c>
      <c r="F53" s="33" t="n">
        <f aca="false">IF(OR(D53="",E53=""),"",D53-E53)</f>
        <v>27927</v>
      </c>
      <c r="G53" s="34" t="n">
        <f aca="false">IFERROR(F53/E53,"")</f>
        <v>1.77303028379151</v>
      </c>
      <c r="H53" s="32" t="n">
        <v>41</v>
      </c>
      <c r="I53" s="32" t="n">
        <f aca="true">IF($H53="","",IFERROR(IF(ISBLANK(INDIRECT("'"&amp;$Q$2&amp;"'!H"&amp;ROW())),"",INDIRECT("'"&amp;$Q$2&amp;"'!H"&amp;ROW())),""))</f>
        <v>58</v>
      </c>
      <c r="J53" s="33" t="n">
        <f aca="false">IF(OR(H53="",I53=""),"",H53-I53)</f>
        <v>-17</v>
      </c>
      <c r="K53" s="34" t="n">
        <f aca="false">IFERROR(J53/I53,"")</f>
        <v>-0.293103448275862</v>
      </c>
      <c r="L53" s="32" t="n">
        <f aca="false">IFERROR(D53/C53,"")</f>
        <v>323.540740740741</v>
      </c>
      <c r="M53" s="32" t="n">
        <f aca="false">IFERROR(H53/D53*1000,"")</f>
        <v>0.938687668849306</v>
      </c>
      <c r="N53" s="32" t="n">
        <v>4790</v>
      </c>
      <c r="O53" s="33" t="n">
        <f aca="true">IFERROR(IF(OR(N53="",ISBLANK(INDIRECT("'"&amp;$Q$2&amp;"'!N"&amp;ROW()))),"",N53-INDIRECT("'"&amp;$Q$2&amp;"'!N"&amp;ROW())),"")</f>
        <v>-21</v>
      </c>
      <c r="P53" s="3"/>
      <c r="Q53" s="3"/>
      <c r="R53" s="3"/>
      <c r="S53" s="15" t="n">
        <f aca="true">IFERROR(IF(ISBLANK(INDIRECT("'"&amp;$Q$2&amp;"'!G"&amp;ROW())),"",INDIRECT("'"&amp;$Q$2&amp;"'!G"&amp;ROW())),"")</f>
        <v>-0.548811228874248</v>
      </c>
      <c r="T53" s="16" t="n">
        <f aca="false">IF(OR($G53="",$S53=""),"",$G53-$S53)</f>
        <v>2.32184151266575</v>
      </c>
      <c r="U53" s="15" t="n">
        <f aca="true">IFERROR(IF(ISBLANK(INDIRECT("'"&amp;$Q$2&amp;"'!K"&amp;ROW())),"",INDIRECT("'"&amp;$Q$2&amp;"'!K"&amp;ROW())),"")</f>
        <v>0.414634146341463</v>
      </c>
      <c r="V53" s="16" t="n">
        <f aca="false">IF(OR($K53="",$U53=""),"",$K53-$U53)</f>
        <v>-0.707737594617325</v>
      </c>
      <c r="W53" s="17" t="n">
        <f aca="true">IFERROR(IF(ISBLANK(INDIRECT("'"&amp;$Q$2&amp;"'!O"&amp;ROW())),"",INDIRECT("'"&amp;$Q$2&amp;"'!O"&amp;ROW())),"")</f>
        <v>-6</v>
      </c>
      <c r="X53" s="17" t="n">
        <f aca="false">IF(OR($O53="",$W53=""),"",$O53-$W53)</f>
        <v>-15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1927</v>
      </c>
      <c r="E54" s="32" t="n">
        <f aca="true">IF($D54="","",IFERROR(IF(ISBLANK(INDIRECT("'"&amp;$Q$2&amp;"'!D"&amp;ROW())),"",INDIRECT("'"&amp;$Q$2&amp;"'!D"&amp;ROW())),""))</f>
        <v>2041</v>
      </c>
      <c r="F54" s="33" t="n">
        <f aca="false">IF(OR(D54="",E54=""),"",D54-E54)</f>
        <v>-114</v>
      </c>
      <c r="G54" s="34" t="n">
        <f aca="false">IFERROR(F54/E54,"")</f>
        <v>-0.0558549730524253</v>
      </c>
      <c r="H54" s="32" t="n">
        <v>2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0</v>
      </c>
      <c r="K54" s="34" t="n">
        <f aca="false">IFERROR(J54/I54,"")</f>
        <v>0</v>
      </c>
      <c r="L54" s="32" t="n">
        <f aca="false">IFERROR(D54/C54,"")</f>
        <v>22.6705882352941</v>
      </c>
      <c r="M54" s="32" t="n">
        <f aca="false">IFERROR(H54/D54*1000,"")</f>
        <v>1.03788271925272</v>
      </c>
      <c r="N54" s="32" t="n">
        <v>868</v>
      </c>
      <c r="O54" s="33" t="n">
        <f aca="true">IFERROR(IF(OR(N54="",ISBLANK(INDIRECT("'"&amp;$Q$2&amp;"'!N"&amp;ROW()))),"",N54-INDIRECT("'"&amp;$Q$2&amp;"'!N"&amp;ROW())),"")</f>
        <v>-2</v>
      </c>
      <c r="P54" s="3"/>
      <c r="Q54" s="3"/>
      <c r="R54" s="3"/>
      <c r="S54" s="15" t="n">
        <f aca="true">IFERROR(IF(ISBLANK(INDIRECT("'"&amp;$Q$2&amp;"'!G"&amp;ROW())),"",INDIRECT("'"&amp;$Q$2&amp;"'!G"&amp;ROW())),"")</f>
        <v>-0.21920428462127</v>
      </c>
      <c r="T54" s="16" t="n">
        <f aca="false">IF(OR($G54="",$S54=""),"",$G54-$S54)</f>
        <v>0.163349311568845</v>
      </c>
      <c r="U54" s="15" t="n">
        <f aca="true">IFERROR(IF(ISBLANK(INDIRECT("'"&amp;$Q$2&amp;"'!K"&amp;ROW())),"",INDIRECT("'"&amp;$Q$2&amp;"'!K"&amp;ROW())),"")</f>
        <v>1</v>
      </c>
      <c r="V54" s="16" t="n">
        <f aca="false">IF(OR($K54="",$U54=""),"",$K54-$U54)</f>
        <v>-1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6726</v>
      </c>
      <c r="E55" s="32" t="n">
        <f aca="true">IF($D55="","",IFERROR(IF(ISBLANK(INDIRECT("'"&amp;$Q$2&amp;"'!D"&amp;ROW())),"",INDIRECT("'"&amp;$Q$2&amp;"'!D"&amp;ROW())),""))</f>
        <v>6440</v>
      </c>
      <c r="F55" s="33" t="n">
        <f aca="false">IF(OR(D55="",E55=""),"",D55-E55)</f>
        <v>286</v>
      </c>
      <c r="G55" s="34" t="n">
        <f aca="false">IFERROR(F55/E55,"")</f>
        <v>0.0444099378881988</v>
      </c>
      <c r="H55" s="32" t="n">
        <v>28</v>
      </c>
      <c r="I55" s="32" t="n">
        <f aca="true">IF($H55="","",IFERROR(IF(ISBLANK(INDIRECT("'"&amp;$Q$2&amp;"'!H"&amp;ROW())),"",INDIRECT("'"&amp;$Q$2&amp;"'!H"&amp;ROW())),""))</f>
        <v>59</v>
      </c>
      <c r="J55" s="33" t="n">
        <f aca="false">IF(OR(H55="",I55=""),"",H55-I55)</f>
        <v>-31</v>
      </c>
      <c r="K55" s="34" t="n">
        <f aca="false">IFERROR(J55/I55,"")</f>
        <v>-0.525423728813559</v>
      </c>
      <c r="L55" s="32" t="n">
        <f aca="false">IFERROR(D55/C55,"")</f>
        <v>747.333333333333</v>
      </c>
      <c r="M55" s="32" t="n">
        <f aca="false">IFERROR(H55/D55*1000,"")</f>
        <v>4.16294974724948</v>
      </c>
      <c r="N55" s="32" t="n">
        <v>13804</v>
      </c>
      <c r="O55" s="33" t="n">
        <f aca="true">IFERROR(IF(OR(N55="",ISBLANK(INDIRECT("'"&amp;$Q$2&amp;"'!N"&amp;ROW()))),"",N55-INDIRECT("'"&amp;$Q$2&amp;"'!N"&amp;ROW())),"")</f>
        <v>5</v>
      </c>
      <c r="P55" s="3"/>
      <c r="Q55" s="3"/>
      <c r="R55" s="3"/>
      <c r="S55" s="15" t="n">
        <f aca="true">IFERROR(IF(ISBLANK(INDIRECT("'"&amp;$Q$2&amp;"'!G"&amp;ROW())),"",INDIRECT("'"&amp;$Q$2&amp;"'!G"&amp;ROW())),"")</f>
        <v>-0.813040701387679</v>
      </c>
      <c r="T55" s="16" t="n">
        <f aca="false">IF(OR($G55="",$S55=""),"",$G55-$S55)</f>
        <v>0.857450639275878</v>
      </c>
      <c r="U55" s="15" t="n">
        <f aca="true">IFERROR(IF(ISBLANK(INDIRECT("'"&amp;$Q$2&amp;"'!K"&amp;ROW())),"",INDIRECT("'"&amp;$Q$2&amp;"'!K"&amp;ROW())),"")</f>
        <v>1.10714285714286</v>
      </c>
      <c r="V55" s="16" t="n">
        <f aca="false">IF(OR($K55="",$U55=""),"",$K55-$U55)</f>
        <v>-1.63256658595642</v>
      </c>
      <c r="W55" s="17" t="n">
        <f aca="true">IFERROR(IF(ISBLANK(INDIRECT("'"&amp;$Q$2&amp;"'!O"&amp;ROW())),"",INDIRECT("'"&amp;$Q$2&amp;"'!O"&amp;ROW())),"")</f>
        <v>-20</v>
      </c>
      <c r="X55" s="17" t="n">
        <f aca="false">IF(OR($O55="",$W55=""),"",$O55-$W55)</f>
        <v>25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10</v>
      </c>
      <c r="D56" s="32" t="n">
        <v>2676</v>
      </c>
      <c r="E56" s="32" t="n">
        <f aca="true">IF($D56="","",IFERROR(IF(ISBLANK(INDIRECT("'"&amp;$Q$2&amp;"'!D"&amp;ROW())),"",INDIRECT("'"&amp;$Q$2&amp;"'!D"&amp;ROW())),""))</f>
        <v>2278</v>
      </c>
      <c r="F56" s="33" t="n">
        <f aca="false">IF(OR(D56="",E56=""),"",D56-E56)</f>
        <v>398</v>
      </c>
      <c r="G56" s="34" t="n">
        <f aca="false">IFERROR(F56/E56,"")</f>
        <v>0.174714661984197</v>
      </c>
      <c r="H56" s="32" t="n">
        <v>24</v>
      </c>
      <c r="I56" s="32" t="n">
        <f aca="true">IF($H56="","",IFERROR(IF(ISBLANK(INDIRECT("'"&amp;$Q$2&amp;"'!H"&amp;ROW())),"",INDIRECT("'"&amp;$Q$2&amp;"'!H"&amp;ROW())),""))</f>
        <v>12</v>
      </c>
      <c r="J56" s="33" t="n">
        <f aca="false">IF(OR(H56="",I56=""),"",H56-I56)</f>
        <v>12</v>
      </c>
      <c r="K56" s="34" t="n">
        <f aca="false">IFERROR(J56/I56,"")</f>
        <v>1</v>
      </c>
      <c r="L56" s="32" t="n">
        <f aca="false">IFERROR(D56/C56,"")</f>
        <v>267.6</v>
      </c>
      <c r="M56" s="32" t="n">
        <f aca="false">IFERROR(H56/D56*1000,"")</f>
        <v>8.96860986547085</v>
      </c>
      <c r="N56" s="32" t="n">
        <v>8653</v>
      </c>
      <c r="O56" s="33" t="n">
        <f aca="true">IFERROR(IF(OR(N56="",ISBLANK(INDIRECT("'"&amp;$Q$2&amp;"'!N"&amp;ROW()))),"",N56-INDIRECT("'"&amp;$Q$2&amp;"'!N"&amp;ROW())),"")</f>
        <v>-5</v>
      </c>
      <c r="P56" s="3"/>
      <c r="Q56" s="3"/>
      <c r="R56" s="3"/>
      <c r="S56" s="15" t="n">
        <f aca="true">IFERROR(IF(ISBLANK(INDIRECT("'"&amp;$Q$2&amp;"'!G"&amp;ROW())),"",INDIRECT("'"&amp;$Q$2&amp;"'!G"&amp;ROW())),"")</f>
        <v>0.352731591448931</v>
      </c>
      <c r="T56" s="16" t="n">
        <f aca="false">IF(OR($G56="",$S56=""),"",$G56-$S56)</f>
        <v>-0.178016929464734</v>
      </c>
      <c r="U56" s="15" t="n">
        <f aca="true">IFERROR(IF(ISBLANK(INDIRECT("'"&amp;$Q$2&amp;"'!K"&amp;ROW())),"",INDIRECT("'"&amp;$Q$2&amp;"'!K"&amp;ROW())),"")</f>
        <v>0.2</v>
      </c>
      <c r="V56" s="16" t="n">
        <f aca="false">IF(OR($K56="",$U56=""),"",$K56-$U56)</f>
        <v>0.8</v>
      </c>
      <c r="W56" s="17" t="n">
        <f aca="true">IFERROR(IF(ISBLANK(INDIRECT("'"&amp;$Q$2&amp;"'!O"&amp;ROW())),"",INDIRECT("'"&amp;$Q$2&amp;"'!O"&amp;ROW())),"")</f>
        <v>-2</v>
      </c>
      <c r="X56" s="17" t="n">
        <f aca="false">IF(OR($O56="",$W56=""),"",$O56-$W56)</f>
        <v>-3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103</v>
      </c>
      <c r="D57" s="32" t="n">
        <v>53833</v>
      </c>
      <c r="E57" s="32" t="n">
        <f aca="true">IF($D57="","",IFERROR(IF(ISBLANK(INDIRECT("'"&amp;$Q$2&amp;"'!D"&amp;ROW())),"",INDIRECT("'"&amp;$Q$2&amp;"'!D"&amp;ROW())),""))</f>
        <v>63521</v>
      </c>
      <c r="F57" s="33" t="n">
        <f aca="false">IF(OR(D57="",E57=""),"",D57-E57)</f>
        <v>-9688</v>
      </c>
      <c r="G57" s="34" t="n">
        <f aca="false">IFERROR(F57/E57,"")</f>
        <v>-0.152516490609405</v>
      </c>
      <c r="H57" s="32" t="n">
        <v>201</v>
      </c>
      <c r="I57" s="32" t="n">
        <f aca="true">IF($H57="","",IFERROR(IF(ISBLANK(INDIRECT("'"&amp;$Q$2&amp;"'!H"&amp;ROW())),"",INDIRECT("'"&amp;$Q$2&amp;"'!H"&amp;ROW())),""))</f>
        <v>249</v>
      </c>
      <c r="J57" s="33" t="n">
        <f aca="false">IF(OR(H57="",I57=""),"",H57-I57)</f>
        <v>-48</v>
      </c>
      <c r="K57" s="34" t="n">
        <f aca="false">IFERROR(J57/I57,"")</f>
        <v>-0.192771084337349</v>
      </c>
      <c r="L57" s="32" t="n">
        <f aca="false">IFERROR(D57/C57,"")</f>
        <v>522.650485436893</v>
      </c>
      <c r="M57" s="32" t="n">
        <f aca="false">IFERROR(H57/D57*1000,"")</f>
        <v>3.7337692493452</v>
      </c>
      <c r="N57" s="32" t="n">
        <v>10864</v>
      </c>
      <c r="O57" s="33" t="n">
        <f aca="true">IFERROR(IF(OR(N57="",ISBLANK(INDIRECT("'"&amp;$Q$2&amp;"'!N"&amp;ROW()))),"",N57-INDIRECT("'"&amp;$Q$2&amp;"'!N"&amp;ROW())),"")</f>
        <v>-17</v>
      </c>
      <c r="P57" s="3"/>
      <c r="Q57" s="3"/>
      <c r="R57" s="3"/>
      <c r="S57" s="15" t="n">
        <f aca="true">IFERROR(IF(ISBLANK(INDIRECT("'"&amp;$Q$2&amp;"'!G"&amp;ROW())),"",INDIRECT("'"&amp;$Q$2&amp;"'!G"&amp;ROW())),"")</f>
        <v>-0.210487719996023</v>
      </c>
      <c r="T57" s="16" t="n">
        <f aca="false">IF(OR($G57="",$S57=""),"",$G57-$S57)</f>
        <v>0.0579712293866179</v>
      </c>
      <c r="U57" s="15" t="n">
        <f aca="true">IFERROR(IF(ISBLANK(INDIRECT("'"&amp;$Q$2&amp;"'!K"&amp;ROW())),"",INDIRECT("'"&amp;$Q$2&amp;"'!K"&amp;ROW())),"")</f>
        <v>-0.282420749279539</v>
      </c>
      <c r="V57" s="16" t="n">
        <f aca="false">IF(OR($K57="",$U57=""),"",$K57-$U57)</f>
        <v>0.0896496649421895</v>
      </c>
      <c r="W57" s="17" t="n">
        <f aca="true">IFERROR(IF(ISBLANK(INDIRECT("'"&amp;$Q$2&amp;"'!O"&amp;ROW())),"",INDIRECT("'"&amp;$Q$2&amp;"'!O"&amp;ROW())),"")</f>
        <v>-31</v>
      </c>
      <c r="X57" s="17" t="n">
        <f aca="false">IF(OR($O57="",$W57=""),"",$O57-$W57)</f>
        <v>14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82</v>
      </c>
      <c r="D58" s="32" t="n">
        <v>18052</v>
      </c>
      <c r="E58" s="32" t="n">
        <f aca="true">IF($D58="","",IFERROR(IF(ISBLANK(INDIRECT("'"&amp;$Q$2&amp;"'!D"&amp;ROW())),"",INDIRECT("'"&amp;$Q$2&amp;"'!D"&amp;ROW())),""))</f>
        <v>21693</v>
      </c>
      <c r="F58" s="33" t="n">
        <f aca="false">IF(OR(D58="",E58=""),"",D58-E58)</f>
        <v>-3641</v>
      </c>
      <c r="G58" s="34" t="n">
        <f aca="false">IFERROR(F58/E58,"")</f>
        <v>-0.167842161065782</v>
      </c>
      <c r="H58" s="32" t="n">
        <v>315</v>
      </c>
      <c r="I58" s="32" t="n">
        <f aca="true">IF($H58="","",IFERROR(IF(ISBLANK(INDIRECT("'"&amp;$Q$2&amp;"'!H"&amp;ROW())),"",INDIRECT("'"&amp;$Q$2&amp;"'!H"&amp;ROW())),""))</f>
        <v>359</v>
      </c>
      <c r="J58" s="33" t="n">
        <f aca="false">IF(OR(H58="",I58=""),"",H58-I58)</f>
        <v>-44</v>
      </c>
      <c r="K58" s="34" t="n">
        <f aca="false">IFERROR(J58/I58,"")</f>
        <v>-0.122562674094708</v>
      </c>
      <c r="L58" s="32" t="n">
        <f aca="false">IFERROR(D58/C58,"")</f>
        <v>220.146341463415</v>
      </c>
      <c r="M58" s="32" t="n">
        <f aca="false">IFERROR(H58/D58*1000,"")</f>
        <v>17.4495900731221</v>
      </c>
      <c r="N58" s="32" t="n">
        <v>4095</v>
      </c>
      <c r="O58" s="33" t="n">
        <f aca="true">IFERROR(IF(OR(N58="",ISBLANK(INDIRECT("'"&amp;$Q$2&amp;"'!N"&amp;ROW()))),"",N58-INDIRECT("'"&amp;$Q$2&amp;"'!N"&amp;ROW())),"")</f>
        <v>-6</v>
      </c>
      <c r="P58" s="3"/>
      <c r="Q58" s="3"/>
      <c r="R58" s="3"/>
      <c r="S58" s="15" t="n">
        <f aca="true">IFERROR(IF(ISBLANK(INDIRECT("'"&amp;$Q$2&amp;"'!G"&amp;ROW())),"",INDIRECT("'"&amp;$Q$2&amp;"'!G"&amp;ROW())),"")</f>
        <v>-0.114101359905256</v>
      </c>
      <c r="T58" s="16" t="n">
        <f aca="false">IF(OR($G58="",$S58=""),"",$G58-$S58)</f>
        <v>-0.0537408011605257</v>
      </c>
      <c r="U58" s="15" t="n">
        <f aca="true">IFERROR(IF(ISBLANK(INDIRECT("'"&amp;$Q$2&amp;"'!K"&amp;ROW())),"",INDIRECT("'"&amp;$Q$2&amp;"'!K"&amp;ROW())),"")</f>
        <v>0.282142857142857</v>
      </c>
      <c r="V58" s="16" t="n">
        <f aca="false">IF(OR($K58="",$U58=""),"",$K58-$U58)</f>
        <v>-0.404705531237565</v>
      </c>
      <c r="W58" s="17" t="n">
        <f aca="true">IFERROR(IF(ISBLANK(INDIRECT("'"&amp;$Q$2&amp;"'!O"&amp;ROW())),"",INDIRECT("'"&amp;$Q$2&amp;"'!O"&amp;ROW())),"")</f>
        <v>-8</v>
      </c>
      <c r="X58" s="17" t="n">
        <f aca="false">IF(OR($O58="",$W58=""),"",$O58-$W58)</f>
        <v>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91</v>
      </c>
      <c r="D59" s="32" t="n">
        <v>29628</v>
      </c>
      <c r="E59" s="32" t="n">
        <f aca="true">IF($D59="","",IFERROR(IF(ISBLANK(INDIRECT("'"&amp;$Q$2&amp;"'!D"&amp;ROW())),"",INDIRECT("'"&amp;$Q$2&amp;"'!D"&amp;ROW())),""))</f>
        <v>33790</v>
      </c>
      <c r="F59" s="33" t="n">
        <f aca="false">IF(OR(D59="",E59=""),"",D59-E59)</f>
        <v>-4162</v>
      </c>
      <c r="G59" s="34" t="n">
        <f aca="false">IFERROR(F59/E59,"")</f>
        <v>-0.123172536253329</v>
      </c>
      <c r="H59" s="32" t="n">
        <v>148</v>
      </c>
      <c r="I59" s="32" t="n">
        <f aca="true">IF($H59="","",IFERROR(IF(ISBLANK(INDIRECT("'"&amp;$Q$2&amp;"'!H"&amp;ROW())),"",INDIRECT("'"&amp;$Q$2&amp;"'!H"&amp;ROW())),""))</f>
        <v>258</v>
      </c>
      <c r="J59" s="33" t="n">
        <f aca="false">IF(OR(H59="",I59=""),"",H59-I59)</f>
        <v>-110</v>
      </c>
      <c r="K59" s="34" t="n">
        <f aca="false">IFERROR(J59/I59,"")</f>
        <v>-0.426356589147287</v>
      </c>
      <c r="L59" s="32" t="n">
        <f aca="false">IFERROR(D59/C59,"")</f>
        <v>325.582417582418</v>
      </c>
      <c r="M59" s="32" t="n">
        <f aca="false">IFERROR(H59/D59*1000,"")</f>
        <v>4.99527474011071</v>
      </c>
      <c r="N59" s="32" t="n">
        <v>5504</v>
      </c>
      <c r="O59" s="33" t="n">
        <f aca="true">IFERROR(IF(OR(N59="",ISBLANK(INDIRECT("'"&amp;$Q$2&amp;"'!N"&amp;ROW()))),"",N59-INDIRECT("'"&amp;$Q$2&amp;"'!N"&amp;ROW())),"")</f>
        <v>-15</v>
      </c>
      <c r="P59" s="3"/>
      <c r="Q59" s="3"/>
      <c r="R59" s="3"/>
      <c r="S59" s="15" t="n">
        <f aca="true">IFERROR(IF(ISBLANK(INDIRECT("'"&amp;$Q$2&amp;"'!G"&amp;ROW())),"",INDIRECT("'"&amp;$Q$2&amp;"'!G"&amp;ROW())),"")</f>
        <v>-0.109265849479373</v>
      </c>
      <c r="T59" s="16" t="n">
        <f aca="false">IF(OR($G59="",$S59=""),"",$G59-$S59)</f>
        <v>-0.0139066867739568</v>
      </c>
      <c r="U59" s="15" t="n">
        <f aca="true">IFERROR(IF(ISBLANK(INDIRECT("'"&amp;$Q$2&amp;"'!K"&amp;ROW())),"",INDIRECT("'"&amp;$Q$2&amp;"'!K"&amp;ROW())),"")</f>
        <v>0.0978723404255319</v>
      </c>
      <c r="V59" s="16" t="n">
        <f aca="false">IF(OR($K59="",$U59=""),"",$K59-$U59)</f>
        <v>-0.524228929572819</v>
      </c>
      <c r="W59" s="17" t="n">
        <f aca="true">IFERROR(IF(ISBLANK(INDIRECT("'"&amp;$Q$2&amp;"'!O"&amp;ROW())),"",INDIRECT("'"&amp;$Q$2&amp;"'!O"&amp;ROW())),"")</f>
        <v>-8</v>
      </c>
      <c r="X59" s="17" t="n">
        <f aca="false">IF(OR($O59="",$W59=""),"",$O59-$W59)</f>
        <v>-7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143</v>
      </c>
      <c r="D60" s="32" t="n">
        <v>89139</v>
      </c>
      <c r="E60" s="32" t="n">
        <f aca="true">IF($D60="","",IFERROR(IF(ISBLANK(INDIRECT("'"&amp;$Q$2&amp;"'!D"&amp;ROW())),"",INDIRECT("'"&amp;$Q$2&amp;"'!D"&amp;ROW())),""))</f>
        <v>61713</v>
      </c>
      <c r="F60" s="33" t="n">
        <f aca="false">IF(OR(D60="",E60=""),"",D60-E60)</f>
        <v>27426</v>
      </c>
      <c r="G60" s="34" t="n">
        <f aca="false">IFERROR(F60/E60,"")</f>
        <v>0.444412036361869</v>
      </c>
      <c r="H60" s="32" t="n">
        <v>175</v>
      </c>
      <c r="I60" s="32" t="n">
        <f aca="true">IF($H60="","",IFERROR(IF(ISBLANK(INDIRECT("'"&amp;$Q$2&amp;"'!H"&amp;ROW())),"",INDIRECT("'"&amp;$Q$2&amp;"'!H"&amp;ROW())),""))</f>
        <v>260</v>
      </c>
      <c r="J60" s="33" t="n">
        <f aca="false">IF(OR(H60="",I60=""),"",H60-I60)</f>
        <v>-85</v>
      </c>
      <c r="K60" s="34" t="n">
        <f aca="false">IFERROR(J60/I60,"")</f>
        <v>-0.326923076923077</v>
      </c>
      <c r="L60" s="32" t="n">
        <f aca="false">IFERROR(D60/C60,"")</f>
        <v>623.34965034965</v>
      </c>
      <c r="M60" s="32" t="n">
        <f aca="false">IFERROR(H60/D60*1000,"")</f>
        <v>1.9632259729187</v>
      </c>
      <c r="N60" s="32" t="n">
        <v>10382</v>
      </c>
      <c r="O60" s="33" t="n">
        <f aca="true">IFERROR(IF(OR(N60="",ISBLANK(INDIRECT("'"&amp;$Q$2&amp;"'!N"&amp;ROW()))),"",N60-INDIRECT("'"&amp;$Q$2&amp;"'!N"&amp;ROW())),"")</f>
        <v>-21</v>
      </c>
      <c r="P60" s="3"/>
      <c r="Q60" s="3"/>
      <c r="R60" s="3"/>
      <c r="S60" s="15" t="n">
        <f aca="true">IFERROR(IF(ISBLANK(INDIRECT("'"&amp;$Q$2&amp;"'!G"&amp;ROW())),"",INDIRECT("'"&amp;$Q$2&amp;"'!G"&amp;ROW())),"")</f>
        <v>-0.0633651044196212</v>
      </c>
      <c r="T60" s="16" t="n">
        <f aca="false">IF(OR($G60="",$S60=""),"",$G60-$S60)</f>
        <v>0.50777714078149</v>
      </c>
      <c r="U60" s="15" t="n">
        <f aca="true">IFERROR(IF(ISBLANK(INDIRECT("'"&amp;$Q$2&amp;"'!K"&amp;ROW())),"",INDIRECT("'"&amp;$Q$2&amp;"'!K"&amp;ROW())),"")</f>
        <v>0.55688622754491</v>
      </c>
      <c r="V60" s="16" t="n">
        <f aca="false">IF(OR($K60="",$U60=""),"",$K60-$U60)</f>
        <v>-0.883809304467987</v>
      </c>
      <c r="W60" s="17" t="n">
        <f aca="true">IFERROR(IF(ISBLANK(INDIRECT("'"&amp;$Q$2&amp;"'!O"&amp;ROW())),"",INDIRECT("'"&amp;$Q$2&amp;"'!O"&amp;ROW())),"")</f>
        <v>-19</v>
      </c>
      <c r="X60" s="17" t="n">
        <f aca="false">IF(OR($O60="",$W60=""),"",$O60-$W60)</f>
        <v>-2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107</v>
      </c>
      <c r="D61" s="32" t="n">
        <v>12304</v>
      </c>
      <c r="E61" s="32" t="n">
        <f aca="true">IF($D61="","",IFERROR(IF(ISBLANK(INDIRECT("'"&amp;$Q$2&amp;"'!D"&amp;ROW())),"",INDIRECT("'"&amp;$Q$2&amp;"'!D"&amp;ROW())),""))</f>
        <v>13926</v>
      </c>
      <c r="F61" s="33" t="n">
        <f aca="false">IF(OR(D61="",E61=""),"",D61-E61)</f>
        <v>-1622</v>
      </c>
      <c r="G61" s="34" t="n">
        <f aca="false">IFERROR(F61/E61,"")</f>
        <v>-0.11647278471923</v>
      </c>
      <c r="H61" s="32" t="n">
        <v>180</v>
      </c>
      <c r="I61" s="32" t="n">
        <f aca="true">IF($H61="","",IFERROR(IF(ISBLANK(INDIRECT("'"&amp;$Q$2&amp;"'!H"&amp;ROW())),"",INDIRECT("'"&amp;$Q$2&amp;"'!H"&amp;ROW())),""))</f>
        <v>164</v>
      </c>
      <c r="J61" s="33" t="n">
        <f aca="false">IF(OR(H61="",I61=""),"",H61-I61)</f>
        <v>16</v>
      </c>
      <c r="K61" s="34" t="n">
        <f aca="false">IFERROR(J61/I61,"")</f>
        <v>0.0975609756097561</v>
      </c>
      <c r="L61" s="32" t="n">
        <f aca="false">IFERROR(D61/C61,"")</f>
        <v>114.990654205607</v>
      </c>
      <c r="M61" s="32" t="n">
        <f aca="false">IFERROR(H61/D61*1000,"")</f>
        <v>14.629388816645</v>
      </c>
      <c r="N61" s="32" t="n">
        <v>2309</v>
      </c>
      <c r="O61" s="33" t="n">
        <f aca="true">IFERROR(IF(OR(N61="",ISBLANK(INDIRECT("'"&amp;$Q$2&amp;"'!N"&amp;ROW()))),"",N61-INDIRECT("'"&amp;$Q$2&amp;"'!N"&amp;ROW())),"")</f>
        <v>-3</v>
      </c>
      <c r="P61" s="3"/>
      <c r="Q61" s="3"/>
      <c r="R61" s="3"/>
      <c r="S61" s="15" t="n">
        <f aca="true">IFERROR(IF(ISBLANK(INDIRECT("'"&amp;$Q$2&amp;"'!G"&amp;ROW())),"",INDIRECT("'"&amp;$Q$2&amp;"'!G"&amp;ROW())),"")</f>
        <v>-0.674572944173112</v>
      </c>
      <c r="T61" s="16" t="n">
        <f aca="false">IF(OR($G61="",$S61=""),"",$G61-$S61)</f>
        <v>0.558100159453882</v>
      </c>
      <c r="U61" s="15" t="n">
        <f aca="true">IFERROR(IF(ISBLANK(INDIRECT("'"&amp;$Q$2&amp;"'!K"&amp;ROW())),"",INDIRECT("'"&amp;$Q$2&amp;"'!K"&amp;ROW())),"")</f>
        <v>0.251908396946565</v>
      </c>
      <c r="V61" s="16" t="n">
        <f aca="false">IF(OR($K61="",$U61=""),"",$K61-$U61)</f>
        <v>-0.154347421336809</v>
      </c>
      <c r="W61" s="17" t="n">
        <f aca="true">IFERROR(IF(ISBLANK(INDIRECT("'"&amp;$Q$2&amp;"'!O"&amp;ROW())),"",INDIRECT("'"&amp;$Q$2&amp;"'!O"&amp;ROW())),"")</f>
        <v>-5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59</v>
      </c>
      <c r="D62" s="32" t="n">
        <v>4617</v>
      </c>
      <c r="E62" s="32" t="n">
        <f aca="true">IF($D62="","",IFERROR(IF(ISBLANK(INDIRECT("'"&amp;$Q$2&amp;"'!D"&amp;ROW())),"",INDIRECT("'"&amp;$Q$2&amp;"'!D"&amp;ROW())),""))</f>
        <v>5247</v>
      </c>
      <c r="F62" s="33" t="n">
        <f aca="false">IF(OR(D62="",E62=""),"",D62-E62)</f>
        <v>-630</v>
      </c>
      <c r="G62" s="34" t="n">
        <f aca="false">IFERROR(F62/E62,"")</f>
        <v>-0.120068610634648</v>
      </c>
      <c r="H62" s="32" t="n">
        <v>25</v>
      </c>
      <c r="I62" s="32" t="n">
        <f aca="true">IF($H62="","",IFERROR(IF(ISBLANK(INDIRECT("'"&amp;$Q$2&amp;"'!H"&amp;ROW())),"",INDIRECT("'"&amp;$Q$2&amp;"'!H"&amp;ROW())),""))</f>
        <v>18</v>
      </c>
      <c r="J62" s="33" t="n">
        <f aca="false">IF(OR(H62="",I62=""),"",H62-I62)</f>
        <v>7</v>
      </c>
      <c r="K62" s="34" t="n">
        <f aca="false">IFERROR(J62/I62,"")</f>
        <v>0.388888888888889</v>
      </c>
      <c r="L62" s="32" t="n">
        <f aca="false">IFERROR(D62/C62,"")</f>
        <v>78.2542372881356</v>
      </c>
      <c r="M62" s="32" t="n">
        <f aca="false">IFERROR(H62/D62*1000,"")</f>
        <v>5.41477149664284</v>
      </c>
      <c r="N62" s="32" t="n">
        <v>1369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-0.140681297084835</v>
      </c>
      <c r="T62" s="16" t="n">
        <f aca="false">IF(OR($G62="",$S62=""),"",$G62-$S62)</f>
        <v>0.0206126864501862</v>
      </c>
      <c r="U62" s="15" t="n">
        <f aca="true">IFERROR(IF(ISBLANK(INDIRECT("'"&amp;$Q$2&amp;"'!K"&amp;ROW())),"",INDIRECT("'"&amp;$Q$2&amp;"'!K"&amp;ROW())),"")</f>
        <v>-0.581395348837209</v>
      </c>
      <c r="V62" s="16" t="n">
        <f aca="false">IF(OR($K62="",$U62=""),"",$K62-$U62)</f>
        <v>0.970284237726098</v>
      </c>
      <c r="W62" s="17" t="n">
        <f aca="true">IFERROR(IF(ISBLANK(INDIRECT("'"&amp;$Q$2&amp;"'!O"&amp;ROW())),"",INDIRECT("'"&amp;$Q$2&amp;"'!O"&amp;ROW())),"")</f>
        <v>-4</v>
      </c>
      <c r="X62" s="17" t="n">
        <f aca="false">IF(OR($O62="",$W62=""),"",$O62-$W62)</f>
        <v>1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17338</v>
      </c>
      <c r="E63" s="32" t="n">
        <f aca="true">IF($D63="","",IFERROR(IF(ISBLANK(INDIRECT("'"&amp;$Q$2&amp;"'!D"&amp;ROW())),"",INDIRECT("'"&amp;$Q$2&amp;"'!D"&amp;ROW())),""))</f>
        <v>19689</v>
      </c>
      <c r="F63" s="33" t="n">
        <f aca="false">IF(OR(D63="",E63=""),"",D63-E63)</f>
        <v>-2351</v>
      </c>
      <c r="G63" s="34" t="n">
        <f aca="false">IFERROR(F63/E63,"")</f>
        <v>-0.119406775356798</v>
      </c>
      <c r="H63" s="32" t="n">
        <v>41</v>
      </c>
      <c r="I63" s="32" t="n">
        <f aca="true">IF($H63="","",IFERROR(IF(ISBLANK(INDIRECT("'"&amp;$Q$2&amp;"'!H"&amp;ROW())),"",INDIRECT("'"&amp;$Q$2&amp;"'!H"&amp;ROW())),""))</f>
        <v>58</v>
      </c>
      <c r="J63" s="33" t="n">
        <f aca="false">IF(OR(H63="",I63=""),"",H63-I63)</f>
        <v>-17</v>
      </c>
      <c r="K63" s="34" t="n">
        <f aca="false">IFERROR(J63/I63,"")</f>
        <v>-0.293103448275862</v>
      </c>
      <c r="L63" s="32" t="n">
        <f aca="false">IFERROR(D63/C63,"")</f>
        <v>327.132075471698</v>
      </c>
      <c r="M63" s="32" t="n">
        <f aca="false">IFERROR(H63/D63*1000,"")</f>
        <v>2.36474795247433</v>
      </c>
      <c r="N63" s="32" t="n">
        <v>5617</v>
      </c>
      <c r="O63" s="33" t="n">
        <f aca="true">IFERROR(IF(OR(N63="",ISBLANK(INDIRECT("'"&amp;$Q$2&amp;"'!N"&amp;ROW()))),"",N63-INDIRECT("'"&amp;$Q$2&amp;"'!N"&amp;ROW())),"")</f>
        <v>-17</v>
      </c>
      <c r="P63" s="3"/>
      <c r="Q63" s="3"/>
      <c r="R63" s="3"/>
      <c r="S63" s="15" t="n">
        <f aca="true">IFERROR(IF(ISBLANK(INDIRECT("'"&amp;$Q$2&amp;"'!G"&amp;ROW())),"",INDIRECT("'"&amp;$Q$2&amp;"'!G"&amp;ROW())),"")</f>
        <v>-0.25</v>
      </c>
      <c r="T63" s="16" t="n">
        <f aca="false">IF(OR($G63="",$S63=""),"",$G63-$S63)</f>
        <v>0.130593224643202</v>
      </c>
      <c r="U63" s="15" t="n">
        <f aca="true">IFERROR(IF(ISBLANK(INDIRECT("'"&amp;$Q$2&amp;"'!K"&amp;ROW())),"",INDIRECT("'"&amp;$Q$2&amp;"'!K"&amp;ROW())),"")</f>
        <v>-0.275</v>
      </c>
      <c r="V63" s="16" t="n">
        <f aca="false">IF(OR($K63="",$U63=""),"",$K63-$U63)</f>
        <v>-0.018103448275862</v>
      </c>
      <c r="W63" s="17" t="n">
        <f aca="true">IFERROR(IF(ISBLANK(INDIRECT("'"&amp;$Q$2&amp;"'!O"&amp;ROW())),"",INDIRECT("'"&amp;$Q$2&amp;"'!O"&amp;ROW())),"")</f>
        <v>-23</v>
      </c>
      <c r="X63" s="17" t="n">
        <f aca="false">IF(OR($O63="",$W63=""),"",$O63-$W63)</f>
        <v>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62</v>
      </c>
      <c r="D64" s="32" t="n">
        <v>6371</v>
      </c>
      <c r="E64" s="32" t="n">
        <f aca="true">IF($D64="","",IFERROR(IF(ISBLANK(INDIRECT("'"&amp;$Q$2&amp;"'!D"&amp;ROW())),"",INDIRECT("'"&amp;$Q$2&amp;"'!D"&amp;ROW())),""))</f>
        <v>6279</v>
      </c>
      <c r="F64" s="33" t="n">
        <f aca="false">IF(OR(D64="",E64=""),"",D64-E64)</f>
        <v>92</v>
      </c>
      <c r="G64" s="34" t="n">
        <f aca="false">IFERROR(F64/E64,"")</f>
        <v>0.0146520146520147</v>
      </c>
      <c r="H64" s="32" t="n">
        <v>10</v>
      </c>
      <c r="I64" s="32" t="n">
        <f aca="true">IF($H64="","",IFERROR(IF(ISBLANK(INDIRECT("'"&amp;$Q$2&amp;"'!H"&amp;ROW())),"",INDIRECT("'"&amp;$Q$2&amp;"'!H"&amp;ROW())),""))</f>
        <v>8</v>
      </c>
      <c r="J64" s="33" t="n">
        <f aca="false">IF(OR(H64="",I64=""),"",H64-I64)</f>
        <v>2</v>
      </c>
      <c r="K64" s="34" t="n">
        <f aca="false">IFERROR(J64/I64,"")</f>
        <v>0.25</v>
      </c>
      <c r="L64" s="32" t="n">
        <f aca="false">IFERROR(D64/C64,"")</f>
        <v>102.758064516129</v>
      </c>
      <c r="M64" s="32" t="n">
        <f aca="false">IFERROR(H64/D64*1000,"")</f>
        <v>1.56961230576048</v>
      </c>
      <c r="N64" s="32" t="n">
        <v>1817</v>
      </c>
      <c r="O64" s="33" t="n">
        <f aca="true">IFERROR(IF(OR(N64="",ISBLANK(INDIRECT("'"&amp;$Q$2&amp;"'!N"&amp;ROW()))),"",N64-INDIRECT("'"&amp;$Q$2&amp;"'!N"&amp;ROW())),"")</f>
        <v>-1</v>
      </c>
      <c r="P64" s="3"/>
      <c r="Q64" s="3"/>
      <c r="R64" s="3"/>
      <c r="S64" s="15" t="n">
        <f aca="true">IFERROR(IF(ISBLANK(INDIRECT("'"&amp;$Q$2&amp;"'!G"&amp;ROW())),"",INDIRECT("'"&amp;$Q$2&amp;"'!G"&amp;ROW())),"")</f>
        <v>0.123657838224767</v>
      </c>
      <c r="T64" s="16" t="n">
        <f aca="false">IF(OR($G64="",$S64=""),"",$G64-$S64)</f>
        <v>-0.109005823572753</v>
      </c>
      <c r="U64" s="15" t="n">
        <f aca="true">IFERROR(IF(ISBLANK(INDIRECT("'"&amp;$Q$2&amp;"'!K"&amp;ROW())),"",INDIRECT("'"&amp;$Q$2&amp;"'!K"&amp;ROW())),"")</f>
        <v>1.66666666666667</v>
      </c>
      <c r="V64" s="16" t="n">
        <f aca="false">IF(OR($K64="",$U64=""),"",$K64-$U64)</f>
        <v>-1.41666666666667</v>
      </c>
      <c r="W64" s="17" t="n">
        <f aca="true">IFERROR(IF(ISBLANK(INDIRECT("'"&amp;$Q$2&amp;"'!O"&amp;ROW())),"",INDIRECT("'"&amp;$Q$2&amp;"'!O"&amp;ROW())),"")</f>
        <v>-5</v>
      </c>
      <c r="X64" s="17" t="n">
        <f aca="false">IF(OR($O64="",$W64=""),"",$O64-$W64)</f>
        <v>4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31</v>
      </c>
      <c r="D65" s="32" t="n">
        <v>2768</v>
      </c>
      <c r="E65" s="32" t="n">
        <f aca="true">IF($D65="","",IFERROR(IF(ISBLANK(INDIRECT("'"&amp;$Q$2&amp;"'!D"&amp;ROW())),"",INDIRECT("'"&amp;$Q$2&amp;"'!D"&amp;ROW())),""))</f>
        <v>2837</v>
      </c>
      <c r="F65" s="33" t="n">
        <f aca="false">IF(OR(D65="",E65=""),"",D65-E65)</f>
        <v>-69</v>
      </c>
      <c r="G65" s="34" t="n">
        <f aca="false">IFERROR(F65/E65,"")</f>
        <v>-0.0243214663376806</v>
      </c>
      <c r="H65" s="32" t="n">
        <v>7</v>
      </c>
      <c r="I65" s="32" t="n">
        <f aca="true">IF($H65="","",IFERROR(IF(ISBLANK(INDIRECT("'"&amp;$Q$2&amp;"'!H"&amp;ROW())),"",INDIRECT("'"&amp;$Q$2&amp;"'!H"&amp;ROW())),""))</f>
        <v>4</v>
      </c>
      <c r="J65" s="33" t="n">
        <f aca="false">IF(OR(H65="",I65=""),"",H65-I65)</f>
        <v>3</v>
      </c>
      <c r="K65" s="34" t="n">
        <f aca="false">IFERROR(J65/I65,"")</f>
        <v>0.75</v>
      </c>
      <c r="L65" s="32" t="n">
        <f aca="false">IFERROR(D65/C65,"")</f>
        <v>89.2903225806452</v>
      </c>
      <c r="M65" s="32" t="n">
        <f aca="false">IFERROR(H65/D65*1000,"")</f>
        <v>2.52890173410405</v>
      </c>
      <c r="N65" s="32" t="n">
        <v>867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-0.256746135708672</v>
      </c>
      <c r="T65" s="16" t="n">
        <f aca="false">IF(OR($G65="",$S65=""),"",$G65-$S65)</f>
        <v>0.232424669370991</v>
      </c>
      <c r="U65" s="15" t="n">
        <f aca="true">IFERROR(IF(ISBLANK(INDIRECT("'"&amp;$Q$2&amp;"'!K"&amp;ROW())),"",INDIRECT("'"&amp;$Q$2&amp;"'!K"&amp;ROW())),"")</f>
        <v>0.333333333333333</v>
      </c>
      <c r="V65" s="16" t="n">
        <f aca="false">IF(OR($K65="",$U65=""),"",$K65-$U65)</f>
        <v>0.416666666666667</v>
      </c>
      <c r="W65" s="17" t="n">
        <f aca="true">IFERROR(IF(ISBLANK(INDIRECT("'"&amp;$Q$2&amp;"'!O"&amp;ROW())),"",INDIRECT("'"&amp;$Q$2&amp;"'!O"&amp;ROW())),"")</f>
        <v>-4</v>
      </c>
      <c r="X65" s="17" t="n">
        <f aca="false">IF(OR($O65="",$W65=""),"",$O65-$W65)</f>
        <v>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45</v>
      </c>
      <c r="D66" s="32" t="n">
        <v>3567</v>
      </c>
      <c r="E66" s="32" t="n">
        <f aca="true">IF($D66="","",IFERROR(IF(ISBLANK(INDIRECT("'"&amp;$Q$2&amp;"'!D"&amp;ROW())),"",INDIRECT("'"&amp;$Q$2&amp;"'!D"&amp;ROW())),""))</f>
        <v>3969</v>
      </c>
      <c r="F66" s="33" t="n">
        <f aca="false">IF(OR(D66="",E66=""),"",D66-E66)</f>
        <v>-402</v>
      </c>
      <c r="G66" s="34" t="n">
        <f aca="false">IFERROR(F66/E66,"")</f>
        <v>-0.101284958427816</v>
      </c>
      <c r="H66" s="32" t="n">
        <v>4</v>
      </c>
      <c r="I66" s="32" t="n">
        <f aca="true">IF($H66="","",IFERROR(IF(ISBLANK(INDIRECT("'"&amp;$Q$2&amp;"'!H"&amp;ROW())),"",INDIRECT("'"&amp;$Q$2&amp;"'!H"&amp;ROW())),""))</f>
        <v>11</v>
      </c>
      <c r="J66" s="33" t="n">
        <f aca="false">IF(OR(H66="",I66=""),"",H66-I66)</f>
        <v>-7</v>
      </c>
      <c r="K66" s="34" t="n">
        <f aca="false">IFERROR(J66/I66,"")</f>
        <v>-0.636363636363636</v>
      </c>
      <c r="L66" s="32" t="n">
        <f aca="false">IFERROR(D66/C66,"")</f>
        <v>79.2666666666667</v>
      </c>
      <c r="M66" s="32" t="n">
        <f aca="false">IFERROR(H66/D66*1000,"")</f>
        <v>1.12139052425007</v>
      </c>
      <c r="N66" s="32" t="n">
        <v>846</v>
      </c>
      <c r="O66" s="33" t="n">
        <f aca="true">IFERROR(IF(OR(N66="",ISBLANK(INDIRECT("'"&amp;$Q$2&amp;"'!N"&amp;ROW()))),"",N66-INDIRECT("'"&amp;$Q$2&amp;"'!N"&amp;ROW())),"")</f>
        <v>-1</v>
      </c>
      <c r="P66" s="3"/>
      <c r="Q66" s="3"/>
      <c r="R66" s="3"/>
      <c r="S66" s="15" t="n">
        <f aca="true">IFERROR(IF(ISBLANK(INDIRECT("'"&amp;$Q$2&amp;"'!G"&amp;ROW())),"",INDIRECT("'"&amp;$Q$2&amp;"'!G"&amp;ROW())),"")</f>
        <v>-0.037117903930131</v>
      </c>
      <c r="T66" s="16" t="n">
        <f aca="false">IF(OR($G66="",$S66=""),"",$G66-$S66)</f>
        <v>-0.0641670544976846</v>
      </c>
      <c r="U66" s="15" t="n">
        <f aca="true">IFERROR(IF(ISBLANK(INDIRECT("'"&amp;$Q$2&amp;"'!K"&amp;ROW())),"",INDIRECT("'"&amp;$Q$2&amp;"'!K"&amp;ROW())),"")</f>
        <v>-0.153846153846154</v>
      </c>
      <c r="V66" s="16" t="n">
        <f aca="false">IF(OR($K66="",$U66=""),"",$K66-$U66)</f>
        <v>-0.482517482517483</v>
      </c>
      <c r="W66" s="17" t="n">
        <f aca="true">IFERROR(IF(ISBLANK(INDIRECT("'"&amp;$Q$2&amp;"'!O"&amp;ROW())),"",INDIRECT("'"&amp;$Q$2&amp;"'!O"&amp;ROW())),"")</f>
        <v>-7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57</v>
      </c>
      <c r="D67" s="32" t="n">
        <v>6156</v>
      </c>
      <c r="E67" s="32" t="n">
        <f aca="true">IF($D67="","",IFERROR(IF(ISBLANK(INDIRECT("'"&amp;$Q$2&amp;"'!D"&amp;ROW())),"",INDIRECT("'"&amp;$Q$2&amp;"'!D"&amp;ROW())),""))</f>
        <v>6617</v>
      </c>
      <c r="F67" s="33" t="n">
        <f aca="false">IF(OR(D67="",E67=""),"",D67-E67)</f>
        <v>-461</v>
      </c>
      <c r="G67" s="34" t="n">
        <f aca="false">IFERROR(F67/E67,"")</f>
        <v>-0.0696690343055765</v>
      </c>
      <c r="H67" s="32" t="n">
        <v>38</v>
      </c>
      <c r="I67" s="32" t="n">
        <f aca="true">IF($H67="","",IFERROR(IF(ISBLANK(INDIRECT("'"&amp;$Q$2&amp;"'!H"&amp;ROW())),"",INDIRECT("'"&amp;$Q$2&amp;"'!H"&amp;ROW())),""))</f>
        <v>70</v>
      </c>
      <c r="J67" s="33" t="n">
        <f aca="false">IF(OR(H67="",I67=""),"",H67-I67)</f>
        <v>-32</v>
      </c>
      <c r="K67" s="34" t="n">
        <f aca="false">IFERROR(J67/I67,"")</f>
        <v>-0.457142857142857</v>
      </c>
      <c r="L67" s="32" t="n">
        <f aca="false">IFERROR(D67/C67,"")</f>
        <v>108</v>
      </c>
      <c r="M67" s="32" t="n">
        <f aca="false">IFERROR(H67/D67*1000,"")</f>
        <v>6.17283950617284</v>
      </c>
      <c r="N67" s="32" t="n">
        <v>1159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2.41082474226804</v>
      </c>
      <c r="T67" s="16" t="n">
        <f aca="false">IF(OR($G67="",$S67=""),"",$G67-$S67)</f>
        <v>-2.48049377657362</v>
      </c>
      <c r="U67" s="15" t="n">
        <f aca="true">IFERROR(IF(ISBLANK(INDIRECT("'"&amp;$Q$2&amp;"'!K"&amp;ROW())),"",INDIRECT("'"&amp;$Q$2&amp;"'!K"&amp;ROW())),"")</f>
        <v>2.33333333333333</v>
      </c>
      <c r="V67" s="16" t="n">
        <f aca="false">IF(OR($K67="",$U67=""),"",$K67-$U67)</f>
        <v>-2.79047619047619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0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68</v>
      </c>
      <c r="D68" s="32" t="n">
        <v>20849</v>
      </c>
      <c r="E68" s="32" t="n">
        <f aca="true">IF($D68="","",IFERROR(IF(ISBLANK(INDIRECT("'"&amp;$Q$2&amp;"'!D"&amp;ROW())),"",INDIRECT("'"&amp;$Q$2&amp;"'!D"&amp;ROW())),""))</f>
        <v>19788</v>
      </c>
      <c r="F68" s="33" t="n">
        <f aca="false">IF(OR(D68="",E68=""),"",D68-E68)</f>
        <v>1061</v>
      </c>
      <c r="G68" s="34" t="n">
        <f aca="false">IFERROR(F68/E68,"")</f>
        <v>0.0536183545583182</v>
      </c>
      <c r="H68" s="32" t="n">
        <v>54</v>
      </c>
      <c r="I68" s="32" t="n">
        <f aca="true">IF($H68="","",IFERROR(IF(ISBLANK(INDIRECT("'"&amp;$Q$2&amp;"'!H"&amp;ROW())),"",INDIRECT("'"&amp;$Q$2&amp;"'!H"&amp;ROW())),""))</f>
        <v>84</v>
      </c>
      <c r="J68" s="33" t="n">
        <f aca="false">IF(OR(H68="",I68=""),"",H68-I68)</f>
        <v>-30</v>
      </c>
      <c r="K68" s="34" t="n">
        <f aca="false">IFERROR(J68/I68,"")</f>
        <v>-0.357142857142857</v>
      </c>
      <c r="L68" s="32" t="n">
        <f aca="false">IFERROR(D68/C68,"")</f>
        <v>306.602941176471</v>
      </c>
      <c r="M68" s="32" t="n">
        <f aca="false">IFERROR(H68/D68*1000,"")</f>
        <v>2.59005228068492</v>
      </c>
      <c r="N68" s="32" t="n">
        <v>4394</v>
      </c>
      <c r="O68" s="33" t="n">
        <f aca="true">IFERROR(IF(OR(N68="",ISBLANK(INDIRECT("'"&amp;$Q$2&amp;"'!N"&amp;ROW()))),"",N68-INDIRECT("'"&amp;$Q$2&amp;"'!N"&amp;ROW())),"")</f>
        <v>-7</v>
      </c>
      <c r="P68" s="3"/>
      <c r="Q68" s="3"/>
      <c r="R68" s="3"/>
      <c r="S68" s="15" t="n">
        <f aca="true">IFERROR(IF(ISBLANK(INDIRECT("'"&amp;$Q$2&amp;"'!G"&amp;ROW())),"",INDIRECT("'"&amp;$Q$2&amp;"'!G"&amp;ROW())),"")</f>
        <v>-0.092251938162301</v>
      </c>
      <c r="T68" s="16" t="n">
        <f aca="false">IF(OR($G68="",$S68=""),"",$G68-$S68)</f>
        <v>0.145870292720619</v>
      </c>
      <c r="U68" s="15" t="n">
        <f aca="true">IFERROR(IF(ISBLANK(INDIRECT("'"&amp;$Q$2&amp;"'!K"&amp;ROW())),"",INDIRECT("'"&amp;$Q$2&amp;"'!K"&amp;ROW())),"")</f>
        <v>0.037037037037037</v>
      </c>
      <c r="V68" s="16" t="n">
        <f aca="false">IF(OR($K68="",$U68=""),"",$K68-$U68)</f>
        <v>-0.394179894179894</v>
      </c>
      <c r="W68" s="17" t="n">
        <f aca="true">IFERROR(IF(ISBLANK(INDIRECT("'"&amp;$Q$2&amp;"'!O"&amp;ROW())),"",INDIRECT("'"&amp;$Q$2&amp;"'!O"&amp;ROW())),"")</f>
        <v>-3</v>
      </c>
      <c r="X68" s="17" t="n">
        <f aca="false">IF(OR($O68="",$W68=""),"",$O68-$W68)</f>
        <v>-4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100</v>
      </c>
      <c r="D69" s="32" t="n">
        <v>38452</v>
      </c>
      <c r="E69" s="32" t="n">
        <f aca="true">IF($D69="","",IFERROR(IF(ISBLANK(INDIRECT("'"&amp;$Q$2&amp;"'!D"&amp;ROW())),"",INDIRECT("'"&amp;$Q$2&amp;"'!D"&amp;ROW())),""))</f>
        <v>37154</v>
      </c>
      <c r="F69" s="33" t="n">
        <f aca="false">IF(OR(D69="",E69=""),"",D69-E69)</f>
        <v>1298</v>
      </c>
      <c r="G69" s="34" t="n">
        <f aca="false">IFERROR(F69/E69,"")</f>
        <v>0.0349356731442106</v>
      </c>
      <c r="H69" s="32" t="n">
        <v>260</v>
      </c>
      <c r="I69" s="32" t="n">
        <f aca="true">IF($H69="","",IFERROR(IF(ISBLANK(INDIRECT("'"&amp;$Q$2&amp;"'!H"&amp;ROW())),"",INDIRECT("'"&amp;$Q$2&amp;"'!H"&amp;ROW())),""))</f>
        <v>218</v>
      </c>
      <c r="J69" s="33" t="n">
        <f aca="false">IF(OR(H69="",I69=""),"",H69-I69)</f>
        <v>42</v>
      </c>
      <c r="K69" s="34" t="n">
        <f aca="false">IFERROR(J69/I69,"")</f>
        <v>0.192660550458716</v>
      </c>
      <c r="L69" s="32" t="n">
        <f aca="false">IFERROR(D69/C69,"")</f>
        <v>384.52</v>
      </c>
      <c r="M69" s="32" t="n">
        <f aca="false">IFERROR(H69/D69*1000,"")</f>
        <v>6.76167689587018</v>
      </c>
      <c r="N69" s="32" t="n">
        <v>5463</v>
      </c>
      <c r="O69" s="33" t="n">
        <f aca="true">IFERROR(IF(OR(N69="",ISBLANK(INDIRECT("'"&amp;$Q$2&amp;"'!N"&amp;ROW()))),"",N69-INDIRECT("'"&amp;$Q$2&amp;"'!N"&amp;ROW())),"")</f>
        <v>-24</v>
      </c>
      <c r="P69" s="3"/>
      <c r="Q69" s="3"/>
      <c r="R69" s="3"/>
      <c r="S69" s="15" t="n">
        <f aca="true">IFERROR(IF(ISBLANK(INDIRECT("'"&amp;$Q$2&amp;"'!G"&amp;ROW())),"",INDIRECT("'"&amp;$Q$2&amp;"'!G"&amp;ROW())),"")</f>
        <v>-0.0501827849783981</v>
      </c>
      <c r="T69" s="16" t="n">
        <f aca="false">IF(OR($G69="",$S69=""),"",$G69-$S69)</f>
        <v>0.0851184581226087</v>
      </c>
      <c r="U69" s="15" t="n">
        <f aca="true">IFERROR(IF(ISBLANK(INDIRECT("'"&amp;$Q$2&amp;"'!K"&amp;ROW())),"",INDIRECT("'"&amp;$Q$2&amp;"'!K"&amp;ROW())),"")</f>
        <v>-0.389355742296919</v>
      </c>
      <c r="V69" s="16" t="n">
        <f aca="false">IF(OR($K69="",$U69=""),"",$K69-$U69)</f>
        <v>0.582016292755634</v>
      </c>
      <c r="W69" s="17" t="n">
        <f aca="true">IFERROR(IF(ISBLANK(INDIRECT("'"&amp;$Q$2&amp;"'!O"&amp;ROW())),"",INDIRECT("'"&amp;$Q$2&amp;"'!O"&amp;ROW())),"")</f>
        <v>-19</v>
      </c>
      <c r="X69" s="17" t="n">
        <f aca="false">IF(OR($O69="",$W69=""),"",$O69-$W69)</f>
        <v>-5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231</v>
      </c>
      <c r="D70" s="32" t="n">
        <v>3792</v>
      </c>
      <c r="E70" s="32" t="n">
        <f aca="true">IF($D70="","",IFERROR(IF(ISBLANK(INDIRECT("'"&amp;$Q$2&amp;"'!D"&amp;ROW())),"",INDIRECT("'"&amp;$Q$2&amp;"'!D"&amp;ROW())),""))</f>
        <v>4025</v>
      </c>
      <c r="F70" s="33" t="n">
        <f aca="false">IF(OR(D70="",E70=""),"",D70-E70)</f>
        <v>-233</v>
      </c>
      <c r="G70" s="34" t="n">
        <f aca="false">IFERROR(F70/E70,"")</f>
        <v>-0.057888198757764</v>
      </c>
      <c r="H70" s="32" t="n">
        <v>3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1</v>
      </c>
      <c r="K70" s="34" t="n">
        <f aca="false">IFERROR(J70/I70,"")</f>
        <v>0.5</v>
      </c>
      <c r="L70" s="32" t="n">
        <f aca="false">IFERROR(D70/C70,"")</f>
        <v>16.4155844155844</v>
      </c>
      <c r="M70" s="32" t="n">
        <f aca="false">IFERROR(H70/D70*1000,"")</f>
        <v>0.791139240506329</v>
      </c>
      <c r="N70" s="32" t="n">
        <v>687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0.0133434038267875</v>
      </c>
      <c r="T70" s="16" t="n">
        <f aca="false">IF(OR($G70="",$S70=""),"",$G70-$S70)</f>
        <v>-0.0712316025845515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4262</v>
      </c>
      <c r="E71" s="32" t="n">
        <f aca="true">IF($D71="","",IFERROR(IF(ISBLANK(INDIRECT("'"&amp;$Q$2&amp;"'!D"&amp;ROW())),"",INDIRECT("'"&amp;$Q$2&amp;"'!D"&amp;ROW())),""))</f>
        <v>4176</v>
      </c>
      <c r="F71" s="33" t="n">
        <f aca="false">IF(OR(D71="",E71=""),"",D71-E71)</f>
        <v>86</v>
      </c>
      <c r="G71" s="34" t="n">
        <f aca="false">IFERROR(F71/E71,"")</f>
        <v>0.0205938697318008</v>
      </c>
      <c r="H71" s="32" t="n">
        <v>492</v>
      </c>
      <c r="I71" s="32" t="n">
        <f aca="true">IF($H71="","",IFERROR(IF(ISBLANK(INDIRECT("'"&amp;$Q$2&amp;"'!H"&amp;ROW())),"",INDIRECT("'"&amp;$Q$2&amp;"'!H"&amp;ROW())),""))</f>
        <v>449</v>
      </c>
      <c r="J71" s="33" t="n">
        <f aca="false">IF(OR(H71="",I71=""),"",H71-I71)</f>
        <v>43</v>
      </c>
      <c r="K71" s="34" t="n">
        <f aca="false">IFERROR(J71/I71,"")</f>
        <v>0.0957683741648107</v>
      </c>
      <c r="L71" s="32" t="n">
        <f aca="false">IFERROR(D71/C71,"")</f>
        <v>202.952380952381</v>
      </c>
      <c r="M71" s="32" t="n">
        <f aca="false">IFERROR(H71/D71*1000,"")</f>
        <v>115.438761145002</v>
      </c>
      <c r="N71" s="32" t="n">
        <v>2480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-0.180372914622179</v>
      </c>
      <c r="T71" s="16" t="n">
        <f aca="false">IF(OR($G71="",$S71=""),"",$G71-$S71)</f>
        <v>0.200966784353979</v>
      </c>
      <c r="U71" s="15" t="n">
        <f aca="true">IFERROR(IF(ISBLANK(INDIRECT("'"&amp;$Q$2&amp;"'!K"&amp;ROW())),"",INDIRECT("'"&amp;$Q$2&amp;"'!K"&amp;ROW())),"")</f>
        <v>-0.0761316872427984</v>
      </c>
      <c r="V71" s="16" t="n">
        <f aca="false">IF(OR($K71="",$U71=""),"",$K71-$U71)</f>
        <v>0.171900061407609</v>
      </c>
      <c r="W71" s="17" t="n">
        <f aca="true">IFERROR(IF(ISBLANK(INDIRECT("'"&amp;$Q$2&amp;"'!O"&amp;ROW())),"",INDIRECT("'"&amp;$Q$2&amp;"'!O"&amp;ROW())),"")</f>
        <v>-11</v>
      </c>
      <c r="X71" s="17" t="n">
        <f aca="false">IF(OR($O71="",$W71=""),"",$O71-$W71)</f>
        <v>10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178</v>
      </c>
      <c r="E72" s="32" t="n">
        <f aca="true">IF($D72="","",IFERROR(IF(ISBLANK(INDIRECT("'"&amp;$Q$2&amp;"'!D"&amp;ROW())),"",INDIRECT("'"&amp;$Q$2&amp;"'!D"&amp;ROW())),""))</f>
        <v>172</v>
      </c>
      <c r="F72" s="33" t="n">
        <f aca="false">IF(OR(D72="",E72=""),"",D72-E72)</f>
        <v>6</v>
      </c>
      <c r="G72" s="34" t="n">
        <f aca="false">IFERROR(F72/E72,"")</f>
        <v>0.0348837209302326</v>
      </c>
      <c r="H72" s="32" t="n">
        <v>45</v>
      </c>
      <c r="I72" s="32" t="n">
        <f aca="true">IF($H72="","",IFERROR(IF(ISBLANK(INDIRECT("'"&amp;$Q$2&amp;"'!H"&amp;ROW())),"",INDIRECT("'"&amp;$Q$2&amp;"'!H"&amp;ROW())),""))</f>
        <v>27</v>
      </c>
      <c r="J72" s="33" t="n">
        <f aca="false">IF(OR(H72="",I72=""),"",H72-I72)</f>
        <v>18</v>
      </c>
      <c r="K72" s="34" t="n">
        <f aca="false">IFERROR(J72/I72,"")</f>
        <v>0.666666666666667</v>
      </c>
      <c r="L72" s="32" t="n">
        <f aca="false">IFERROR(D72/C72,"")</f>
        <v>25.4285714285714</v>
      </c>
      <c r="M72" s="32" t="n">
        <f aca="false">IFERROR(H72/D72*1000,"")</f>
        <v>252.808988764045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-0.432343234323432</v>
      </c>
      <c r="T72" s="16" t="n">
        <f aca="false">IF(OR($G72="",$S72=""),"",$G72-$S72)</f>
        <v>0.467226955253665</v>
      </c>
      <c r="U72" s="15" t="n">
        <f aca="true">IFERROR(IF(ISBLANK(INDIRECT("'"&amp;$Q$2&amp;"'!K"&amp;ROW())),"",INDIRECT("'"&amp;$Q$2&amp;"'!K"&amp;ROW())),"")</f>
        <v>0.35</v>
      </c>
      <c r="V72" s="16" t="n">
        <f aca="false">IF(OR($K72="",$U72=""),"",$K72-$U72)</f>
        <v>0.316666666666667</v>
      </c>
      <c r="W72" s="17" t="n">
        <f aca="true">IFERROR(IF(ISBLANK(INDIRECT("'"&amp;$Q$2&amp;"'!O"&amp;ROW())),"",INDIRECT("'"&amp;$Q$2&amp;"'!O"&amp;ROW())),"")</f>
        <v>-2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9</v>
      </c>
      <c r="D73" s="32" t="n">
        <v>1066</v>
      </c>
      <c r="E73" s="32" t="n">
        <f aca="true">IF($D73="","",IFERROR(IF(ISBLANK(INDIRECT("'"&amp;$Q$2&amp;"'!D"&amp;ROW())),"",INDIRECT("'"&amp;$Q$2&amp;"'!D"&amp;ROW())),""))</f>
        <v>1846</v>
      </c>
      <c r="F73" s="33" t="n">
        <f aca="false">IF(OR(D73="",E73=""),"",D73-E73)</f>
        <v>-780</v>
      </c>
      <c r="G73" s="34" t="n">
        <f aca="false">IFERROR(F73/E73,"")</f>
        <v>-0.422535211267606</v>
      </c>
      <c r="H73" s="32" t="n">
        <v>22</v>
      </c>
      <c r="I73" s="32" t="n">
        <f aca="true">IF($H73="","",IFERROR(IF(ISBLANK(INDIRECT("'"&amp;$Q$2&amp;"'!H"&amp;ROW())),"",INDIRECT("'"&amp;$Q$2&amp;"'!H"&amp;ROW())),""))</f>
        <v>41</v>
      </c>
      <c r="J73" s="33" t="n">
        <f aca="false">IF(OR(H73="",I73=""),"",H73-I73)</f>
        <v>-19</v>
      </c>
      <c r="K73" s="34" t="n">
        <f aca="false">IFERROR(J73/I73,"")</f>
        <v>-0.463414634146342</v>
      </c>
      <c r="L73" s="32" t="n">
        <f aca="false">IFERROR(D73/C73,"")</f>
        <v>118.444444444444</v>
      </c>
      <c r="M73" s="32" t="n">
        <f aca="false">IFERROR(H73/D73*1000,"")</f>
        <v>20.6378986866792</v>
      </c>
      <c r="N73" s="32" t="n">
        <v>56</v>
      </c>
      <c r="O73" s="33" t="n">
        <f aca="true">IFERROR(IF(OR(N73="",ISBLANK(INDIRECT("'"&amp;$Q$2&amp;"'!N"&amp;ROW()))),"",N73-INDIRECT("'"&amp;$Q$2&amp;"'!N"&amp;ROW())),"")</f>
        <v>-1</v>
      </c>
      <c r="P73" s="3"/>
      <c r="Q73" s="3"/>
      <c r="R73" s="3"/>
      <c r="S73" s="15" t="n">
        <f aca="true">IFERROR(IF(ISBLANK(INDIRECT("'"&amp;$Q$2&amp;"'!G"&amp;ROW())),"",INDIRECT("'"&amp;$Q$2&amp;"'!G"&amp;ROW())),"")</f>
        <v>1.23486682808717</v>
      </c>
      <c r="T73" s="16" t="n">
        <f aca="false">IF(OR($G73="",$S73=""),"",$G73-$S73)</f>
        <v>-1.65740203935477</v>
      </c>
      <c r="U73" s="15" t="n">
        <f aca="true">IFERROR(IF(ISBLANK(INDIRECT("'"&amp;$Q$2&amp;"'!K"&amp;ROW())),"",INDIRECT("'"&amp;$Q$2&amp;"'!K"&amp;ROW())),"")</f>
        <v>1.92857142857143</v>
      </c>
      <c r="V73" s="16" t="n">
        <f aca="false">IF(OR($K73="",$U73=""),"",$K73-$U73)</f>
        <v>-2.39198606271777</v>
      </c>
      <c r="W73" s="17" t="n">
        <f aca="true">IFERROR(IF(ISBLANK(INDIRECT("'"&amp;$Q$2&amp;"'!O"&amp;ROW())),"",INDIRECT("'"&amp;$Q$2&amp;"'!O"&amp;ROW())),"")</f>
        <v>3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1648</v>
      </c>
      <c r="D74" s="36" t="n">
        <f aca="false">SUM(D52:D73)</f>
        <v>424843</v>
      </c>
      <c r="E74" s="36" t="n">
        <f aca="false">SUM(E52:E73)</f>
        <v>419798</v>
      </c>
      <c r="F74" s="37" t="n">
        <f aca="false">SUM(F52:F73)</f>
        <v>5045</v>
      </c>
      <c r="G74" s="38" t="n">
        <f aca="false">IF(C74=0,"",IFERROR(F74/E74,""))</f>
        <v>0.0120176846959728</v>
      </c>
      <c r="H74" s="36" t="n">
        <f aca="false">SUM(H52:H73)</f>
        <v>2377</v>
      </c>
      <c r="I74" s="36" t="n">
        <f aca="false">SUM(I52:I73)</f>
        <v>2673</v>
      </c>
      <c r="J74" s="37" t="n">
        <f aca="false">SUM(J52:J73)</f>
        <v>-296</v>
      </c>
      <c r="K74" s="38" t="n">
        <f aca="false">IF(C74=0,"",IFERROR(J74/I74,""))</f>
        <v>-0.110736999625889</v>
      </c>
      <c r="L74" s="36" t="n">
        <f aca="false">IFERROR(D74/C74,"")</f>
        <v>257.793082524272</v>
      </c>
      <c r="M74" s="36" t="n">
        <f aca="false">IFERROR(H74/D74*1000,"")</f>
        <v>5.59500803826355</v>
      </c>
      <c r="N74" s="36" t="n">
        <f aca="false">SUM(N52:N73)</f>
        <v>97938</v>
      </c>
      <c r="O74" s="37" t="n">
        <f aca="false">SUM(O52:O73)</f>
        <v>-171</v>
      </c>
      <c r="P74" s="3"/>
      <c r="Q74" s="3"/>
      <c r="R74" s="3"/>
      <c r="S74" s="23" t="n">
        <f aca="true">IFERROR(IF(ISBLANK(INDIRECT("'"&amp;$Q$2&amp;"'!G"&amp;ROW())),"",INDIRECT("'"&amp;$Q$2&amp;"'!G"&amp;ROW())),"")</f>
        <v>-0.135805569736994</v>
      </c>
      <c r="T74" s="24" t="n">
        <f aca="false">IF(OR($G74="",$S74=""),"",$G74-$S74)</f>
        <v>0.147823254432967</v>
      </c>
      <c r="U74" s="23" t="n">
        <f aca="true">IFERROR(IF(ISBLANK(INDIRECT("'"&amp;$Q$2&amp;"'!K"&amp;ROW())),"",INDIRECT("'"&amp;$Q$2&amp;"'!K"&amp;ROW())),"")</f>
        <v>0.0210084033613445</v>
      </c>
      <c r="V74" s="24" t="n">
        <f aca="false">IF(OR($K74="",$U74=""),"",$K74-$U74)</f>
        <v>-0.131745402987233</v>
      </c>
      <c r="W74" s="25" t="n">
        <f aca="true">IFERROR(IF(ISBLANK(INDIRECT("'"&amp;$Q$2&amp;"'!O"&amp;ROW())),"",INDIRECT("'"&amp;$Q$2&amp;"'!O"&amp;ROW())),"")</f>
        <v>-210</v>
      </c>
      <c r="X74" s="25" t="n">
        <f aca="false">IF(OR(C74=0,$O74="",$W74=""),"",$O74-$W74)</f>
        <v>39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136</v>
      </c>
      <c r="D75" s="32" t="n">
        <v>144944</v>
      </c>
      <c r="E75" s="32" t="n">
        <f aca="true">IF($D75="","",IFERROR(IF(ISBLANK(INDIRECT("'"&amp;$Q$2&amp;"'!D"&amp;ROW())),"",INDIRECT("'"&amp;$Q$2&amp;"'!D"&amp;ROW())),""))</f>
        <v>157919</v>
      </c>
      <c r="F75" s="33" t="n">
        <f aca="false">IF(OR(D75="",E75=""),"",D75-E75)</f>
        <v>-12975</v>
      </c>
      <c r="G75" s="34" t="n">
        <f aca="false">IFERROR(F75/E75,"")</f>
        <v>-0.0821623743818033</v>
      </c>
      <c r="H75" s="32" t="n">
        <v>1405</v>
      </c>
      <c r="I75" s="32" t="n">
        <f aca="true">IF($H75="","",IFERROR(IF(ISBLANK(INDIRECT("'"&amp;$Q$2&amp;"'!H"&amp;ROW())),"",INDIRECT("'"&amp;$Q$2&amp;"'!H"&amp;ROW())),""))</f>
        <v>1522</v>
      </c>
      <c r="J75" s="33" t="n">
        <f aca="false">IF(OR(H75="",I75=""),"",H75-I75)</f>
        <v>-117</v>
      </c>
      <c r="K75" s="34" t="n">
        <f aca="false">IFERROR(J75/I75,"")</f>
        <v>-0.0768725361366623</v>
      </c>
      <c r="L75" s="32" t="n">
        <f aca="false">IFERROR(D75/C75,"")</f>
        <v>1065.76470588235</v>
      </c>
      <c r="M75" s="32" t="n">
        <f aca="false">IFERROR(H75/D75*1000,"")</f>
        <v>9.69339882989292</v>
      </c>
      <c r="N75" s="32" t="n">
        <v>4495</v>
      </c>
      <c r="O75" s="33" t="n">
        <f aca="true">IFERROR(IF(OR(N75="",ISBLANK(INDIRECT("'"&amp;$Q$2&amp;"'!N"&amp;ROW()))),"",N75-INDIRECT("'"&amp;$Q$2&amp;"'!N"&amp;ROW())),"")</f>
        <v>50</v>
      </c>
      <c r="P75" s="3"/>
      <c r="Q75" s="3"/>
      <c r="R75" s="3"/>
      <c r="S75" s="15" t="n">
        <f aca="true">IFERROR(IF(ISBLANK(INDIRECT("'"&amp;$Q$2&amp;"'!G"&amp;ROW())),"",INDIRECT("'"&amp;$Q$2&amp;"'!G"&amp;ROW())),"")</f>
        <v>-0.0488640743952973</v>
      </c>
      <c r="T75" s="16" t="n">
        <f aca="false">IF(OR($G75="",$S75=""),"",$G75-$S75)</f>
        <v>-0.033298299986506</v>
      </c>
      <c r="U75" s="15" t="n">
        <f aca="true">IFERROR(IF(ISBLANK(INDIRECT("'"&amp;$Q$2&amp;"'!K"&amp;ROW())),"",INDIRECT("'"&amp;$Q$2&amp;"'!K"&amp;ROW())),"")</f>
        <v>-0.132763532763533</v>
      </c>
      <c r="V75" s="16" t="n">
        <f aca="false">IF(OR($K75="",$U75=""),"",$K75-$U75)</f>
        <v>0.0558909966268705</v>
      </c>
      <c r="W75" s="17" t="n">
        <f aca="true">IFERROR(IF(ISBLANK(INDIRECT("'"&amp;$Q$2&amp;"'!O"&amp;ROW())),"",INDIRECT("'"&amp;$Q$2&amp;"'!O"&amp;ROW())),"")</f>
        <v>44</v>
      </c>
      <c r="X75" s="17" t="n">
        <f aca="false">IF(OR($O75="",$W75=""),"",$O75-$W75)</f>
        <v>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137</v>
      </c>
      <c r="D76" s="32" t="n">
        <v>64457</v>
      </c>
      <c r="E76" s="32" t="n">
        <f aca="true">IF($D76="","",IFERROR(IF(ISBLANK(INDIRECT("'"&amp;$Q$2&amp;"'!D"&amp;ROW())),"",INDIRECT("'"&amp;$Q$2&amp;"'!D"&amp;ROW())),""))</f>
        <v>70495</v>
      </c>
      <c r="F76" s="33" t="n">
        <f aca="false">IF(OR(D76="",E76=""),"",D76-E76)</f>
        <v>-6038</v>
      </c>
      <c r="G76" s="34" t="n">
        <f aca="false">IFERROR(F76/E76,"")</f>
        <v>-0.0856514646428825</v>
      </c>
      <c r="H76" s="32" t="n">
        <v>293</v>
      </c>
      <c r="I76" s="32" t="n">
        <f aca="true">IF($H76="","",IFERROR(IF(ISBLANK(INDIRECT("'"&amp;$Q$2&amp;"'!H"&amp;ROW())),"",INDIRECT("'"&amp;$Q$2&amp;"'!H"&amp;ROW())),""))</f>
        <v>338</v>
      </c>
      <c r="J76" s="33" t="n">
        <f aca="false">IF(OR(H76="",I76=""),"",H76-I76)</f>
        <v>-45</v>
      </c>
      <c r="K76" s="34" t="n">
        <f aca="false">IFERROR(J76/I76,"")</f>
        <v>-0.133136094674556</v>
      </c>
      <c r="L76" s="32" t="n">
        <f aca="false">IFERROR(D76/C76,"")</f>
        <v>470.489051094891</v>
      </c>
      <c r="M76" s="32" t="n">
        <f aca="false">IFERROR(H76/D76*1000,"")</f>
        <v>4.54566610298338</v>
      </c>
      <c r="N76" s="32" t="n">
        <v>2252</v>
      </c>
      <c r="O76" s="33" t="n">
        <f aca="true">IFERROR(IF(OR(N76="",ISBLANK(INDIRECT("'"&amp;$Q$2&amp;"'!N"&amp;ROW()))),"",N76-INDIRECT("'"&amp;$Q$2&amp;"'!N"&amp;ROW())),"")</f>
        <v>5</v>
      </c>
      <c r="P76" s="3"/>
      <c r="Q76" s="3"/>
      <c r="R76" s="3"/>
      <c r="S76" s="15" t="n">
        <f aca="true">IFERROR(IF(ISBLANK(INDIRECT("'"&amp;$Q$2&amp;"'!G"&amp;ROW())),"",INDIRECT("'"&amp;$Q$2&amp;"'!G"&amp;ROW())),"")</f>
        <v>-0.0491124419984893</v>
      </c>
      <c r="T76" s="16" t="n">
        <f aca="false">IF(OR($G76="",$S76=""),"",$G76-$S76)</f>
        <v>-0.0365390226443932</v>
      </c>
      <c r="U76" s="15" t="n">
        <f aca="true">IFERROR(IF(ISBLANK(INDIRECT("'"&amp;$Q$2&amp;"'!K"&amp;ROW())),"",INDIRECT("'"&amp;$Q$2&amp;"'!K"&amp;ROW())),"")</f>
        <v>0.28030303030303</v>
      </c>
      <c r="V76" s="16" t="n">
        <f aca="false">IF(OR($K76="",$U76=""),"",$K76-$U76)</f>
        <v>-0.413439124977587</v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-3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85</v>
      </c>
      <c r="D77" s="32" t="n">
        <v>5223</v>
      </c>
      <c r="E77" s="32" t="n">
        <f aca="true">IF($D77="","",IFERROR(IF(ISBLANK(INDIRECT("'"&amp;$Q$2&amp;"'!D"&amp;ROW())),"",INDIRECT("'"&amp;$Q$2&amp;"'!D"&amp;ROW())),""))</f>
        <v>6505</v>
      </c>
      <c r="F77" s="33" t="n">
        <f aca="false">IF(OR(D77="",E77=""),"",D77-E77)</f>
        <v>-1282</v>
      </c>
      <c r="G77" s="34" t="n">
        <f aca="false">IFERROR(F77/E77,"")</f>
        <v>-0.197079169869331</v>
      </c>
      <c r="H77" s="32" t="n">
        <v>10</v>
      </c>
      <c r="I77" s="32" t="n">
        <f aca="true">IF($H77="","",IFERROR(IF(ISBLANK(INDIRECT("'"&amp;$Q$2&amp;"'!H"&amp;ROW())),"",INDIRECT("'"&amp;$Q$2&amp;"'!H"&amp;ROW())),""))</f>
        <v>20</v>
      </c>
      <c r="J77" s="33" t="n">
        <f aca="false">IF(OR(H77="",I77=""),"",H77-I77)</f>
        <v>-10</v>
      </c>
      <c r="K77" s="34" t="n">
        <f aca="false">IFERROR(J77/I77,"")</f>
        <v>-0.5</v>
      </c>
      <c r="L77" s="32" t="n">
        <f aca="false">IFERROR(D77/C77,"")</f>
        <v>61.4470588235294</v>
      </c>
      <c r="M77" s="32" t="n">
        <f aca="false">IFERROR(H77/D77*1000,"")</f>
        <v>1.9146084625694</v>
      </c>
      <c r="N77" s="32" t="n">
        <v>281</v>
      </c>
      <c r="O77" s="33" t="n">
        <f aca="true">IFERROR(IF(OR(N77="",ISBLANK(INDIRECT("'"&amp;$Q$2&amp;"'!N"&amp;ROW()))),"",N77-INDIRECT("'"&amp;$Q$2&amp;"'!N"&amp;ROW())),"")</f>
        <v>8</v>
      </c>
      <c r="P77" s="3"/>
      <c r="Q77" s="3"/>
      <c r="R77" s="3"/>
      <c r="S77" s="15" t="n">
        <f aca="true">IFERROR(IF(ISBLANK(INDIRECT("'"&amp;$Q$2&amp;"'!G"&amp;ROW())),"",INDIRECT("'"&amp;$Q$2&amp;"'!G"&amp;ROW())),"")</f>
        <v>-0.183199397287795</v>
      </c>
      <c r="T77" s="16" t="n">
        <f aca="false">IF(OR($G77="",$S77=""),"",$G77-$S77)</f>
        <v>-0.0138797725815362</v>
      </c>
      <c r="U77" s="15" t="n">
        <f aca="true">IFERROR(IF(ISBLANK(INDIRECT("'"&amp;$Q$2&amp;"'!K"&amp;ROW())),"",INDIRECT("'"&amp;$Q$2&amp;"'!K"&amp;ROW())),"")</f>
        <v>5.66666666666667</v>
      </c>
      <c r="V77" s="16" t="n">
        <f aca="false">IF(OR($K77="",$U77=""),"",$K77-$U77)</f>
        <v>-6.16666666666667</v>
      </c>
      <c r="W77" s="17" t="n">
        <f aca="true">IFERROR(IF(ISBLANK(INDIRECT("'"&amp;$Q$2&amp;"'!O"&amp;ROW())),"",INDIRECT("'"&amp;$Q$2&amp;"'!O"&amp;ROW())),"")</f>
        <v>0</v>
      </c>
      <c r="X77" s="17" t="n">
        <f aca="false">IF(OR($O77="",$W77=""),"",$O77-$W77)</f>
        <v>8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1172</v>
      </c>
      <c r="E78" s="32" t="n">
        <f aca="true">IF($D78="","",IFERROR(IF(ISBLANK(INDIRECT("'"&amp;$Q$2&amp;"'!D"&amp;ROW())),"",INDIRECT("'"&amp;$Q$2&amp;"'!D"&amp;ROW())),""))</f>
        <v>826</v>
      </c>
      <c r="F78" s="33" t="n">
        <f aca="false">IF(OR(D78="",E78=""),"",D78-E78)</f>
        <v>346</v>
      </c>
      <c r="G78" s="34" t="n">
        <f aca="false">IFERROR(F78/E78,"")</f>
        <v>0.418886198547216</v>
      </c>
      <c r="H78" s="32" t="n">
        <v>23</v>
      </c>
      <c r="I78" s="32" t="n">
        <f aca="true">IF($H78="","",IFERROR(IF(ISBLANK(INDIRECT("'"&amp;$Q$2&amp;"'!H"&amp;ROW())),"",INDIRECT("'"&amp;$Q$2&amp;"'!H"&amp;ROW())),""))</f>
        <v>37</v>
      </c>
      <c r="J78" s="33" t="n">
        <f aca="false">IF(OR(H78="",I78=""),"",H78-I78)</f>
        <v>-14</v>
      </c>
      <c r="K78" s="34" t="n">
        <f aca="false">IFERROR(J78/I78,"")</f>
        <v>-0.378378378378378</v>
      </c>
      <c r="L78" s="32" t="n">
        <f aca="false">IFERROR(D78/C78,"")</f>
        <v>167.428571428571</v>
      </c>
      <c r="M78" s="32" t="n">
        <f aca="false">IFERROR(H78/D78*1000,"")</f>
        <v>19.6245733788396</v>
      </c>
      <c r="N78" s="32" t="n">
        <v>213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-0.3035413153457</v>
      </c>
      <c r="T78" s="16" t="n">
        <f aca="false">IF(OR($G78="",$S78=""),"",$G78-$S78)</f>
        <v>0.722427513892915</v>
      </c>
      <c r="U78" s="15" t="n">
        <f aca="true">IFERROR(IF(ISBLANK(INDIRECT("'"&amp;$Q$2&amp;"'!K"&amp;ROW())),"",INDIRECT("'"&amp;$Q$2&amp;"'!K"&amp;ROW())),"")</f>
        <v>0.423076923076923</v>
      </c>
      <c r="V78" s="16" t="n">
        <f aca="false">IF(OR($K78="",$U78=""),"",$K78-$U78)</f>
        <v>-0.801455301455301</v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-3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9</v>
      </c>
      <c r="D79" s="32" t="n">
        <v>148</v>
      </c>
      <c r="E79" s="32" t="n">
        <f aca="true">IF($D79="","",IFERROR(IF(ISBLANK(INDIRECT("'"&amp;$Q$2&amp;"'!D"&amp;ROW())),"",INDIRECT("'"&amp;$Q$2&amp;"'!D"&amp;ROW())),""))</f>
        <v>85</v>
      </c>
      <c r="F79" s="33" t="n">
        <f aca="false">IF(OR(D79="",E79=""),"",D79-E79)</f>
        <v>63</v>
      </c>
      <c r="G79" s="34" t="n">
        <f aca="false">IFERROR(F79/E79,"")</f>
        <v>0.741176470588235</v>
      </c>
      <c r="H79" s="32" t="n">
        <v>3</v>
      </c>
      <c r="I79" s="32" t="n">
        <f aca="true">IF($H79="","",IFERROR(IF(ISBLANK(INDIRECT("'"&amp;$Q$2&amp;"'!H"&amp;ROW())),"",INDIRECT("'"&amp;$Q$2&amp;"'!H"&amp;ROW())),""))</f>
        <v>1</v>
      </c>
      <c r="J79" s="33" t="n">
        <f aca="false">IF(OR(H79="",I79=""),"",H79-I79)</f>
        <v>2</v>
      </c>
      <c r="K79" s="34" t="n">
        <f aca="false">IFERROR(J79/I79,"")</f>
        <v>2</v>
      </c>
      <c r="L79" s="32" t="n">
        <f aca="false">IFERROR(D79/C79,"")</f>
        <v>16.4444444444444</v>
      </c>
      <c r="M79" s="32" t="n">
        <f aca="false">IFERROR(H79/D79*1000,"")</f>
        <v>20.2702702702703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-0.5</v>
      </c>
      <c r="T79" s="16" t="n">
        <f aca="false">IF(OR($G79="",$S79=""),"",$G79-$S79)</f>
        <v>1.24117647058824</v>
      </c>
      <c r="U79" s="15" t="n">
        <f aca="true">IFERROR(IF(ISBLANK(INDIRECT("'"&amp;$Q$2&amp;"'!K"&amp;ROW())),"",INDIRECT("'"&amp;$Q$2&amp;"'!K"&amp;ROW())),"")</f>
        <v>-0.5</v>
      </c>
      <c r="V79" s="16" t="n">
        <f aca="false">IF(OR($K79="",$U79=""),"",$K79-$U79)</f>
        <v>2.5</v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98</v>
      </c>
      <c r="D80" s="32" t="n">
        <v>147796</v>
      </c>
      <c r="E80" s="32" t="n">
        <f aca="true">IF($D80="","",IFERROR(IF(ISBLANK(INDIRECT("'"&amp;$Q$2&amp;"'!D"&amp;ROW())),"",INDIRECT("'"&amp;$Q$2&amp;"'!D"&amp;ROW())),""))</f>
        <v>165080</v>
      </c>
      <c r="F80" s="33" t="n">
        <f aca="false">IF(OR(D80="",E80=""),"",D80-E80)</f>
        <v>-17284</v>
      </c>
      <c r="G80" s="34" t="n">
        <f aca="false">IFERROR(F80/E80,"")</f>
        <v>-0.104700751150957</v>
      </c>
      <c r="H80" s="32" t="n">
        <v>1392</v>
      </c>
      <c r="I80" s="32" t="n">
        <f aca="true">IF($H80="","",IFERROR(IF(ISBLANK(INDIRECT("'"&amp;$Q$2&amp;"'!H"&amp;ROW())),"",INDIRECT("'"&amp;$Q$2&amp;"'!H"&amp;ROW())),""))</f>
        <v>1556</v>
      </c>
      <c r="J80" s="33" t="n">
        <f aca="false">IF(OR(H80="",I80=""),"",H80-I80)</f>
        <v>-164</v>
      </c>
      <c r="K80" s="34" t="n">
        <f aca="false">IFERROR(J80/I80,"")</f>
        <v>-0.105398457583548</v>
      </c>
      <c r="L80" s="32" t="n">
        <f aca="false">IFERROR(D80/C80,"")</f>
        <v>1508.12244897959</v>
      </c>
      <c r="M80" s="32" t="n">
        <f aca="false">IFERROR(H80/D80*1000,"")</f>
        <v>9.41838750710439</v>
      </c>
      <c r="N80" s="32" t="n">
        <v>4373</v>
      </c>
      <c r="O80" s="33" t="n">
        <f aca="true">IFERROR(IF(OR(N80="",ISBLANK(INDIRECT("'"&amp;$Q$2&amp;"'!N"&amp;ROW()))),"",N80-INDIRECT("'"&amp;$Q$2&amp;"'!N"&amp;ROW())),"")</f>
        <v>22</v>
      </c>
      <c r="P80" s="3"/>
      <c r="Q80" s="3"/>
      <c r="R80" s="3"/>
      <c r="S80" s="15" t="n">
        <f aca="true">IFERROR(IF(ISBLANK(INDIRECT("'"&amp;$Q$2&amp;"'!G"&amp;ROW())),"",INDIRECT("'"&amp;$Q$2&amp;"'!G"&amp;ROW())),"")</f>
        <v>-0.206921898045169</v>
      </c>
      <c r="T80" s="16" t="n">
        <f aca="false">IF(OR($G80="",$S80=""),"",$G80-$S80)</f>
        <v>0.102221146894212</v>
      </c>
      <c r="U80" s="15" t="n">
        <f aca="true">IFERROR(IF(ISBLANK(INDIRECT("'"&amp;$Q$2&amp;"'!K"&amp;ROW())),"",INDIRECT("'"&amp;$Q$2&amp;"'!K"&amp;ROW())),"")</f>
        <v>-0.156639566395664</v>
      </c>
      <c r="V80" s="16" t="n">
        <f aca="false">IF(OR($K80="",$U80=""),"",$K80-$U80)</f>
        <v>0.0512411088121164</v>
      </c>
      <c r="W80" s="17" t="n">
        <f aca="true">IFERROR(IF(ISBLANK(INDIRECT("'"&amp;$Q$2&amp;"'!O"&amp;ROW())),"",INDIRECT("'"&amp;$Q$2&amp;"'!O"&amp;ROW())),"")</f>
        <v>0</v>
      </c>
      <c r="X80" s="17" t="n">
        <f aca="false">IF(OR($O80="",$W80=""),"",$O80-$W80)</f>
        <v>22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79</v>
      </c>
      <c r="D81" s="32" t="n">
        <v>65875</v>
      </c>
      <c r="E81" s="32" t="n">
        <f aca="true">IF($D81="","",IFERROR(IF(ISBLANK(INDIRECT("'"&amp;$Q$2&amp;"'!D"&amp;ROW())),"",INDIRECT("'"&amp;$Q$2&amp;"'!D"&amp;ROW())),""))</f>
        <v>80151</v>
      </c>
      <c r="F81" s="33" t="n">
        <f aca="false">IF(OR(D81="",E81=""),"",D81-E81)</f>
        <v>-14276</v>
      </c>
      <c r="G81" s="34" t="n">
        <f aca="false">IFERROR(F81/E81,"")</f>
        <v>-0.178113810183279</v>
      </c>
      <c r="H81" s="32" t="n">
        <v>1425</v>
      </c>
      <c r="I81" s="32" t="n">
        <f aca="true">IF($H81="","",IFERROR(IF(ISBLANK(INDIRECT("'"&amp;$Q$2&amp;"'!H"&amp;ROW())),"",INDIRECT("'"&amp;$Q$2&amp;"'!H"&amp;ROW())),""))</f>
        <v>1699</v>
      </c>
      <c r="J81" s="33" t="n">
        <f aca="false">IF(OR(H81="",I81=""),"",H81-I81)</f>
        <v>-274</v>
      </c>
      <c r="K81" s="34" t="n">
        <f aca="false">IFERROR(J81/I81,"")</f>
        <v>-0.161271336080047</v>
      </c>
      <c r="L81" s="32" t="n">
        <f aca="false">IFERROR(D81/C81,"")</f>
        <v>833.860759493671</v>
      </c>
      <c r="M81" s="32" t="n">
        <f aca="false">IFERROR(H81/D81*1000,"")</f>
        <v>21.6318785578748</v>
      </c>
      <c r="N81" s="32" t="n">
        <v>2536</v>
      </c>
      <c r="O81" s="33" t="n">
        <f aca="true">IFERROR(IF(OR(N81="",ISBLANK(INDIRECT("'"&amp;$Q$2&amp;"'!N"&amp;ROW()))),"",N81-INDIRECT("'"&amp;$Q$2&amp;"'!N"&amp;ROW())),"")</f>
        <v>23</v>
      </c>
      <c r="P81" s="3"/>
      <c r="Q81" s="3"/>
      <c r="R81" s="3"/>
      <c r="S81" s="15" t="n">
        <f aca="true">IFERROR(IF(ISBLANK(INDIRECT("'"&amp;$Q$2&amp;"'!G"&amp;ROW())),"",INDIRECT("'"&amp;$Q$2&amp;"'!G"&amp;ROW())),"")</f>
        <v>-0.191186413312209</v>
      </c>
      <c r="T81" s="16" t="n">
        <f aca="false">IF(OR($G81="",$S81=""),"",$G81-$S81)</f>
        <v>0.0130726031289302</v>
      </c>
      <c r="U81" s="15" t="n">
        <f aca="true">IFERROR(IF(ISBLANK(INDIRECT("'"&amp;$Q$2&amp;"'!K"&amp;ROW())),"",INDIRECT("'"&amp;$Q$2&amp;"'!K"&amp;ROW())),"")</f>
        <v>-0.144511581067472</v>
      </c>
      <c r="V81" s="16" t="n">
        <f aca="false">IF(OR($K81="",$U81=""),"",$K81-$U81)</f>
        <v>-0.0167597550125748</v>
      </c>
      <c r="W81" s="17" t="n">
        <f aca="true">IFERROR(IF(ISBLANK(INDIRECT("'"&amp;$Q$2&amp;"'!O"&amp;ROW())),"",INDIRECT("'"&amp;$Q$2&amp;"'!O"&amp;ROW())),"")</f>
        <v>9</v>
      </c>
      <c r="X81" s="17" t="n">
        <f aca="false">IF(OR($O81="",$W81=""),"",$O81-$W81)</f>
        <v>14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93</v>
      </c>
      <c r="D82" s="32" t="n">
        <v>158096</v>
      </c>
      <c r="E82" s="32" t="n">
        <f aca="true">IF($D82="","",IFERROR(IF(ISBLANK(INDIRECT("'"&amp;$Q$2&amp;"'!D"&amp;ROW())),"",INDIRECT("'"&amp;$Q$2&amp;"'!D"&amp;ROW())),""))</f>
        <v>154133</v>
      </c>
      <c r="F82" s="33" t="n">
        <f aca="false">IF(OR(D82="",E82=""),"",D82-E82)</f>
        <v>3963</v>
      </c>
      <c r="G82" s="34" t="n">
        <f aca="false">IFERROR(F82/E82,"")</f>
        <v>0.0257115607948979</v>
      </c>
      <c r="H82" s="32" t="n">
        <v>3293</v>
      </c>
      <c r="I82" s="32" t="n">
        <f aca="true">IF($H82="","",IFERROR(IF(ISBLANK(INDIRECT("'"&amp;$Q$2&amp;"'!H"&amp;ROW())),"",INDIRECT("'"&amp;$Q$2&amp;"'!H"&amp;ROW())),""))</f>
        <v>3296</v>
      </c>
      <c r="J82" s="33" t="n">
        <f aca="false">IF(OR(H82="",I82=""),"",H82-I82)</f>
        <v>-3</v>
      </c>
      <c r="K82" s="34" t="n">
        <f aca="false">IFERROR(J82/I82,"")</f>
        <v>-0.000910194174757282</v>
      </c>
      <c r="L82" s="32" t="n">
        <f aca="false">IFERROR(D82/C82,"")</f>
        <v>1699.95698924731</v>
      </c>
      <c r="M82" s="32" t="n">
        <f aca="false">IFERROR(H82/D82*1000,"")</f>
        <v>20.8291164861856</v>
      </c>
      <c r="N82" s="32" t="n">
        <v>3811</v>
      </c>
      <c r="O82" s="33" t="n">
        <f aca="true">IFERROR(IF(OR(N82="",ISBLANK(INDIRECT("'"&amp;$Q$2&amp;"'!N"&amp;ROW()))),"",N82-INDIRECT("'"&amp;$Q$2&amp;"'!N"&amp;ROW())),"")</f>
        <v>47</v>
      </c>
      <c r="P82" s="3"/>
      <c r="Q82" s="3"/>
      <c r="R82" s="3"/>
      <c r="S82" s="15" t="n">
        <f aca="true">IFERROR(IF(ISBLANK(INDIRECT("'"&amp;$Q$2&amp;"'!G"&amp;ROW())),"",INDIRECT("'"&amp;$Q$2&amp;"'!G"&amp;ROW())),"")</f>
        <v>-0.202796081554965</v>
      </c>
      <c r="T82" s="16" t="n">
        <f aca="false">IF(OR($G82="",$S82=""),"",$G82-$S82)</f>
        <v>0.228507642349863</v>
      </c>
      <c r="U82" s="15" t="n">
        <f aca="true">IFERROR(IF(ISBLANK(INDIRECT("'"&amp;$Q$2&amp;"'!K"&amp;ROW())),"",INDIRECT("'"&amp;$Q$2&amp;"'!K"&amp;ROW())),"")</f>
        <v>-0.110151187904968</v>
      </c>
      <c r="V82" s="16" t="n">
        <f aca="false">IF(OR($K82="",$U82=""),"",$K82-$U82)</f>
        <v>0.10924099373021</v>
      </c>
      <c r="W82" s="17" t="n">
        <f aca="true">IFERROR(IF(ISBLANK(INDIRECT("'"&amp;$Q$2&amp;"'!O"&amp;ROW())),"",INDIRECT("'"&amp;$Q$2&amp;"'!O"&amp;ROW())),"")</f>
        <v>52</v>
      </c>
      <c r="X82" s="17" t="n">
        <f aca="false">IF(OR($O82="",$W82=""),"",$O82-$W82)</f>
        <v>-5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132</v>
      </c>
      <c r="D83" s="32" t="n">
        <v>79662</v>
      </c>
      <c r="E83" s="32" t="n">
        <f aca="true">IF($D83="","",IFERROR(IF(ISBLANK(INDIRECT("'"&amp;$Q$2&amp;"'!D"&amp;ROW())),"",INDIRECT("'"&amp;$Q$2&amp;"'!D"&amp;ROW())),""))</f>
        <v>85318</v>
      </c>
      <c r="F83" s="33" t="n">
        <f aca="false">IF(OR(D83="",E83=""),"",D83-E83)</f>
        <v>-5656</v>
      </c>
      <c r="G83" s="34" t="n">
        <f aca="false">IFERROR(F83/E83,"")</f>
        <v>-0.0662931620525563</v>
      </c>
      <c r="H83" s="32" t="n">
        <v>598</v>
      </c>
      <c r="I83" s="32" t="n">
        <f aca="true">IF($H83="","",IFERROR(IF(ISBLANK(INDIRECT("'"&amp;$Q$2&amp;"'!H"&amp;ROW())),"",INDIRECT("'"&amp;$Q$2&amp;"'!H"&amp;ROW())),""))</f>
        <v>546</v>
      </c>
      <c r="J83" s="33" t="n">
        <f aca="false">IF(OR(H83="",I83=""),"",H83-I83)</f>
        <v>52</v>
      </c>
      <c r="K83" s="34" t="n">
        <f aca="false">IFERROR(J83/I83,"")</f>
        <v>0.0952380952380952</v>
      </c>
      <c r="L83" s="32" t="n">
        <f aca="false">IFERROR(D83/C83,"")</f>
        <v>603.5</v>
      </c>
      <c r="M83" s="32" t="n">
        <f aca="false">IFERROR(H83/D83*1000,"")</f>
        <v>7.50671587457006</v>
      </c>
      <c r="N83" s="32" t="n">
        <v>1815</v>
      </c>
      <c r="O83" s="33" t="n">
        <f aca="true">IFERROR(IF(OR(N83="",ISBLANK(INDIRECT("'"&amp;$Q$2&amp;"'!N"&amp;ROW()))),"",N83-INDIRECT("'"&amp;$Q$2&amp;"'!N"&amp;ROW())),"")</f>
        <v>18</v>
      </c>
      <c r="P83" s="3"/>
      <c r="Q83" s="3"/>
      <c r="R83" s="3"/>
      <c r="S83" s="15" t="n">
        <f aca="true">IFERROR(IF(ISBLANK(INDIRECT("'"&amp;$Q$2&amp;"'!G"&amp;ROW())),"",INDIRECT("'"&amp;$Q$2&amp;"'!G"&amp;ROW())),"")</f>
        <v>-0.125625153726326</v>
      </c>
      <c r="T83" s="16" t="n">
        <f aca="false">IF(OR($G83="",$S83=""),"",$G83-$S83)</f>
        <v>0.0593319916737698</v>
      </c>
      <c r="U83" s="15" t="n">
        <f aca="true">IFERROR(IF(ISBLANK(INDIRECT("'"&amp;$Q$2&amp;"'!K"&amp;ROW())),"",INDIRECT("'"&amp;$Q$2&amp;"'!K"&amp;ROW())),"")</f>
        <v>-0.157407407407407</v>
      </c>
      <c r="V83" s="16" t="n">
        <f aca="false">IF(OR($K83="",$U83=""),"",$K83-$U83)</f>
        <v>0.252645502645503</v>
      </c>
      <c r="W83" s="17" t="n">
        <f aca="true">IFERROR(IF(ISBLANK(INDIRECT("'"&amp;$Q$2&amp;"'!O"&amp;ROW())),"",INDIRECT("'"&amp;$Q$2&amp;"'!O"&amp;ROW())),"")</f>
        <v>0</v>
      </c>
      <c r="X83" s="17" t="n">
        <f aca="false">IF(OR($O83="",$W83=""),"",$O83-$W83)</f>
        <v>18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25284</v>
      </c>
      <c r="E84" s="32" t="n">
        <f aca="true">IF($D84="","",IFERROR(IF(ISBLANK(INDIRECT("'"&amp;$Q$2&amp;"'!D"&amp;ROW())),"",INDIRECT("'"&amp;$Q$2&amp;"'!D"&amp;ROW())),""))</f>
        <v>27813</v>
      </c>
      <c r="F84" s="33" t="n">
        <f aca="false">IF(OR(D84="",E84=""),"",D84-E84)</f>
        <v>-2529</v>
      </c>
      <c r="G84" s="34" t="n">
        <f aca="false">IFERROR(F84/E84,"")</f>
        <v>-0.09092870240535</v>
      </c>
      <c r="H84" s="32" t="n">
        <v>310</v>
      </c>
      <c r="I84" s="32" t="n">
        <f aca="true">IF($H84="","",IFERROR(IF(ISBLANK(INDIRECT("'"&amp;$Q$2&amp;"'!H"&amp;ROW())),"",INDIRECT("'"&amp;$Q$2&amp;"'!H"&amp;ROW())),""))</f>
        <v>400</v>
      </c>
      <c r="J84" s="33" t="n">
        <f aca="false">IF(OR(H84="",I84=""),"",H84-I84)</f>
        <v>-90</v>
      </c>
      <c r="K84" s="34" t="n">
        <f aca="false">IFERROR(J84/I84,"")</f>
        <v>-0.225</v>
      </c>
      <c r="L84" s="32" t="n">
        <f aca="false">IFERROR(D84/C84,"")</f>
        <v>252.84</v>
      </c>
      <c r="M84" s="32" t="n">
        <f aca="false">IFERROR(H84/D84*1000,"")</f>
        <v>12.2607182407847</v>
      </c>
      <c r="N84" s="32" t="n">
        <v>765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-0.276776659645838</v>
      </c>
      <c r="T84" s="16" t="n">
        <f aca="false">IF(OR($G84="",$S84=""),"",$G84-$S84)</f>
        <v>0.185847957240488</v>
      </c>
      <c r="U84" s="15" t="n">
        <f aca="true">IFERROR(IF(ISBLANK(INDIRECT("'"&amp;$Q$2&amp;"'!K"&amp;ROW())),"",INDIRECT("'"&amp;$Q$2&amp;"'!K"&amp;ROW())),"")</f>
        <v>-0.130434782608696</v>
      </c>
      <c r="V84" s="16" t="n">
        <f aca="false">IF(OR($K84="",$U84=""),"",$K84-$U84)</f>
        <v>-0.0945652173913044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0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65</v>
      </c>
      <c r="D85" s="32" t="n">
        <v>8543</v>
      </c>
      <c r="E85" s="32" t="n">
        <f aca="true">IF($D85="","",IFERROR(IF(ISBLANK(INDIRECT("'"&amp;$Q$2&amp;"'!D"&amp;ROW())),"",INDIRECT("'"&amp;$Q$2&amp;"'!D"&amp;ROW())),""))</f>
        <v>8781</v>
      </c>
      <c r="F85" s="33" t="n">
        <f aca="false">IF(OR(D85="",E85=""),"",D85-E85)</f>
        <v>-238</v>
      </c>
      <c r="G85" s="34" t="n">
        <f aca="false">IFERROR(F85/E85,"")</f>
        <v>-0.027103974490377</v>
      </c>
      <c r="H85" s="32" t="n">
        <v>573</v>
      </c>
      <c r="I85" s="32" t="n">
        <f aca="true">IF($H85="","",IFERROR(IF(ISBLANK(INDIRECT("'"&amp;$Q$2&amp;"'!H"&amp;ROW())),"",INDIRECT("'"&amp;$Q$2&amp;"'!H"&amp;ROW())),""))</f>
        <v>612</v>
      </c>
      <c r="J85" s="33" t="n">
        <f aca="false">IF(OR(H85="",I85=""),"",H85-I85)</f>
        <v>-39</v>
      </c>
      <c r="K85" s="34" t="n">
        <f aca="false">IFERROR(J85/I85,"")</f>
        <v>-0.0637254901960784</v>
      </c>
      <c r="L85" s="32" t="n">
        <f aca="false">IFERROR(D85/C85,"")</f>
        <v>131.430769230769</v>
      </c>
      <c r="M85" s="32" t="n">
        <f aca="false">IFERROR(H85/D85*1000,"")</f>
        <v>67.0724569823247</v>
      </c>
      <c r="N85" s="32" t="n">
        <v>319</v>
      </c>
      <c r="O85" s="33" t="n">
        <f aca="true">IFERROR(IF(OR(N85="",ISBLANK(INDIRECT("'"&amp;$Q$2&amp;"'!N"&amp;ROW()))),"",N85-INDIRECT("'"&amp;$Q$2&amp;"'!N"&amp;ROW())),"")</f>
        <v>12</v>
      </c>
      <c r="P85" s="3"/>
      <c r="Q85" s="3"/>
      <c r="R85" s="3"/>
      <c r="S85" s="15" t="n">
        <f aca="true">IFERROR(IF(ISBLANK(INDIRECT("'"&amp;$Q$2&amp;"'!G"&amp;ROW())),"",INDIRECT("'"&amp;$Q$2&amp;"'!G"&amp;ROW())),"")</f>
        <v>-0.317238161884768</v>
      </c>
      <c r="T85" s="16" t="n">
        <f aca="false">IF(OR($G85="",$S85=""),"",$G85-$S85)</f>
        <v>0.290134187394391</v>
      </c>
      <c r="U85" s="15" t="n">
        <f aca="true">IFERROR(IF(ISBLANK(INDIRECT("'"&amp;$Q$2&amp;"'!K"&amp;ROW())),"",INDIRECT("'"&amp;$Q$2&amp;"'!K"&amp;ROW())),"")</f>
        <v>-0.399411187438665</v>
      </c>
      <c r="V85" s="16" t="n">
        <f aca="false">IF(OR($K85="",$U85=""),"",$K85-$U85)</f>
        <v>0.335685697242587</v>
      </c>
      <c r="W85" s="17" t="n">
        <f aca="true">IFERROR(IF(ISBLANK(INDIRECT("'"&amp;$Q$2&amp;"'!O"&amp;ROW())),"",INDIRECT("'"&amp;$Q$2&amp;"'!O"&amp;ROW())),"")</f>
        <v>8</v>
      </c>
      <c r="X85" s="17" t="n">
        <f aca="false">IF(OR($O85="",$W85=""),"",$O85-$W85)</f>
        <v>4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39387</v>
      </c>
      <c r="E86" s="32" t="n">
        <f aca="true">IF($D86="","",IFERROR(IF(ISBLANK(INDIRECT("'"&amp;$Q$2&amp;"'!D"&amp;ROW())),"",INDIRECT("'"&amp;$Q$2&amp;"'!D"&amp;ROW())),""))</f>
        <v>46599</v>
      </c>
      <c r="F86" s="33" t="n">
        <f aca="false">IF(OR(D86="",E86=""),"",D86-E86)</f>
        <v>-7212</v>
      </c>
      <c r="G86" s="34" t="n">
        <f aca="false">IFERROR(F86/E86,"")</f>
        <v>-0.154767269683899</v>
      </c>
      <c r="H86" s="32" t="n">
        <v>330</v>
      </c>
      <c r="I86" s="32" t="n">
        <f aca="true">IF($H86="","",IFERROR(IF(ISBLANK(INDIRECT("'"&amp;$Q$2&amp;"'!H"&amp;ROW())),"",INDIRECT("'"&amp;$Q$2&amp;"'!H"&amp;ROW())),""))</f>
        <v>423</v>
      </c>
      <c r="J86" s="33" t="n">
        <f aca="false">IF(OR(H86="",I86=""),"",H86-I86)</f>
        <v>-93</v>
      </c>
      <c r="K86" s="34" t="n">
        <f aca="false">IFERROR(J86/I86,"")</f>
        <v>-0.219858156028369</v>
      </c>
      <c r="L86" s="32" t="n">
        <f aca="false">IFERROR(D86/C86,"")</f>
        <v>757.442307692308</v>
      </c>
      <c r="M86" s="32" t="n">
        <f aca="false">IFERROR(H86/D86*1000,"")</f>
        <v>8.37839896412522</v>
      </c>
      <c r="N86" s="32" t="n">
        <v>1926</v>
      </c>
      <c r="O86" s="33" t="n">
        <f aca="true">IFERROR(IF(OR(N86="",ISBLANK(INDIRECT("'"&amp;$Q$2&amp;"'!N"&amp;ROW()))),"",N86-INDIRECT("'"&amp;$Q$2&amp;"'!N"&amp;ROW())),"")</f>
        <v>9</v>
      </c>
      <c r="P86" s="3"/>
      <c r="Q86" s="3"/>
      <c r="R86" s="3"/>
      <c r="S86" s="15" t="n">
        <f aca="true">IFERROR(IF(ISBLANK(INDIRECT("'"&amp;$Q$2&amp;"'!G"&amp;ROW())),"",INDIRECT("'"&amp;$Q$2&amp;"'!G"&amp;ROW())),"")</f>
        <v>-0.340004248990865</v>
      </c>
      <c r="T86" s="16" t="n">
        <f aca="false">IF(OR($G86="",$S86=""),"",$G86-$S86)</f>
        <v>0.185236979306966</v>
      </c>
      <c r="U86" s="15" t="n">
        <f aca="true">IFERROR(IF(ISBLANK(INDIRECT("'"&amp;$Q$2&amp;"'!K"&amp;ROW())),"",INDIRECT("'"&amp;$Q$2&amp;"'!K"&amp;ROW())),"")</f>
        <v>-0.191204588910134</v>
      </c>
      <c r="V86" s="16" t="n">
        <f aca="false">IF(OR($K86="",$U86=""),"",$K86-$U86)</f>
        <v>-0.028653567118235</v>
      </c>
      <c r="W86" s="17" t="n">
        <f aca="true">IFERROR(IF(ISBLANK(INDIRECT("'"&amp;$Q$2&amp;"'!O"&amp;ROW())),"",INDIRECT("'"&amp;$Q$2&amp;"'!O"&amp;ROW())),"")</f>
        <v>10</v>
      </c>
      <c r="X86" s="17" t="n">
        <f aca="false">IF(OR($O86="",$W86=""),"",$O86-$W86)</f>
        <v>-1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66</v>
      </c>
      <c r="D87" s="32" t="n">
        <v>15989</v>
      </c>
      <c r="E87" s="32" t="n">
        <f aca="true">IF($D87="","",IFERROR(IF(ISBLANK(INDIRECT("'"&amp;$Q$2&amp;"'!D"&amp;ROW())),"",INDIRECT("'"&amp;$Q$2&amp;"'!D"&amp;ROW())),""))</f>
        <v>14339</v>
      </c>
      <c r="F87" s="33" t="n">
        <f aca="false">IF(OR(D87="",E87=""),"",D87-E87)</f>
        <v>1650</v>
      </c>
      <c r="G87" s="34" t="n">
        <f aca="false">IFERROR(F87/E87,"")</f>
        <v>0.115070785968338</v>
      </c>
      <c r="H87" s="32" t="n">
        <v>109</v>
      </c>
      <c r="I87" s="32" t="n">
        <f aca="true">IF($H87="","",IFERROR(IF(ISBLANK(INDIRECT("'"&amp;$Q$2&amp;"'!H"&amp;ROW())),"",INDIRECT("'"&amp;$Q$2&amp;"'!H"&amp;ROW())),""))</f>
        <v>70</v>
      </c>
      <c r="J87" s="33" t="n">
        <f aca="false">IF(OR(H87="",I87=""),"",H87-I87)</f>
        <v>39</v>
      </c>
      <c r="K87" s="34" t="n">
        <f aca="false">IFERROR(J87/I87,"")</f>
        <v>0.557142857142857</v>
      </c>
      <c r="L87" s="32" t="n">
        <f aca="false">IFERROR(D87/C87,"")</f>
        <v>242.257575757576</v>
      </c>
      <c r="M87" s="32" t="n">
        <f aca="false">IFERROR(H87/D87*1000,"")</f>
        <v>6.81718681593596</v>
      </c>
      <c r="N87" s="32" t="n">
        <v>539</v>
      </c>
      <c r="O87" s="33" t="n">
        <f aca="true">IFERROR(IF(OR(N87="",ISBLANK(INDIRECT("'"&amp;$Q$2&amp;"'!N"&amp;ROW()))),"",N87-INDIRECT("'"&amp;$Q$2&amp;"'!N"&amp;ROW())),"")</f>
        <v>12</v>
      </c>
      <c r="P87" s="3"/>
      <c r="Q87" s="3"/>
      <c r="R87" s="3"/>
      <c r="S87" s="15" t="n">
        <f aca="true">IFERROR(IF(ISBLANK(INDIRECT("'"&amp;$Q$2&amp;"'!G"&amp;ROW())),"",INDIRECT("'"&amp;$Q$2&amp;"'!G"&amp;ROW())),"")</f>
        <v>-0.287042561654734</v>
      </c>
      <c r="T87" s="16" t="n">
        <f aca="false">IF(OR($G87="",$S87=""),"",$G87-$S87)</f>
        <v>0.402113347623072</v>
      </c>
      <c r="U87" s="15" t="n">
        <f aca="true">IFERROR(IF(ISBLANK(INDIRECT("'"&amp;$Q$2&amp;"'!K"&amp;ROW())),"",INDIRECT("'"&amp;$Q$2&amp;"'!K"&amp;ROW())),"")</f>
        <v>-0.247311827956989</v>
      </c>
      <c r="V87" s="16" t="n">
        <f aca="false">IF(OR($K87="",$U87=""),"",$K87-$U87)</f>
        <v>0.804454685099846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2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7124</v>
      </c>
      <c r="E88" s="32" t="n">
        <f aca="true">IF($D88="","",IFERROR(IF(ISBLANK(INDIRECT("'"&amp;$Q$2&amp;"'!D"&amp;ROW())),"",INDIRECT("'"&amp;$Q$2&amp;"'!D"&amp;ROW())),""))</f>
        <v>7067</v>
      </c>
      <c r="F88" s="33" t="n">
        <f aca="false">IF(OR(D88="",E88=""),"",D88-E88)</f>
        <v>57</v>
      </c>
      <c r="G88" s="34" t="n">
        <f aca="false">IFERROR(F88/E88,"")</f>
        <v>0.00806565728031697</v>
      </c>
      <c r="H88" s="32" t="n">
        <v>93</v>
      </c>
      <c r="I88" s="32" t="n">
        <f aca="true">IF($H88="","",IFERROR(IF(ISBLANK(INDIRECT("'"&amp;$Q$2&amp;"'!H"&amp;ROW())),"",INDIRECT("'"&amp;$Q$2&amp;"'!H"&amp;ROW())),""))</f>
        <v>69</v>
      </c>
      <c r="J88" s="33" t="n">
        <f aca="false">IF(OR(H88="",I88=""),"",H88-I88)</f>
        <v>24</v>
      </c>
      <c r="K88" s="34" t="n">
        <f aca="false">IFERROR(J88/I88,"")</f>
        <v>0.347826086956522</v>
      </c>
      <c r="L88" s="32" t="n">
        <f aca="false">IFERROR(D88/C88,"")</f>
        <v>237.466666666667</v>
      </c>
      <c r="M88" s="32" t="n">
        <f aca="false">IFERROR(H88/D88*1000,"")</f>
        <v>13.0544637843908</v>
      </c>
      <c r="N88" s="32" t="n">
        <v>455</v>
      </c>
      <c r="O88" s="33" t="n">
        <f aca="true">IFERROR(IF(OR(N88="",ISBLANK(INDIRECT("'"&amp;$Q$2&amp;"'!N"&amp;ROW()))),"",N88-INDIRECT("'"&amp;$Q$2&amp;"'!N"&amp;ROW())),"")</f>
        <v>15</v>
      </c>
      <c r="P88" s="3"/>
      <c r="Q88" s="3"/>
      <c r="R88" s="3"/>
      <c r="S88" s="15" t="n">
        <f aca="true">IFERROR(IF(ISBLANK(INDIRECT("'"&amp;$Q$2&amp;"'!G"&amp;ROW())),"",INDIRECT("'"&amp;$Q$2&amp;"'!G"&amp;ROW())),"")</f>
        <v>-0.290390601466011</v>
      </c>
      <c r="T88" s="16" t="n">
        <f aca="false">IF(OR($G88="",$S88=""),"",$G88-$S88)</f>
        <v>0.298456258746328</v>
      </c>
      <c r="U88" s="15" t="n">
        <f aca="true">IFERROR(IF(ISBLANK(INDIRECT("'"&amp;$Q$2&amp;"'!K"&amp;ROW())),"",INDIRECT("'"&amp;$Q$2&amp;"'!K"&amp;ROW())),"")</f>
        <v>-0.0547945205479452</v>
      </c>
      <c r="V88" s="16" t="n">
        <f aca="false">IF(OR($K88="",$U88=""),"",$K88-$U88)</f>
        <v>0.402620607504467</v>
      </c>
      <c r="W88" s="17" t="n">
        <f aca="true">IFERROR(IF(ISBLANK(INDIRECT("'"&amp;$Q$2&amp;"'!O"&amp;ROW())),"",INDIRECT("'"&amp;$Q$2&amp;"'!O"&amp;ROW())),"")</f>
        <v>10</v>
      </c>
      <c r="X88" s="17" t="n">
        <f aca="false">IF(OR($O88="",$W88=""),"",$O88-$W88)</f>
        <v>5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49</v>
      </c>
      <c r="D89" s="32" t="n">
        <v>8330</v>
      </c>
      <c r="E89" s="32" t="n">
        <f aca="true">IF($D89="","",IFERROR(IF(ISBLANK(INDIRECT("'"&amp;$Q$2&amp;"'!D"&amp;ROW())),"",INDIRECT("'"&amp;$Q$2&amp;"'!D"&amp;ROW())),""))</f>
        <v>8708</v>
      </c>
      <c r="F89" s="33" t="n">
        <f aca="false">IF(OR(D89="",E89=""),"",D89-E89)</f>
        <v>-378</v>
      </c>
      <c r="G89" s="34" t="n">
        <f aca="false">IFERROR(F89/E89,"")</f>
        <v>-0.0434083601286174</v>
      </c>
      <c r="H89" s="32" t="n">
        <v>121</v>
      </c>
      <c r="I89" s="32" t="n">
        <f aca="true">IF($H89="","",IFERROR(IF(ISBLANK(INDIRECT("'"&amp;$Q$2&amp;"'!H"&amp;ROW())),"",INDIRECT("'"&amp;$Q$2&amp;"'!H"&amp;ROW())),""))</f>
        <v>138</v>
      </c>
      <c r="J89" s="33" t="n">
        <f aca="false">IF(OR(H89="",I89=""),"",H89-I89)</f>
        <v>-17</v>
      </c>
      <c r="K89" s="34" t="n">
        <f aca="false">IFERROR(J89/I89,"")</f>
        <v>-0.123188405797101</v>
      </c>
      <c r="L89" s="32" t="n">
        <f aca="false">IFERROR(D89/C89,"")</f>
        <v>170</v>
      </c>
      <c r="M89" s="32" t="n">
        <f aca="false">IFERROR(H89/D89*1000,"")</f>
        <v>14.5258103241297</v>
      </c>
      <c r="N89" s="32" t="n">
        <v>454</v>
      </c>
      <c r="O89" s="33" t="n">
        <f aca="true">IFERROR(IF(OR(N89="",ISBLANK(INDIRECT("'"&amp;$Q$2&amp;"'!N"&amp;ROW()))),"",N89-INDIRECT("'"&amp;$Q$2&amp;"'!N"&amp;ROW())),"")</f>
        <v>4</v>
      </c>
      <c r="P89" s="3"/>
      <c r="Q89" s="3"/>
      <c r="R89" s="3"/>
      <c r="S89" s="15" t="n">
        <f aca="true">IFERROR(IF(ISBLANK(INDIRECT("'"&amp;$Q$2&amp;"'!G"&amp;ROW())),"",INDIRECT("'"&amp;$Q$2&amp;"'!G"&amp;ROW())),"")</f>
        <v>-0.33643221824278</v>
      </c>
      <c r="T89" s="16" t="n">
        <f aca="false">IF(OR($G89="",$S89=""),"",$G89-$S89)</f>
        <v>0.293023858114163</v>
      </c>
      <c r="U89" s="15" t="n">
        <f aca="true">IFERROR(IF(ISBLANK(INDIRECT("'"&amp;$Q$2&amp;"'!K"&amp;ROW())),"",INDIRECT("'"&amp;$Q$2&amp;"'!K"&amp;ROW())),"")</f>
        <v>-0.349056603773585</v>
      </c>
      <c r="V89" s="16" t="n">
        <f aca="false">IF(OR($K89="",$U89=""),"",$K89-$U89)</f>
        <v>0.225868197976483</v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3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31776</v>
      </c>
      <c r="E90" s="32" t="n">
        <f aca="true">IF($D90="","",IFERROR(IF(ISBLANK(INDIRECT("'"&amp;$Q$2&amp;"'!D"&amp;ROW())),"",INDIRECT("'"&amp;$Q$2&amp;"'!D"&amp;ROW())),""))</f>
        <v>33281</v>
      </c>
      <c r="F90" s="33" t="n">
        <f aca="false">IF(OR(D90="",E90=""),"",D90-E90)</f>
        <v>-1505</v>
      </c>
      <c r="G90" s="34" t="n">
        <f aca="false">IFERROR(F90/E90,"")</f>
        <v>-0.0452209969652354</v>
      </c>
      <c r="H90" s="32" t="n">
        <v>637</v>
      </c>
      <c r="I90" s="32" t="n">
        <f aca="true">IF($H90="","",IFERROR(IF(ISBLANK(INDIRECT("'"&amp;$Q$2&amp;"'!H"&amp;ROW())),"",INDIRECT("'"&amp;$Q$2&amp;"'!H"&amp;ROW())),""))</f>
        <v>711</v>
      </c>
      <c r="J90" s="33" t="n">
        <f aca="false">IF(OR(H90="",I90=""),"",H90-I90)</f>
        <v>-74</v>
      </c>
      <c r="K90" s="34" t="n">
        <f aca="false">IFERROR(J90/I90,"")</f>
        <v>-0.10407876230661</v>
      </c>
      <c r="L90" s="32" t="n">
        <f aca="false">IFERROR(D90/C90,"")</f>
        <v>547.862068965517</v>
      </c>
      <c r="M90" s="32" t="n">
        <f aca="false">IFERROR(H90/D90*1000,"")</f>
        <v>20.0465760322256</v>
      </c>
      <c r="N90" s="32" t="n">
        <v>1496</v>
      </c>
      <c r="O90" s="33" t="n">
        <f aca="true">IFERROR(IF(OR(N90="",ISBLANK(INDIRECT("'"&amp;$Q$2&amp;"'!N"&amp;ROW()))),"",N90-INDIRECT("'"&amp;$Q$2&amp;"'!N"&amp;ROW())),"")</f>
        <v>4</v>
      </c>
      <c r="P90" s="3"/>
      <c r="Q90" s="3"/>
      <c r="R90" s="3"/>
      <c r="S90" s="15" t="n">
        <f aca="true">IFERROR(IF(ISBLANK(INDIRECT("'"&amp;$Q$2&amp;"'!G"&amp;ROW())),"",INDIRECT("'"&amp;$Q$2&amp;"'!G"&amp;ROW())),"")</f>
        <v>-0.182104150795016</v>
      </c>
      <c r="T90" s="16" t="n">
        <f aca="false">IF(OR($G90="",$S90=""),"",$G90-$S90)</f>
        <v>0.136883153829781</v>
      </c>
      <c r="U90" s="15" t="n">
        <f aca="true">IFERROR(IF(ISBLANK(INDIRECT("'"&amp;$Q$2&amp;"'!K"&amp;ROW())),"",INDIRECT("'"&amp;$Q$2&amp;"'!K"&amp;ROW())),"")</f>
        <v>-0.251578947368421</v>
      </c>
      <c r="V90" s="16" t="n">
        <f aca="false">IF(OR($K90="",$U90=""),"",$K90-$U90)</f>
        <v>0.147500185061811</v>
      </c>
      <c r="W90" s="17" t="n">
        <f aca="true">IFERROR(IF(ISBLANK(INDIRECT("'"&amp;$Q$2&amp;"'!O"&amp;ROW())),"",INDIRECT("'"&amp;$Q$2&amp;"'!O"&amp;ROW())),"")</f>
        <v>7</v>
      </c>
      <c r="X90" s="17" t="n">
        <f aca="false">IF(OR($O90="",$W90=""),"",$O90-$W90)</f>
        <v>-3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81997</v>
      </c>
      <c r="E91" s="32" t="n">
        <f aca="true">IF($D91="","",IFERROR(IF(ISBLANK(INDIRECT("'"&amp;$Q$2&amp;"'!D"&amp;ROW())),"",INDIRECT("'"&amp;$Q$2&amp;"'!D"&amp;ROW())),""))</f>
        <v>81701</v>
      </c>
      <c r="F91" s="33" t="n">
        <f aca="false">IF(OR(D91="",E91=""),"",D91-E91)</f>
        <v>296</v>
      </c>
      <c r="G91" s="34" t="n">
        <f aca="false">IFERROR(F91/E91,"")</f>
        <v>0.00362296667115458</v>
      </c>
      <c r="H91" s="32" t="n">
        <v>987</v>
      </c>
      <c r="I91" s="32" t="n">
        <f aca="true">IF($H91="","",IFERROR(IF(ISBLANK(INDIRECT("'"&amp;$Q$2&amp;"'!H"&amp;ROW())),"",INDIRECT("'"&amp;$Q$2&amp;"'!H"&amp;ROW())),""))</f>
        <v>1051</v>
      </c>
      <c r="J91" s="33" t="n">
        <f aca="false">IF(OR(H91="",I91=""),"",H91-I91)</f>
        <v>-64</v>
      </c>
      <c r="K91" s="34" t="n">
        <f aca="false">IFERROR(J91/I91,"")</f>
        <v>-0.0608943862987631</v>
      </c>
      <c r="L91" s="32" t="n">
        <f aca="false">IFERROR(D91/C91,"")</f>
        <v>1281.203125</v>
      </c>
      <c r="M91" s="32" t="n">
        <f aca="false">IFERROR(H91/D91*1000,"")</f>
        <v>12.0370257448443</v>
      </c>
      <c r="N91" s="32" t="n">
        <v>2645</v>
      </c>
      <c r="O91" s="33" t="n">
        <f aca="true">IFERROR(IF(OR(N91="",ISBLANK(INDIRECT("'"&amp;$Q$2&amp;"'!N"&amp;ROW()))),"",N91-INDIRECT("'"&amp;$Q$2&amp;"'!N"&amp;ROW())),"")</f>
        <v>10</v>
      </c>
      <c r="P91" s="3"/>
      <c r="Q91" s="3"/>
      <c r="R91" s="3"/>
      <c r="S91" s="15" t="n">
        <f aca="true">IFERROR(IF(ISBLANK(INDIRECT("'"&amp;$Q$2&amp;"'!G"&amp;ROW())),"",INDIRECT("'"&amp;$Q$2&amp;"'!G"&amp;ROW())),"")</f>
        <v>-0.27038346818125</v>
      </c>
      <c r="T91" s="16" t="n">
        <f aca="false">IF(OR($G91="",$S91=""),"",$G91-$S91)</f>
        <v>0.274006434852404</v>
      </c>
      <c r="U91" s="15" t="n">
        <f aca="true">IFERROR(IF(ISBLANK(INDIRECT("'"&amp;$Q$2&amp;"'!K"&amp;ROW())),"",INDIRECT("'"&amp;$Q$2&amp;"'!K"&amp;ROW())),"")</f>
        <v>-0.0916162489196197</v>
      </c>
      <c r="V91" s="16" t="n">
        <f aca="false">IF(OR($K91="",$U91=""),"",$K91-$U91)</f>
        <v>0.0307218626208566</v>
      </c>
      <c r="W91" s="17" t="n">
        <f aca="true">IFERROR(IF(ISBLANK(INDIRECT("'"&amp;$Q$2&amp;"'!O"&amp;ROW())),"",INDIRECT("'"&amp;$Q$2&amp;"'!O"&amp;ROW())),"")</f>
        <v>52</v>
      </c>
      <c r="X91" s="17" t="n">
        <f aca="false">IF(OR($O91="",$W91=""),"",$O91-$W91)</f>
        <v>-42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83</v>
      </c>
      <c r="D92" s="32" t="n">
        <v>41492</v>
      </c>
      <c r="E92" s="32" t="n">
        <f aca="true">IF($D92="","",IFERROR(IF(ISBLANK(INDIRECT("'"&amp;$Q$2&amp;"'!D"&amp;ROW())),"",INDIRECT("'"&amp;$Q$2&amp;"'!D"&amp;ROW())),""))</f>
        <v>41251</v>
      </c>
      <c r="F92" s="33" t="n">
        <f aca="false">IF(OR(D92="",E92=""),"",D92-E92)</f>
        <v>241</v>
      </c>
      <c r="G92" s="34" t="n">
        <f aca="false">IFERROR(F92/E92,"")</f>
        <v>0.00584228261133063</v>
      </c>
      <c r="H92" s="32" t="n">
        <v>574</v>
      </c>
      <c r="I92" s="32" t="n">
        <f aca="true">IF($H92="","",IFERROR(IF(ISBLANK(INDIRECT("'"&amp;$Q$2&amp;"'!H"&amp;ROW())),"",INDIRECT("'"&amp;$Q$2&amp;"'!H"&amp;ROW())),""))</f>
        <v>557</v>
      </c>
      <c r="J92" s="33" t="n">
        <f aca="false">IF(OR(H92="",I92=""),"",H92-I92)</f>
        <v>17</v>
      </c>
      <c r="K92" s="34" t="n">
        <f aca="false">IFERROR(J92/I92,"")</f>
        <v>0.0305206463195691</v>
      </c>
      <c r="L92" s="32" t="n">
        <f aca="false">IFERROR(D92/C92,"")</f>
        <v>499.903614457831</v>
      </c>
      <c r="M92" s="32" t="n">
        <f aca="false">IFERROR(H92/D92*1000,"")</f>
        <v>13.8339920948617</v>
      </c>
      <c r="N92" s="32" t="n">
        <v>1217</v>
      </c>
      <c r="O92" s="33" t="n">
        <f aca="true">IFERROR(IF(OR(N92="",ISBLANK(INDIRECT("'"&amp;$Q$2&amp;"'!N"&amp;ROW()))),"",N92-INDIRECT("'"&amp;$Q$2&amp;"'!N"&amp;ROW())),"")</f>
        <v>5</v>
      </c>
      <c r="P92" s="3"/>
      <c r="Q92" s="3"/>
      <c r="R92" s="3"/>
      <c r="S92" s="15" t="n">
        <f aca="true">IFERROR(IF(ISBLANK(INDIRECT("'"&amp;$Q$2&amp;"'!G"&amp;ROW())),"",INDIRECT("'"&amp;$Q$2&amp;"'!G"&amp;ROW())),"")</f>
        <v>-0.300296836570265</v>
      </c>
      <c r="T92" s="16" t="n">
        <f aca="false">IF(OR($G92="",$S92=""),"",$G92-$S92)</f>
        <v>0.306139119181596</v>
      </c>
      <c r="U92" s="15" t="n">
        <f aca="true">IFERROR(IF(ISBLANK(INDIRECT("'"&amp;$Q$2&amp;"'!K"&amp;ROW())),"",INDIRECT("'"&amp;$Q$2&amp;"'!K"&amp;ROW())),"")</f>
        <v>-0.132398753894081</v>
      </c>
      <c r="V92" s="16" t="n">
        <f aca="false">IF(OR($K92="",$U92=""),"",$K92-$U92)</f>
        <v>0.16291940021365</v>
      </c>
      <c r="W92" s="17" t="n">
        <f aca="true">IFERROR(IF(ISBLANK(INDIRECT("'"&amp;$Q$2&amp;"'!O"&amp;ROW())),"",INDIRECT("'"&amp;$Q$2&amp;"'!O"&amp;ROW())),"")</f>
        <v>1</v>
      </c>
      <c r="X92" s="17" t="n">
        <f aca="false">IF(OR($O92="",$W92=""),"",$O92-$W92)</f>
        <v>4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8518</v>
      </c>
      <c r="E93" s="32" t="n">
        <f aca="true">IF($D93="","",IFERROR(IF(ISBLANK(INDIRECT("'"&amp;$Q$2&amp;"'!D"&amp;ROW())),"",INDIRECT("'"&amp;$Q$2&amp;"'!D"&amp;ROW())),""))</f>
        <v>8577</v>
      </c>
      <c r="F93" s="33" t="n">
        <f aca="false">IF(OR(D93="",E93=""),"",D93-E93)</f>
        <v>-59</v>
      </c>
      <c r="G93" s="34" t="n">
        <f aca="false">IFERROR(F93/E93,"")</f>
        <v>-0.00687886207298589</v>
      </c>
      <c r="H93" s="32" t="n">
        <v>706</v>
      </c>
      <c r="I93" s="32" t="n">
        <f aca="true">IF($H93="","",IFERROR(IF(ISBLANK(INDIRECT("'"&amp;$Q$2&amp;"'!H"&amp;ROW())),"",INDIRECT("'"&amp;$Q$2&amp;"'!H"&amp;ROW())),""))</f>
        <v>702</v>
      </c>
      <c r="J93" s="33" t="n">
        <f aca="false">IF(OR(H93="",I93=""),"",H93-I93)</f>
        <v>4</v>
      </c>
      <c r="K93" s="34" t="n">
        <f aca="false">IFERROR(J93/I93,"")</f>
        <v>0.0056980056980057</v>
      </c>
      <c r="L93" s="32" t="n">
        <f aca="false">IFERROR(D93/C93,"")</f>
        <v>405.619047619048</v>
      </c>
      <c r="M93" s="32" t="n">
        <f aca="false">IFERROR(H93/D93*1000,"")</f>
        <v>82.8833059403616</v>
      </c>
      <c r="N93" s="32" t="n">
        <v>1360</v>
      </c>
      <c r="O93" s="33" t="n">
        <f aca="true">IFERROR(IF(OR(N93="",ISBLANK(INDIRECT("'"&amp;$Q$2&amp;"'!N"&amp;ROW()))),"",N93-INDIRECT("'"&amp;$Q$2&amp;"'!N"&amp;ROW())),"")</f>
        <v>5</v>
      </c>
      <c r="P93" s="3"/>
      <c r="Q93" s="3"/>
      <c r="R93" s="3"/>
      <c r="S93" s="15" t="n">
        <f aca="true">IFERROR(IF(ISBLANK(INDIRECT("'"&amp;$Q$2&amp;"'!G"&amp;ROW())),"",INDIRECT("'"&amp;$Q$2&amp;"'!G"&amp;ROW())),"")</f>
        <v>-0.222816237767307</v>
      </c>
      <c r="T93" s="16" t="n">
        <f aca="false">IF(OR($G93="",$S93=""),"",$G93-$S93)</f>
        <v>0.215937375694321</v>
      </c>
      <c r="U93" s="15" t="n">
        <f aca="true">IFERROR(IF(ISBLANK(INDIRECT("'"&amp;$Q$2&amp;"'!K"&amp;ROW())),"",INDIRECT("'"&amp;$Q$2&amp;"'!K"&amp;ROW())),"")</f>
        <v>-0.0894941634241245</v>
      </c>
      <c r="V93" s="16" t="n">
        <f aca="false">IF(OR($K93="",$U93=""),"",$K93-$U93)</f>
        <v>0.0951921691221302</v>
      </c>
      <c r="W93" s="17" t="n">
        <f aca="true">IFERROR(IF(ISBLANK(INDIRECT("'"&amp;$Q$2&amp;"'!O"&amp;ROW())),"",INDIRECT("'"&amp;$Q$2&amp;"'!O"&amp;ROW())),"")</f>
        <v>-2</v>
      </c>
      <c r="X93" s="17" t="n">
        <f aca="false">IF(OR($O93="",$W93=""),"",$O93-$W93)</f>
        <v>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781</v>
      </c>
      <c r="E94" s="32" t="n">
        <f aca="true">IF($D94="","",IFERROR(IF(ISBLANK(INDIRECT("'"&amp;$Q$2&amp;"'!D"&amp;ROW())),"",INDIRECT("'"&amp;$Q$2&amp;"'!D"&amp;ROW())),""))</f>
        <v>764</v>
      </c>
      <c r="F94" s="33" t="n">
        <f aca="false">IF(OR(D94="",E94=""),"",D94-E94)</f>
        <v>17</v>
      </c>
      <c r="G94" s="34" t="n">
        <f aca="false">IFERROR(F94/E94,"")</f>
        <v>0.0222513089005236</v>
      </c>
      <c r="H94" s="32" t="n">
        <v>48</v>
      </c>
      <c r="I94" s="32" t="n">
        <f aca="true">IF($H94="","",IFERROR(IF(ISBLANK(INDIRECT("'"&amp;$Q$2&amp;"'!H"&amp;ROW())),"",INDIRECT("'"&amp;$Q$2&amp;"'!H"&amp;ROW())),""))</f>
        <v>21</v>
      </c>
      <c r="J94" s="33" t="n">
        <f aca="false">IF(OR(H94="",I94=""),"",H94-I94)</f>
        <v>27</v>
      </c>
      <c r="K94" s="34" t="n">
        <f aca="false">IFERROR(J94/I94,"")</f>
        <v>1.28571428571429</v>
      </c>
      <c r="L94" s="32" t="n">
        <f aca="false">IFERROR(D94/C94,"")</f>
        <v>111.571428571429</v>
      </c>
      <c r="M94" s="32" t="n">
        <f aca="false">IFERROR(H94/D94*1000,"")</f>
        <v>61.4596670934699</v>
      </c>
      <c r="N94" s="32" t="n">
        <v>233</v>
      </c>
      <c r="O94" s="33" t="n">
        <f aca="true">IFERROR(IF(OR(N94="",ISBLANK(INDIRECT("'"&amp;$Q$2&amp;"'!N"&amp;ROW()))),"",N94-INDIRECT("'"&amp;$Q$2&amp;"'!N"&amp;ROW())),"")</f>
        <v>3</v>
      </c>
      <c r="P94" s="3"/>
      <c r="Q94" s="3"/>
      <c r="R94" s="3"/>
      <c r="S94" s="15" t="n">
        <f aca="true">IFERROR(IF(ISBLANK(INDIRECT("'"&amp;$Q$2&amp;"'!G"&amp;ROW())),"",INDIRECT("'"&amp;$Q$2&amp;"'!G"&amp;ROW())),"")</f>
        <v>-0.146368715083799</v>
      </c>
      <c r="T94" s="16" t="n">
        <f aca="false">IF(OR($G94="",$S94=""),"",$G94-$S94)</f>
        <v>0.168620023984322</v>
      </c>
      <c r="U94" s="15" t="n">
        <f aca="true">IFERROR(IF(ISBLANK(INDIRECT("'"&amp;$Q$2&amp;"'!K"&amp;ROW())),"",INDIRECT("'"&amp;$Q$2&amp;"'!K"&amp;ROW())),"")</f>
        <v>-0.487804878048781</v>
      </c>
      <c r="V94" s="16" t="n">
        <f aca="false">IF(OR($K94="",$U94=""),"",$K94-$U94)</f>
        <v>1.77351916376307</v>
      </c>
      <c r="W94" s="17" t="n">
        <f aca="true">IFERROR(IF(ISBLANK(INDIRECT("'"&amp;$Q$2&amp;"'!O"&amp;ROW())),"",INDIRECT("'"&amp;$Q$2&amp;"'!O"&amp;ROW())),"")</f>
        <v>-4</v>
      </c>
      <c r="X94" s="17" t="n">
        <f aca="false">IF(OR($O94="",$W94=""),"",$O94-$W94)</f>
        <v>7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9</v>
      </c>
      <c r="D95" s="32" t="n">
        <v>4046</v>
      </c>
      <c r="E95" s="32" t="n">
        <f aca="true">IF($D95="","",IFERROR(IF(ISBLANK(INDIRECT("'"&amp;$Q$2&amp;"'!D"&amp;ROW())),"",INDIRECT("'"&amp;$Q$2&amp;"'!D"&amp;ROW())),""))</f>
        <v>4119</v>
      </c>
      <c r="F95" s="33" t="n">
        <f aca="false">IF(OR(D95="",E95=""),"",D95-E95)</f>
        <v>-73</v>
      </c>
      <c r="G95" s="34" t="n">
        <f aca="false">IFERROR(F95/E95,"")</f>
        <v>-0.017722748239864</v>
      </c>
      <c r="H95" s="32" t="n">
        <v>107</v>
      </c>
      <c r="I95" s="32" t="n">
        <f aca="true">IF($H95="","",IFERROR(IF(ISBLANK(INDIRECT("'"&amp;$Q$2&amp;"'!H"&amp;ROW())),"",INDIRECT("'"&amp;$Q$2&amp;"'!H"&amp;ROW())),""))</f>
        <v>95</v>
      </c>
      <c r="J95" s="33" t="n">
        <f aca="false">IF(OR(H95="",I95=""),"",H95-I95)</f>
        <v>12</v>
      </c>
      <c r="K95" s="34" t="n">
        <f aca="false">IFERROR(J95/I95,"")</f>
        <v>0.126315789473684</v>
      </c>
      <c r="L95" s="32" t="n">
        <f aca="false">IFERROR(D95/C95,"")</f>
        <v>449.555555555556</v>
      </c>
      <c r="M95" s="32" t="n">
        <f aca="false">IFERROR(H95/D95*1000,"")</f>
        <v>26.4458724666337</v>
      </c>
      <c r="N95" s="32" t="n">
        <v>346</v>
      </c>
      <c r="O95" s="33" t="n">
        <f aca="true">IFERROR(IF(OR(N95="",ISBLANK(INDIRECT("'"&amp;$Q$2&amp;"'!N"&amp;ROW()))),"",N95-INDIRECT("'"&amp;$Q$2&amp;"'!N"&amp;ROW())),"")</f>
        <v>12</v>
      </c>
      <c r="P95" s="3"/>
      <c r="Q95" s="3"/>
      <c r="R95" s="3"/>
      <c r="S95" s="15" t="n">
        <f aca="true">IFERROR(IF(ISBLANK(INDIRECT("'"&amp;$Q$2&amp;"'!G"&amp;ROW())),"",INDIRECT("'"&amp;$Q$2&amp;"'!G"&amp;ROW())),"")</f>
        <v>0.958630527817404</v>
      </c>
      <c r="T95" s="16" t="n">
        <f aca="false">IF(OR($G95="",$S95=""),"",$G95-$S95)</f>
        <v>-0.976353276057268</v>
      </c>
      <c r="U95" s="15" t="n">
        <f aca="true">IFERROR(IF(ISBLANK(INDIRECT("'"&amp;$Q$2&amp;"'!K"&amp;ROW())),"",INDIRECT("'"&amp;$Q$2&amp;"'!K"&amp;ROW())),"")</f>
        <v>0.666666666666667</v>
      </c>
      <c r="V95" s="16" t="n">
        <f aca="false">IF(OR($K95="",$U95=""),"",$K95-$U95)</f>
        <v>-0.540350877192982</v>
      </c>
      <c r="W95" s="17" t="n">
        <f aca="true">IFERROR(IF(ISBLANK(INDIRECT("'"&amp;$Q$2&amp;"'!O"&amp;ROW())),"",INDIRECT("'"&amp;$Q$2&amp;"'!O"&amp;ROW())),"")</f>
        <v>26</v>
      </c>
      <c r="X95" s="17" t="n">
        <f aca="false">IF(OR($O95="",$W95=""),"",$O95-$W95)</f>
        <v>-14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1380</v>
      </c>
      <c r="D96" s="36" t="n">
        <f aca="false">SUM(D75:D95)</f>
        <v>940640</v>
      </c>
      <c r="E96" s="36" t="n">
        <f aca="false">SUM(E75:E95)</f>
        <v>1003512</v>
      </c>
      <c r="F96" s="37" t="n">
        <f aca="false">SUM(F75:F95)</f>
        <v>-62872</v>
      </c>
      <c r="G96" s="38" t="n">
        <f aca="false">IF(C96=0,"",IFERROR(F96/E96,""))</f>
        <v>-0.0626519662943742</v>
      </c>
      <c r="H96" s="36" t="n">
        <f aca="false">SUM(H75:H95)</f>
        <v>13037</v>
      </c>
      <c r="I96" s="36" t="n">
        <f aca="false">SUM(I75:I95)</f>
        <v>13864</v>
      </c>
      <c r="J96" s="37" t="n">
        <f aca="false">SUM(J75:J95)</f>
        <v>-827</v>
      </c>
      <c r="K96" s="38" t="n">
        <f aca="false">IF(C96=0,"",IFERROR(J96/I96,""))</f>
        <v>-0.0596508944027698</v>
      </c>
      <c r="L96" s="36" t="n">
        <f aca="false">IFERROR(D96/C96,"")</f>
        <v>681.623188405797</v>
      </c>
      <c r="M96" s="36" t="n">
        <f aca="false">IFERROR(H96/D96*1000,"")</f>
        <v>13.8597125361456</v>
      </c>
      <c r="N96" s="36" t="n">
        <f aca="false">SUM(N75:N95)</f>
        <v>31568</v>
      </c>
      <c r="O96" s="37" t="n">
        <f aca="false">SUM(O75:O95)</f>
        <v>270</v>
      </c>
      <c r="P96" s="3"/>
      <c r="Q96" s="3"/>
      <c r="R96" s="3"/>
      <c r="S96" s="23" t="n">
        <f aca="true">IFERROR(IF(ISBLANK(INDIRECT("'"&amp;$Q$2&amp;"'!G"&amp;ROW())),"",INDIRECT("'"&amp;$Q$2&amp;"'!G"&amp;ROW())),"")</f>
        <v>-0.18968951792957</v>
      </c>
      <c r="T96" s="24" t="n">
        <f aca="false">IF(OR($G96="",$S96=""),"",$G96-$S96)</f>
        <v>0.127037551635196</v>
      </c>
      <c r="U96" s="23" t="n">
        <f aca="true">IFERROR(IF(ISBLANK(INDIRECT("'"&amp;$Q$2&amp;"'!K"&amp;ROW())),"",INDIRECT("'"&amp;$Q$2&amp;"'!K"&amp;ROW())),"")</f>
        <v>-0.145832049781283</v>
      </c>
      <c r="V96" s="24" t="n">
        <f aca="false">IF(OR($K96="",$U96=""),"",$K96-$U96)</f>
        <v>0.086181155378513</v>
      </c>
      <c r="W96" s="25" t="n">
        <f aca="true">IFERROR(IF(ISBLANK(INDIRECT("'"&amp;$Q$2&amp;"'!O"&amp;ROW())),"",INDIRECT("'"&amp;$Q$2&amp;"'!O"&amp;ROW())),"")</f>
        <v>242</v>
      </c>
      <c r="X96" s="25" t="n">
        <f aca="false">IF(OR(C96=0,$O96="",$W96=""),"",$O96-$W96)</f>
        <v>28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6216</v>
      </c>
      <c r="D97" s="40" t="n">
        <f aca="false">D30+D51+D74+D96</f>
        <v>6681698</v>
      </c>
      <c r="E97" s="40" t="n">
        <f aca="false">E30+E51+E74+E96</f>
        <v>5874642</v>
      </c>
      <c r="F97" s="41" t="n">
        <f aca="false">F30+F51+F74+F96</f>
        <v>753765</v>
      </c>
      <c r="G97" s="42" t="n">
        <f aca="false">IF(OR(C30=0,C51=0,C74=0,C96=0),"",IFERROR(F97/E97,""))</f>
        <v>0.12830824414492</v>
      </c>
      <c r="H97" s="40" t="n">
        <f aca="false">H30+H51+H74+H96</f>
        <v>51376</v>
      </c>
      <c r="I97" s="40" t="n">
        <f aca="false">I30+I51+I74+I96</f>
        <v>47610</v>
      </c>
      <c r="J97" s="41" t="n">
        <f aca="false">J30+J51+J74+J96</f>
        <v>2843</v>
      </c>
      <c r="K97" s="42" t="n">
        <f aca="false">IF(OR(C30=0,C51=0,C74=0,C96=0),"",IFERROR(J97/I97,""))</f>
        <v>0.0597143457256879</v>
      </c>
      <c r="L97" s="40" t="n">
        <f aca="false">IFERROR(D97/C97,"")</f>
        <v>1074.91924066924</v>
      </c>
      <c r="M97" s="40" t="n">
        <f aca="false">IFERROR(H97/D97*1000,"")</f>
        <v>7.68906346859735</v>
      </c>
      <c r="N97" s="40" t="n">
        <f aca="false">N30+N51+N74+N96</f>
        <v>702900</v>
      </c>
      <c r="O97" s="41" t="n">
        <f aca="false">O30+O51+O74+O96</f>
        <v>1171</v>
      </c>
      <c r="P97" s="3"/>
      <c r="Q97" s="3"/>
      <c r="R97" s="3"/>
      <c r="S97" s="23" t="n">
        <f aca="true">IFERROR(IF(ISBLANK(INDIRECT("'"&amp;$Q$2&amp;"'!G"&amp;ROW())),"",INDIRECT("'"&amp;$Q$2&amp;"'!G"&amp;ROW())),"")</f>
        <v>0.0437743902742371</v>
      </c>
      <c r="T97" s="24" t="n">
        <f aca="false">IF(OR($G97="",$S97=""),"",$G97-$S97)</f>
        <v>0.0845338538706827</v>
      </c>
      <c r="U97" s="23" t="n">
        <f aca="true">IFERROR(IF(ISBLANK(INDIRECT("'"&amp;$Q$2&amp;"'!K"&amp;ROW())),"",INDIRECT("'"&amp;$Q$2&amp;"'!K"&amp;ROW())),"")</f>
        <v>-0.113935829673193</v>
      </c>
      <c r="V97" s="24" t="n">
        <f aca="false">IF(OR($K97="",$U97=""),"",$K97-$U97)</f>
        <v>0.173650175398881</v>
      </c>
      <c r="W97" s="25" t="n">
        <f aca="true">IFERROR(IF(ISBLANK(INDIRECT("'"&amp;$Q$2&amp;"'!O"&amp;ROW())),"",INDIRECT("'"&amp;$Q$2&amp;"'!O"&amp;ROW())),"")</f>
        <v>774</v>
      </c>
      <c r="X97" s="25" t="n">
        <f aca="false">IF(OR(C30=0,C51=0,C74=0,C96=0),"",$O97-$W97)</f>
        <v>397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76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114</v>
      </c>
      <c r="D3" s="32" t="n">
        <v>1913477</v>
      </c>
      <c r="E3" s="32" t="n">
        <f aca="true">IF($D3="","",IFERROR(IF(ISBLANK(INDIRECT("'"&amp;$Q$2&amp;"'!D"&amp;ROW())),"",INDIRECT("'"&amp;$Q$2&amp;"'!D"&amp;ROW())),""))</f>
        <v>516875</v>
      </c>
      <c r="F3" s="33" t="n">
        <f aca="false">IF(OR(D3="",E3=""),"",D3-E3)</f>
        <v>1396602</v>
      </c>
      <c r="G3" s="34" t="n">
        <f aca="false">IFERROR(F3/E3,"")</f>
        <v>2.70201112454655</v>
      </c>
      <c r="H3" s="32" t="n">
        <v>4474</v>
      </c>
      <c r="I3" s="32" t="n">
        <f aca="true">IF($H3="","",IFERROR(IF(ISBLANK(INDIRECT("'"&amp;$Q$2&amp;"'!H"&amp;ROW())),"",INDIRECT("'"&amp;$Q$2&amp;"'!H"&amp;ROW())),""))</f>
        <v>1943</v>
      </c>
      <c r="J3" s="33" t="n">
        <f aca="false">IF(OR(H3="",I3=""),"",H3-I3)</f>
        <v>2531</v>
      </c>
      <c r="K3" s="34" t="n">
        <f aca="false">IFERROR(J3/I3,"")</f>
        <v>1.30262480699949</v>
      </c>
      <c r="L3" s="32" t="n">
        <f aca="false">IFERROR(D3/C3,"")</f>
        <v>16784.8859649123</v>
      </c>
      <c r="M3" s="32" t="n">
        <f aca="false">IFERROR(H3/D3*1000,"")</f>
        <v>2.33815196106355</v>
      </c>
      <c r="N3" s="32" t="n">
        <v>89358</v>
      </c>
      <c r="O3" s="33" t="n">
        <f aca="true">IFERROR(IF(OR(N3="",ISBLANK(INDIRECT("'"&amp;$Q$2&amp;"'!N"&amp;ROW()))),"",N3-INDIRECT("'"&amp;$Q$2&amp;"'!N"&amp;ROW())),"")</f>
        <v>282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0.407730500123921</v>
      </c>
      <c r="T3" s="16" t="n">
        <f aca="false">IF(OR($G3="",$S3=""),"",$G3-$S3)</f>
        <v>2.29428062442263</v>
      </c>
      <c r="U3" s="15" t="n">
        <f aca="true">IFERROR(IF(ISBLANK(INDIRECT("'"&amp;$Q$2&amp;"'!K"&amp;ROW())),"",INDIRECT("'"&amp;$Q$2&amp;"'!K"&amp;ROW())),"")</f>
        <v>0.328092959671907</v>
      </c>
      <c r="V3" s="16" t="n">
        <f aca="false">IF(OR($K3="",$U3=""),"",$K3-$U3)</f>
        <v>0.974531847327578</v>
      </c>
      <c r="W3" s="17" t="n">
        <f aca="true">IFERROR(IF(ISBLANK(INDIRECT("'"&amp;$Q$2&amp;"'!O"&amp;ROW())),"",INDIRECT("'"&amp;$Q$2&amp;"'!O"&amp;ROW())),"")</f>
        <v>1085</v>
      </c>
      <c r="X3" s="17" t="n">
        <f aca="false">IF(OR($O3="",$W3=""),"",$O3-$W3)</f>
        <v>-803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126444</v>
      </c>
      <c r="E4" s="32" t="n">
        <f aca="true">IF($D4="","",IFERROR(IF(ISBLANK(INDIRECT("'"&amp;$Q$2&amp;"'!D"&amp;ROW())),"",INDIRECT("'"&amp;$Q$2&amp;"'!D"&amp;ROW())),""))</f>
        <v>216205</v>
      </c>
      <c r="F4" s="33" t="n">
        <f aca="false">IF(OR(D4="",E4=""),"",D4-E4)</f>
        <v>-89761</v>
      </c>
      <c r="G4" s="34" t="n">
        <f aca="false">IFERROR(F4/E4,"")</f>
        <v>-0.415166161744641</v>
      </c>
      <c r="H4" s="32" t="n">
        <v>528</v>
      </c>
      <c r="I4" s="32" t="n">
        <f aca="true">IF($H4="","",IFERROR(IF(ISBLANK(INDIRECT("'"&amp;$Q$2&amp;"'!H"&amp;ROW())),"",INDIRECT("'"&amp;$Q$2&amp;"'!H"&amp;ROW())),""))</f>
        <v>695</v>
      </c>
      <c r="J4" s="33" t="n">
        <f aca="false">IF(OR(H4="",I4=""),"",H4-I4)</f>
        <v>-167</v>
      </c>
      <c r="K4" s="34" t="n">
        <f aca="false">IFERROR(J4/I4,"")</f>
        <v>-0.240287769784173</v>
      </c>
      <c r="L4" s="32" t="n">
        <f aca="false">IFERROR(D4/C4,"")</f>
        <v>980.186046511628</v>
      </c>
      <c r="M4" s="32" t="n">
        <f aca="false">IFERROR(H4/D4*1000,"")</f>
        <v>4.175761601974</v>
      </c>
      <c r="N4" s="32" t="n">
        <v>26260</v>
      </c>
      <c r="O4" s="33" t="n">
        <f aca="true">IFERROR(IF(OR(N4="",ISBLANK(INDIRECT("'"&amp;$Q$2&amp;"'!N"&amp;ROW()))),"",N4-INDIRECT("'"&amp;$Q$2&amp;"'!N"&amp;ROW())),"")</f>
        <v>11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0.64780348759222</v>
      </c>
      <c r="T4" s="16" t="n">
        <f aca="false">IF(OR($G4="",$S4=""),"",$G4-$S4)</f>
        <v>-1.06296964933686</v>
      </c>
      <c r="U4" s="15" t="n">
        <f aca="true">IFERROR(IF(ISBLANK(INDIRECT("'"&amp;$Q$2&amp;"'!K"&amp;ROW())),"",INDIRECT("'"&amp;$Q$2&amp;"'!K"&amp;ROW())),"")</f>
        <v>0.219298245614035</v>
      </c>
      <c r="V4" s="16" t="n">
        <f aca="false">IF(OR($K4="",$U4=""),"",$K4-$U4)</f>
        <v>-0.459586015398208</v>
      </c>
      <c r="W4" s="17" t="n">
        <f aca="true">IFERROR(IF(ISBLANK(INDIRECT("'"&amp;$Q$2&amp;"'!O"&amp;ROW())),"",INDIRECT("'"&amp;$Q$2&amp;"'!O"&amp;ROW())),"")</f>
        <v>25</v>
      </c>
      <c r="X4" s="17" t="n">
        <f aca="false">IF(OR($O4="",$W4=""),"",$O4-$W4)</f>
        <v>-14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243</v>
      </c>
      <c r="D5" s="32" t="n">
        <v>3977</v>
      </c>
      <c r="E5" s="32" t="n">
        <f aca="true">IF($D5="","",IFERROR(IF(ISBLANK(INDIRECT("'"&amp;$Q$2&amp;"'!D"&amp;ROW())),"",INDIRECT("'"&amp;$Q$2&amp;"'!D"&amp;ROW())),""))</f>
        <v>4223</v>
      </c>
      <c r="F5" s="33" t="n">
        <f aca="false">IF(OR(D5="",E5=""),"",D5-E5)</f>
        <v>-246</v>
      </c>
      <c r="G5" s="34" t="n">
        <f aca="false">IFERROR(F5/E5,"")</f>
        <v>-0.058252427184466</v>
      </c>
      <c r="H5" s="32" t="n">
        <v>12</v>
      </c>
      <c r="I5" s="32" t="n">
        <f aca="true">IF($H5="","",IFERROR(IF(ISBLANK(INDIRECT("'"&amp;$Q$2&amp;"'!H"&amp;ROW())),"",INDIRECT("'"&amp;$Q$2&amp;"'!H"&amp;ROW())),""))</f>
        <v>10</v>
      </c>
      <c r="J5" s="33" t="n">
        <f aca="false">IF(OR(H5="",I5=""),"",H5-I5)</f>
        <v>2</v>
      </c>
      <c r="K5" s="34" t="n">
        <f aca="false">IFERROR(J5/I5,"")</f>
        <v>0.2</v>
      </c>
      <c r="L5" s="32" t="n">
        <f aca="false">IFERROR(D5/C5,"")</f>
        <v>16.3662551440329</v>
      </c>
      <c r="M5" s="32" t="n">
        <f aca="false">IFERROR(H5/D5*1000,"")</f>
        <v>3.01734976112648</v>
      </c>
      <c r="N5" s="32" t="n">
        <v>3500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n">
        <f aca="true">IFERROR(IF(ISBLANK(INDIRECT("'"&amp;$Q$2&amp;"'!G"&amp;ROW())),"",INDIRECT("'"&amp;$Q$2&amp;"'!G"&amp;ROW())),"")</f>
        <v>-0.306568144499179</v>
      </c>
      <c r="T5" s="16" t="n">
        <f aca="false">IF(OR($G5="",$S5=""),"",$G5-$S5)</f>
        <v>0.248315717314713</v>
      </c>
      <c r="U5" s="15" t="n">
        <f aca="true">IFERROR(IF(ISBLANK(INDIRECT("'"&amp;$Q$2&amp;"'!K"&amp;ROW())),"",INDIRECT("'"&amp;$Q$2&amp;"'!K"&amp;ROW())),"")</f>
        <v>-0.285714285714286</v>
      </c>
      <c r="V5" s="16" t="n">
        <f aca="false">IF(OR($K5="",$U5=""),"",$K5-$U5)</f>
        <v>0.485714285714286</v>
      </c>
      <c r="W5" s="17" t="n">
        <f aca="true">IFERROR(IF(ISBLANK(INDIRECT("'"&amp;$Q$2&amp;"'!O"&amp;ROW())),"",INDIRECT("'"&amp;$Q$2&amp;"'!O"&amp;ROW())),"")</f>
        <v>-2</v>
      </c>
      <c r="X5" s="17" t="n">
        <f aca="false">IF(OR($O5="",$W5=""),"",$O5-$W5)</f>
        <v>1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63285</v>
      </c>
      <c r="E6" s="32" t="n">
        <f aca="true">IF($D6="","",IFERROR(IF(ISBLANK(INDIRECT("'"&amp;$Q$2&amp;"'!D"&amp;ROW())),"",INDIRECT("'"&amp;$Q$2&amp;"'!D"&amp;ROW())),""))</f>
        <v>52347</v>
      </c>
      <c r="F6" s="33" t="n">
        <f aca="false">IF(OR(D6="",E6=""),"",D6-E6)</f>
        <v>10938</v>
      </c>
      <c r="G6" s="34" t="n">
        <f aca="false">IFERROR(F6/E6,"")</f>
        <v>0.208951802395553</v>
      </c>
      <c r="H6" s="32" t="n">
        <v>343</v>
      </c>
      <c r="I6" s="32" t="n">
        <f aca="true">IF($H6="","",IFERROR(IF(ISBLANK(INDIRECT("'"&amp;$Q$2&amp;"'!H"&amp;ROW())),"",INDIRECT("'"&amp;$Q$2&amp;"'!H"&amp;ROW())),""))</f>
        <v>291</v>
      </c>
      <c r="J6" s="33" t="n">
        <f aca="false">IF(OR(H6="",I6=""),"",H6-I6)</f>
        <v>52</v>
      </c>
      <c r="K6" s="34" t="n">
        <f aca="false">IFERROR(J6/I6,"")</f>
        <v>0.178694158075601</v>
      </c>
      <c r="L6" s="32" t="n">
        <f aca="false">IFERROR(D6/C6,"")</f>
        <v>727.413793103448</v>
      </c>
      <c r="M6" s="32" t="n">
        <f aca="false">IFERROR(H6/D6*1000,"")</f>
        <v>5.41992573279608</v>
      </c>
      <c r="N6" s="32" t="n">
        <v>22932</v>
      </c>
      <c r="O6" s="33" t="n">
        <f aca="true">IFERROR(IF(OR(N6="",ISBLANK(INDIRECT("'"&amp;$Q$2&amp;"'!N"&amp;ROW()))),"",N6-INDIRECT("'"&amp;$Q$2&amp;"'!N"&amp;ROW())),"")</f>
        <v>1</v>
      </c>
      <c r="P6" s="3"/>
      <c r="Q6" s="3"/>
      <c r="R6" s="3"/>
      <c r="S6" s="15" t="n">
        <f aca="true">IFERROR(IF(ISBLANK(INDIRECT("'"&amp;$Q$2&amp;"'!G"&amp;ROW())),"",INDIRECT("'"&amp;$Q$2&amp;"'!G"&amp;ROW())),"")</f>
        <v>-0.0724537529236658</v>
      </c>
      <c r="T6" s="16" t="n">
        <f aca="false">IF(OR($G6="",$S6=""),"",$G6-$S6)</f>
        <v>0.281405555319219</v>
      </c>
      <c r="U6" s="15" t="n">
        <f aca="true">IFERROR(IF(ISBLANK(INDIRECT("'"&amp;$Q$2&amp;"'!K"&amp;ROW())),"",INDIRECT("'"&amp;$Q$2&amp;"'!K"&amp;ROW())),"")</f>
        <v>0.0817843866171004</v>
      </c>
      <c r="V6" s="16" t="n">
        <f aca="false">IF(OR($K6="",$U6=""),"",$K6-$U6)</f>
        <v>0.096909771458501</v>
      </c>
      <c r="W6" s="17" t="n">
        <f aca="true">IFERROR(IF(ISBLANK(INDIRECT("'"&amp;$Q$2&amp;"'!O"&amp;ROW())),"",INDIRECT("'"&amp;$Q$2&amp;"'!O"&amp;ROW())),"")</f>
        <v>-4</v>
      </c>
      <c r="X6" s="17" t="n">
        <f aca="false">IF(OR($O6="",$W6=""),"",$O6-$W6)</f>
        <v>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98</v>
      </c>
      <c r="D7" s="32" t="n">
        <v>78870</v>
      </c>
      <c r="E7" s="32" t="n">
        <f aca="true">IF($D7="","",IFERROR(IF(ISBLANK(INDIRECT("'"&amp;$Q$2&amp;"'!D"&amp;ROW())),"",INDIRECT("'"&amp;$Q$2&amp;"'!D"&amp;ROW())),""))</f>
        <v>108141</v>
      </c>
      <c r="F7" s="33" t="n">
        <f aca="false">IF(OR(D7="",E7=""),"",D7-E7)</f>
        <v>-29271</v>
      </c>
      <c r="G7" s="34" t="n">
        <f aca="false">IFERROR(F7/E7,"")</f>
        <v>-0.270674397314617</v>
      </c>
      <c r="H7" s="32" t="n">
        <v>796</v>
      </c>
      <c r="I7" s="32" t="n">
        <f aca="true">IF($H7="","",IFERROR(IF(ISBLANK(INDIRECT("'"&amp;$Q$2&amp;"'!H"&amp;ROW())),"",INDIRECT("'"&amp;$Q$2&amp;"'!H"&amp;ROW())),""))</f>
        <v>1025</v>
      </c>
      <c r="J7" s="33" t="n">
        <f aca="false">IF(OR(H7="",I7=""),"",H7-I7)</f>
        <v>-229</v>
      </c>
      <c r="K7" s="34" t="n">
        <f aca="false">IFERROR(J7/I7,"")</f>
        <v>-0.223414634146341</v>
      </c>
      <c r="L7" s="32" t="n">
        <f aca="false">IFERROR(D7/C7,"")</f>
        <v>804.795918367347</v>
      </c>
      <c r="M7" s="32" t="n">
        <f aca="false">IFERROR(H7/D7*1000,"")</f>
        <v>10.0925573728921</v>
      </c>
      <c r="N7" s="32" t="n">
        <v>24868</v>
      </c>
      <c r="O7" s="33" t="n">
        <f aca="true">IFERROR(IF(OR(N7="",ISBLANK(INDIRECT("'"&amp;$Q$2&amp;"'!N"&amp;ROW()))),"",N7-INDIRECT("'"&amp;$Q$2&amp;"'!N"&amp;ROW())),"")</f>
        <v>36</v>
      </c>
      <c r="P7" s="3"/>
      <c r="Q7" s="3"/>
      <c r="R7" s="3"/>
      <c r="S7" s="15" t="n">
        <f aca="true">IFERROR(IF(ISBLANK(INDIRECT("'"&amp;$Q$2&amp;"'!G"&amp;ROW())),"",INDIRECT("'"&amp;$Q$2&amp;"'!G"&amp;ROW())),"")</f>
        <v>0.0277511143212857</v>
      </c>
      <c r="T7" s="16" t="n">
        <f aca="false">IF(OR($G7="",$S7=""),"",$G7-$S7)</f>
        <v>-0.298425511635903</v>
      </c>
      <c r="U7" s="15" t="n">
        <f aca="true">IFERROR(IF(ISBLANK(INDIRECT("'"&amp;$Q$2&amp;"'!K"&amp;ROW())),"",INDIRECT("'"&amp;$Q$2&amp;"'!K"&amp;ROW())),"")</f>
        <v>-0.159836065573771</v>
      </c>
      <c r="V7" s="16" t="n">
        <f aca="false">IF(OR($K7="",$U7=""),"",$K7-$U7)</f>
        <v>-0.063578568572571</v>
      </c>
      <c r="W7" s="17" t="n">
        <f aca="true">IFERROR(IF(ISBLANK(INDIRECT("'"&amp;$Q$2&amp;"'!O"&amp;ROW())),"",INDIRECT("'"&amp;$Q$2&amp;"'!O"&amp;ROW())),"")</f>
        <v>317</v>
      </c>
      <c r="X7" s="17" t="n">
        <f aca="false">IF(OR($O7="",$W7=""),"",$O7-$W7)</f>
        <v>-281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87</v>
      </c>
      <c r="D8" s="32" t="n">
        <v>296983</v>
      </c>
      <c r="E8" s="32" t="n">
        <f aca="true">IF($D8="","",IFERROR(IF(ISBLANK(INDIRECT("'"&amp;$Q$2&amp;"'!D"&amp;ROW())),"",INDIRECT("'"&amp;$Q$2&amp;"'!D"&amp;ROW())),""))</f>
        <v>347976</v>
      </c>
      <c r="F8" s="33" t="n">
        <f aca="false">IF(OR(D8="",E8=""),"",D8-E8)</f>
        <v>-50993</v>
      </c>
      <c r="G8" s="34" t="n">
        <f aca="false">IFERROR(F8/E8,"")</f>
        <v>-0.146541715520611</v>
      </c>
      <c r="H8" s="32" t="n">
        <v>3566</v>
      </c>
      <c r="I8" s="32" t="n">
        <f aca="true">IF($H8="","",IFERROR(IF(ISBLANK(INDIRECT("'"&amp;$Q$2&amp;"'!H"&amp;ROW())),"",INDIRECT("'"&amp;$Q$2&amp;"'!H"&amp;ROW())),""))</f>
        <v>3740</v>
      </c>
      <c r="J8" s="33" t="n">
        <f aca="false">IF(OR(H8="",I8=""),"",H8-I8)</f>
        <v>-174</v>
      </c>
      <c r="K8" s="34" t="n">
        <f aca="false">IFERROR(J8/I8,"")</f>
        <v>-0.046524064171123</v>
      </c>
      <c r="L8" s="32" t="n">
        <f aca="false">IFERROR(D8/C8,"")</f>
        <v>3413.59770114943</v>
      </c>
      <c r="M8" s="32" t="n">
        <f aca="false">IFERROR(H8/D8*1000,"")</f>
        <v>12.0074213002091</v>
      </c>
      <c r="N8" s="32" t="n">
        <v>21744</v>
      </c>
      <c r="O8" s="33" t="n">
        <f aca="true">IFERROR(IF(OR(N8="",ISBLANK(INDIRECT("'"&amp;$Q$2&amp;"'!N"&amp;ROW()))),"",N8-INDIRECT("'"&amp;$Q$2&amp;"'!N"&amp;ROW())),"")</f>
        <v>29</v>
      </c>
      <c r="P8" s="3"/>
      <c r="Q8" s="3"/>
      <c r="R8" s="3"/>
      <c r="S8" s="15" t="n">
        <f aca="true">IFERROR(IF(ISBLANK(INDIRECT("'"&amp;$Q$2&amp;"'!G"&amp;ROW())),"",INDIRECT("'"&amp;$Q$2&amp;"'!G"&amp;ROW())),"")</f>
        <v>0.278336578376988</v>
      </c>
      <c r="T8" s="16" t="n">
        <f aca="false">IF(OR($G8="",$S8=""),"",$G8-$S8)</f>
        <v>-0.424878293897599</v>
      </c>
      <c r="U8" s="15" t="n">
        <f aca="true">IFERROR(IF(ISBLANK(INDIRECT("'"&amp;$Q$2&amp;"'!K"&amp;ROW())),"",INDIRECT("'"&amp;$Q$2&amp;"'!K"&amp;ROW())),"")</f>
        <v>-0.138645785352372</v>
      </c>
      <c r="V8" s="16" t="n">
        <f aca="false">IF(OR($K8="",$U8=""),"",$K8-$U8)</f>
        <v>0.0921217211812492</v>
      </c>
      <c r="W8" s="17" t="n">
        <f aca="true">IFERROR(IF(ISBLANK(INDIRECT("'"&amp;$Q$2&amp;"'!O"&amp;ROW())),"",INDIRECT("'"&amp;$Q$2&amp;"'!O"&amp;ROW())),"")</f>
        <v>218</v>
      </c>
      <c r="X8" s="17" t="n">
        <f aca="false">IF(OR($O8="",$W8=""),"",$O8-$W8)</f>
        <v>-189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96</v>
      </c>
      <c r="D9" s="32" t="n">
        <v>322545</v>
      </c>
      <c r="E9" s="32" t="n">
        <f aca="true">IF($D9="","",IFERROR(IF(ISBLANK(INDIRECT("'"&amp;$Q$2&amp;"'!D"&amp;ROW())),"",INDIRECT("'"&amp;$Q$2&amp;"'!D"&amp;ROW())),""))</f>
        <v>424827</v>
      </c>
      <c r="F9" s="33" t="n">
        <f aca="false">IF(OR(D9="",E9=""),"",D9-E9)</f>
        <v>-102282</v>
      </c>
      <c r="G9" s="34" t="n">
        <f aca="false">IFERROR(F9/E9,"")</f>
        <v>-0.24076153351835</v>
      </c>
      <c r="H9" s="32" t="n">
        <v>4156</v>
      </c>
      <c r="I9" s="32" t="n">
        <f aca="true">IF($H9="","",IFERROR(IF(ISBLANK(INDIRECT("'"&amp;$Q$2&amp;"'!H"&amp;ROW())),"",INDIRECT("'"&amp;$Q$2&amp;"'!H"&amp;ROW())),""))</f>
        <v>4187</v>
      </c>
      <c r="J9" s="33" t="n">
        <f aca="false">IF(OR(H9="",I9=""),"",H9-I9)</f>
        <v>-31</v>
      </c>
      <c r="K9" s="34" t="n">
        <f aca="false">IFERROR(J9/I9,"")</f>
        <v>-0.00740386911870074</v>
      </c>
      <c r="L9" s="32" t="n">
        <f aca="false">IFERROR(D9/C9,"")</f>
        <v>3359.84375</v>
      </c>
      <c r="M9" s="32" t="n">
        <f aca="false">IFERROR(H9/D9*1000,"")</f>
        <v>12.8850237951294</v>
      </c>
      <c r="N9" s="32" t="n">
        <v>31330</v>
      </c>
      <c r="O9" s="33" t="n">
        <f aca="true">IFERROR(IF(OR(N9="",ISBLANK(INDIRECT("'"&amp;$Q$2&amp;"'!N"&amp;ROW()))),"",N9-INDIRECT("'"&amp;$Q$2&amp;"'!N"&amp;ROW())),"")</f>
        <v>29</v>
      </c>
      <c r="P9" s="3"/>
      <c r="Q9" s="3"/>
      <c r="R9" s="3"/>
      <c r="S9" s="15" t="n">
        <f aca="true">IFERROR(IF(ISBLANK(INDIRECT("'"&amp;$Q$2&amp;"'!G"&amp;ROW())),"",INDIRECT("'"&amp;$Q$2&amp;"'!G"&amp;ROW())),"")</f>
        <v>0.330253195473419</v>
      </c>
      <c r="T9" s="16" t="n">
        <f aca="false">IF(OR($G9="",$S9=""),"",$G9-$S9)</f>
        <v>-0.571014728991768</v>
      </c>
      <c r="U9" s="15" t="n">
        <f aca="true">IFERROR(IF(ISBLANK(INDIRECT("'"&amp;$Q$2&amp;"'!K"&amp;ROW())),"",INDIRECT("'"&amp;$Q$2&amp;"'!K"&amp;ROW())),"")</f>
        <v>0.0376703841387856</v>
      </c>
      <c r="V9" s="16" t="n">
        <f aca="false">IF(OR($K9="",$U9=""),"",$K9-$U9)</f>
        <v>-0.0450742532574864</v>
      </c>
      <c r="W9" s="17" t="n">
        <f aca="true">IFERROR(IF(ISBLANK(INDIRECT("'"&amp;$Q$2&amp;"'!O"&amp;ROW())),"",INDIRECT("'"&amp;$Q$2&amp;"'!O"&amp;ROW())),"")</f>
        <v>271</v>
      </c>
      <c r="X9" s="17" t="n">
        <f aca="false">IF(OR($O9="",$W9=""),"",$O9-$W9)</f>
        <v>-242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135</v>
      </c>
      <c r="D10" s="32" t="n">
        <v>167913</v>
      </c>
      <c r="E10" s="32" t="n">
        <f aca="true">IF($D10="","",IFERROR(IF(ISBLANK(INDIRECT("'"&amp;$Q$2&amp;"'!D"&amp;ROW())),"",INDIRECT("'"&amp;$Q$2&amp;"'!D"&amp;ROW())),""))</f>
        <v>202830</v>
      </c>
      <c r="F10" s="33" t="n">
        <f aca="false">IF(OR(D10="",E10=""),"",D10-E10)</f>
        <v>-34917</v>
      </c>
      <c r="G10" s="34" t="n">
        <f aca="false">IFERROR(F10/E10,"")</f>
        <v>-0.172149090371247</v>
      </c>
      <c r="H10" s="32" t="n">
        <v>1192</v>
      </c>
      <c r="I10" s="32" t="n">
        <f aca="true">IF($H10="","",IFERROR(IF(ISBLANK(INDIRECT("'"&amp;$Q$2&amp;"'!H"&amp;ROW())),"",INDIRECT("'"&amp;$Q$2&amp;"'!H"&amp;ROW())),""))</f>
        <v>1305</v>
      </c>
      <c r="J10" s="33" t="n">
        <f aca="false">IF(OR(H10="",I10=""),"",H10-I10)</f>
        <v>-113</v>
      </c>
      <c r="K10" s="34" t="n">
        <f aca="false">IFERROR(J10/I10,"")</f>
        <v>-0.0865900383141763</v>
      </c>
      <c r="L10" s="32" t="n">
        <f aca="false">IFERROR(D10/C10,"")</f>
        <v>1243.8</v>
      </c>
      <c r="M10" s="32" t="n">
        <f aca="false">IFERROR(H10/D10*1000,"")</f>
        <v>7.09891431872458</v>
      </c>
      <c r="N10" s="32" t="n">
        <v>21586</v>
      </c>
      <c r="O10" s="33" t="n">
        <f aca="true">IFERROR(IF(OR(N10="",ISBLANK(INDIRECT("'"&amp;$Q$2&amp;"'!N"&amp;ROW()))),"",N10-INDIRECT("'"&amp;$Q$2&amp;"'!N"&amp;ROW())),"")</f>
        <v>12</v>
      </c>
      <c r="P10" s="3"/>
      <c r="Q10" s="3"/>
      <c r="R10" s="3"/>
      <c r="S10" s="15" t="n">
        <f aca="true">IFERROR(IF(ISBLANK(INDIRECT("'"&amp;$Q$2&amp;"'!G"&amp;ROW())),"",INDIRECT("'"&amp;$Q$2&amp;"'!G"&amp;ROW())),"")</f>
        <v>0.0256941880869183</v>
      </c>
      <c r="T10" s="16" t="n">
        <f aca="false">IF(OR($G10="",$S10=""),"",$G10-$S10)</f>
        <v>-0.197843278458165</v>
      </c>
      <c r="U10" s="15" t="n">
        <f aca="true">IFERROR(IF(ISBLANK(INDIRECT("'"&amp;$Q$2&amp;"'!K"&amp;ROW())),"",INDIRECT("'"&amp;$Q$2&amp;"'!K"&amp;ROW())),"")</f>
        <v>-0.145383104125737</v>
      </c>
      <c r="V10" s="16" t="n">
        <f aca="false">IF(OR($K10="",$U10=""),"",$K10-$U10)</f>
        <v>0.0587930658115605</v>
      </c>
      <c r="W10" s="17" t="n">
        <f aca="true">IFERROR(IF(ISBLANK(INDIRECT("'"&amp;$Q$2&amp;"'!O"&amp;ROW())),"",INDIRECT("'"&amp;$Q$2&amp;"'!O"&amp;ROW())),"")</f>
        <v>199</v>
      </c>
      <c r="X10" s="17" t="n">
        <f aca="false">IF(OR($O10="",$W10=""),"",$O10-$W10)</f>
        <v>-187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106</v>
      </c>
      <c r="D11" s="32" t="n">
        <v>407601</v>
      </c>
      <c r="E11" s="32" t="n">
        <f aca="true">IF($D11="","",IFERROR(IF(ISBLANK(INDIRECT("'"&amp;$Q$2&amp;"'!D"&amp;ROW())),"",INDIRECT("'"&amp;$Q$2&amp;"'!D"&amp;ROW())),""))</f>
        <v>572378</v>
      </c>
      <c r="F11" s="33" t="n">
        <f aca="false">IF(OR(D11="",E11=""),"",D11-E11)</f>
        <v>-164777</v>
      </c>
      <c r="G11" s="34" t="n">
        <f aca="false">IFERROR(F11/E11,"")</f>
        <v>-0.287881434995755</v>
      </c>
      <c r="H11" s="32" t="n">
        <v>3694</v>
      </c>
      <c r="I11" s="32" t="n">
        <f aca="true">IF($H11="","",IFERROR(IF(ISBLANK(INDIRECT("'"&amp;$Q$2&amp;"'!H"&amp;ROW())),"",INDIRECT("'"&amp;$Q$2&amp;"'!H"&amp;ROW())),""))</f>
        <v>4467</v>
      </c>
      <c r="J11" s="33" t="n">
        <f aca="false">IF(OR(H11="",I11=""),"",H11-I11)</f>
        <v>-773</v>
      </c>
      <c r="K11" s="34" t="n">
        <f aca="false">IFERROR(J11/I11,"")</f>
        <v>-0.173046787553168</v>
      </c>
      <c r="L11" s="32" t="n">
        <f aca="false">IFERROR(D11/C11,"")</f>
        <v>3845.29245283019</v>
      </c>
      <c r="M11" s="32" t="n">
        <f aca="false">IFERROR(H11/D11*1000,"")</f>
        <v>9.06278443870354</v>
      </c>
      <c r="N11" s="32" t="n">
        <v>20797</v>
      </c>
      <c r="O11" s="33" t="n">
        <f aca="true">IFERROR(IF(OR(N11="",ISBLANK(INDIRECT("'"&amp;$Q$2&amp;"'!N"&amp;ROW()))),"",N11-INDIRECT("'"&amp;$Q$2&amp;"'!N"&amp;ROW())),"")</f>
        <v>23</v>
      </c>
      <c r="P11" s="3"/>
      <c r="Q11" s="3"/>
      <c r="R11" s="3"/>
      <c r="S11" s="15" t="n">
        <f aca="true">IFERROR(IF(ISBLANK(INDIRECT("'"&amp;$Q$2&amp;"'!G"&amp;ROW())),"",INDIRECT("'"&amp;$Q$2&amp;"'!G"&amp;ROW())),"")</f>
        <v>0.491103573680125</v>
      </c>
      <c r="T11" s="16" t="n">
        <f aca="false">IF(OR($G11="",$S11=""),"",$G11-$S11)</f>
        <v>-0.778985008675879</v>
      </c>
      <c r="U11" s="15" t="n">
        <f aca="true">IFERROR(IF(ISBLANK(INDIRECT("'"&amp;$Q$2&amp;"'!K"&amp;ROW())),"",INDIRECT("'"&amp;$Q$2&amp;"'!K"&amp;ROW())),"")</f>
        <v>0.278477389811105</v>
      </c>
      <c r="V11" s="16" t="n">
        <f aca="false">IF(OR($K11="",$U11=""),"",$K11-$U11)</f>
        <v>-0.451524177364272</v>
      </c>
      <c r="W11" s="17" t="n">
        <f aca="true">IFERROR(IF(ISBLANK(INDIRECT("'"&amp;$Q$2&amp;"'!O"&amp;ROW())),"",INDIRECT("'"&amp;$Q$2&amp;"'!O"&amp;ROW())),"")</f>
        <v>138</v>
      </c>
      <c r="X11" s="17" t="n">
        <f aca="false">IF(OR($O11="",$W11=""),"",$O11-$W11)</f>
        <v>-115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66</v>
      </c>
      <c r="D12" s="32" t="n">
        <v>111561</v>
      </c>
      <c r="E12" s="32" t="n">
        <f aca="true">IF($D12="","",IFERROR(IF(ISBLANK(INDIRECT("'"&amp;$Q$2&amp;"'!D"&amp;ROW())),"",INDIRECT("'"&amp;$Q$2&amp;"'!D"&amp;ROW())),""))</f>
        <v>151998</v>
      </c>
      <c r="F12" s="33" t="n">
        <f aca="false">IF(OR(D12="",E12=""),"",D12-E12)</f>
        <v>-40437</v>
      </c>
      <c r="G12" s="34" t="n">
        <f aca="false">IFERROR(F12/E12,"")</f>
        <v>-0.266036395215727</v>
      </c>
      <c r="H12" s="32" t="n">
        <v>1930</v>
      </c>
      <c r="I12" s="32" t="n">
        <f aca="true">IF($H12="","",IFERROR(IF(ISBLANK(INDIRECT("'"&amp;$Q$2&amp;"'!H"&amp;ROW())),"",INDIRECT("'"&amp;$Q$2&amp;"'!H"&amp;ROW())),""))</f>
        <v>2359</v>
      </c>
      <c r="J12" s="33" t="n">
        <f aca="false">IF(OR(H12="",I12=""),"",H12-I12)</f>
        <v>-429</v>
      </c>
      <c r="K12" s="34" t="n">
        <f aca="false">IFERROR(J12/I12,"")</f>
        <v>-0.181856718948707</v>
      </c>
      <c r="L12" s="32" t="n">
        <f aca="false">IFERROR(D12/C12,"")</f>
        <v>1690.31818181818</v>
      </c>
      <c r="M12" s="32" t="n">
        <f aca="false">IFERROR(H12/D12*1000,"")</f>
        <v>17.2999524923584</v>
      </c>
      <c r="N12" s="32" t="n">
        <v>15498</v>
      </c>
      <c r="O12" s="33" t="n">
        <f aca="true">IFERROR(IF(OR(N12="",ISBLANK(INDIRECT("'"&amp;$Q$2&amp;"'!N"&amp;ROW()))),"",N12-INDIRECT("'"&amp;$Q$2&amp;"'!N"&amp;ROW())),"")</f>
        <v>44</v>
      </c>
      <c r="P12" s="3"/>
      <c r="Q12" s="3"/>
      <c r="R12" s="3"/>
      <c r="S12" s="15" t="n">
        <f aca="true">IFERROR(IF(ISBLANK(INDIRECT("'"&amp;$Q$2&amp;"'!G"&amp;ROW())),"",INDIRECT("'"&amp;$Q$2&amp;"'!G"&amp;ROW())),"")</f>
        <v>0.00698272206911172</v>
      </c>
      <c r="T12" s="16" t="n">
        <f aca="false">IF(OR($G12="",$S12=""),"",$G12-$S12)</f>
        <v>-0.273019117284838</v>
      </c>
      <c r="U12" s="15" t="n">
        <f aca="true">IFERROR(IF(ISBLANK(INDIRECT("'"&amp;$Q$2&amp;"'!K"&amp;ROW())),"",INDIRECT("'"&amp;$Q$2&amp;"'!K"&amp;ROW())),"")</f>
        <v>-0.134629493763756</v>
      </c>
      <c r="V12" s="16" t="n">
        <f aca="false">IF(OR($K12="",$U12=""),"",$K12-$U12)</f>
        <v>-0.0472272251849507</v>
      </c>
      <c r="W12" s="17" t="n">
        <f aca="true">IFERROR(IF(ISBLANK(INDIRECT("'"&amp;$Q$2&amp;"'!O"&amp;ROW())),"",INDIRECT("'"&amp;$Q$2&amp;"'!O"&amp;ROW())),"")</f>
        <v>76</v>
      </c>
      <c r="X12" s="17" t="n">
        <f aca="false">IF(OR($O12="",$W12=""),"",$O12-$W12)</f>
        <v>-32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49</v>
      </c>
      <c r="D13" s="32" t="n">
        <v>33284</v>
      </c>
      <c r="E13" s="32" t="n">
        <f aca="true">IF($D13="","",IFERROR(IF(ISBLANK(INDIRECT("'"&amp;$Q$2&amp;"'!D"&amp;ROW())),"",INDIRECT("'"&amp;$Q$2&amp;"'!D"&amp;ROW())),""))</f>
        <v>48629</v>
      </c>
      <c r="F13" s="33" t="n">
        <f aca="false">IF(OR(D13="",E13=""),"",D13-E13)</f>
        <v>-15345</v>
      </c>
      <c r="G13" s="34" t="n">
        <f aca="false">IFERROR(F13/E13,"")</f>
        <v>-0.31555244812766</v>
      </c>
      <c r="H13" s="32" t="n">
        <v>353</v>
      </c>
      <c r="I13" s="32" t="n">
        <f aca="true">IF($H13="","",IFERROR(IF(ISBLANK(INDIRECT("'"&amp;$Q$2&amp;"'!H"&amp;ROW())),"",INDIRECT("'"&amp;$Q$2&amp;"'!H"&amp;ROW())),""))</f>
        <v>706</v>
      </c>
      <c r="J13" s="33" t="n">
        <f aca="false">IF(OR(H13="",I13=""),"",H13-I13)</f>
        <v>-353</v>
      </c>
      <c r="K13" s="34" t="n">
        <f aca="false">IFERROR(J13/I13,"")</f>
        <v>-0.5</v>
      </c>
      <c r="L13" s="32" t="n">
        <f aca="false">IFERROR(D13/C13,"")</f>
        <v>679.265306122449</v>
      </c>
      <c r="M13" s="32" t="n">
        <f aca="false">IFERROR(H13/D13*1000,"")</f>
        <v>10.6056964307175</v>
      </c>
      <c r="N13" s="32" t="n">
        <v>16443</v>
      </c>
      <c r="O13" s="33" t="n">
        <f aca="true">IFERROR(IF(OR(N13="",ISBLANK(INDIRECT("'"&amp;$Q$2&amp;"'!N"&amp;ROW()))),"",N13-INDIRECT("'"&amp;$Q$2&amp;"'!N"&amp;ROW())),"")</f>
        <v>-4</v>
      </c>
      <c r="P13" s="3"/>
      <c r="Q13" s="3"/>
      <c r="R13" s="3"/>
      <c r="S13" s="15" t="n">
        <f aca="true">IFERROR(IF(ISBLANK(INDIRECT("'"&amp;$Q$2&amp;"'!G"&amp;ROW())),"",INDIRECT("'"&amp;$Q$2&amp;"'!G"&amp;ROW())),"")</f>
        <v>0.667546807489198</v>
      </c>
      <c r="T13" s="16" t="n">
        <f aca="false">IF(OR($G13="",$S13=""),"",$G13-$S13)</f>
        <v>-0.983099255616859</v>
      </c>
      <c r="U13" s="15" t="n">
        <f aca="true">IFERROR(IF(ISBLANK(INDIRECT("'"&amp;$Q$2&amp;"'!K"&amp;ROW())),"",INDIRECT("'"&amp;$Q$2&amp;"'!K"&amp;ROW())),"")</f>
        <v>0.449691991786448</v>
      </c>
      <c r="V13" s="16" t="n">
        <f aca="false">IF(OR($K13="",$U13=""),"",$K13-$U13)</f>
        <v>-0.949691991786448</v>
      </c>
      <c r="W13" s="17" t="n">
        <f aca="true">IFERROR(IF(ISBLANK(INDIRECT("'"&amp;$Q$2&amp;"'!O"&amp;ROW())),"",INDIRECT("'"&amp;$Q$2&amp;"'!O"&amp;ROW())),"")</f>
        <v>101</v>
      </c>
      <c r="X13" s="17" t="n">
        <f aca="false">IF(OR($O13="",$W13=""),"",$O13-$W13)</f>
        <v>-105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56</v>
      </c>
      <c r="D14" s="32" t="n">
        <v>48840</v>
      </c>
      <c r="E14" s="32" t="n">
        <f aca="true">IF($D14="","",IFERROR(IF(ISBLANK(INDIRECT("'"&amp;$Q$2&amp;"'!D"&amp;ROW())),"",INDIRECT("'"&amp;$Q$2&amp;"'!D"&amp;ROW())),""))</f>
        <v>82265</v>
      </c>
      <c r="F14" s="33" t="n">
        <f aca="false">IF(OR(D14="",E14=""),"",D14-E14)</f>
        <v>-33425</v>
      </c>
      <c r="G14" s="34" t="n">
        <f aca="false">IFERROR(F14/E14,"")</f>
        <v>-0.406308879839543</v>
      </c>
      <c r="H14" s="32" t="n">
        <v>534</v>
      </c>
      <c r="I14" s="32" t="n">
        <f aca="true">IF($H14="","",IFERROR(IF(ISBLANK(INDIRECT("'"&amp;$Q$2&amp;"'!H"&amp;ROW())),"",INDIRECT("'"&amp;$Q$2&amp;"'!H"&amp;ROW())),""))</f>
        <v>787</v>
      </c>
      <c r="J14" s="33" t="n">
        <f aca="false">IF(OR(H14="",I14=""),"",H14-I14)</f>
        <v>-253</v>
      </c>
      <c r="K14" s="34" t="n">
        <f aca="false">IFERROR(J14/I14,"")</f>
        <v>-0.321473951715375</v>
      </c>
      <c r="L14" s="32" t="n">
        <f aca="false">IFERROR(D14/C14,"")</f>
        <v>872.142857142857</v>
      </c>
      <c r="M14" s="32" t="n">
        <f aca="false">IFERROR(H14/D14*1000,"")</f>
        <v>10.9336609336609</v>
      </c>
      <c r="N14" s="32" t="n">
        <v>6439</v>
      </c>
      <c r="O14" s="33" t="n">
        <f aca="true">IFERROR(IF(OR(N14="",ISBLANK(INDIRECT("'"&amp;$Q$2&amp;"'!N"&amp;ROW()))),"",N14-INDIRECT("'"&amp;$Q$2&amp;"'!N"&amp;ROW())),"")</f>
        <v>37</v>
      </c>
      <c r="P14" s="3"/>
      <c r="Q14" s="3"/>
      <c r="R14" s="3"/>
      <c r="S14" s="15" t="n">
        <f aca="true">IFERROR(IF(ISBLANK(INDIRECT("'"&amp;$Q$2&amp;"'!G"&amp;ROW())),"",INDIRECT("'"&amp;$Q$2&amp;"'!G"&amp;ROW())),"")</f>
        <v>0.568894822160771</v>
      </c>
      <c r="T14" s="16" t="n">
        <f aca="false">IF(OR($G14="",$S14=""),"",$G14-$S14)</f>
        <v>-0.975203702000314</v>
      </c>
      <c r="U14" s="15" t="n">
        <f aca="true">IFERROR(IF(ISBLANK(INDIRECT("'"&amp;$Q$2&amp;"'!K"&amp;ROW())),"",INDIRECT("'"&amp;$Q$2&amp;"'!K"&amp;ROW())),"")</f>
        <v>0.649895178197065</v>
      </c>
      <c r="V14" s="16" t="n">
        <f aca="false">IF(OR($K14="",$U14=""),"",$K14-$U14)</f>
        <v>-0.97136912991244</v>
      </c>
      <c r="W14" s="17" t="n">
        <f aca="true">IFERROR(IF(ISBLANK(INDIRECT("'"&amp;$Q$2&amp;"'!O"&amp;ROW())),"",INDIRECT("'"&amp;$Q$2&amp;"'!O"&amp;ROW())),"")</f>
        <v>74</v>
      </c>
      <c r="X14" s="17" t="n">
        <f aca="false">IF(OR($O14="",$W14=""),"",$O14-$W14)</f>
        <v>-37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29</v>
      </c>
      <c r="D15" s="32" t="n">
        <v>30735</v>
      </c>
      <c r="E15" s="32" t="n">
        <f aca="true">IF($D15="","",IFERROR(IF(ISBLANK(INDIRECT("'"&amp;$Q$2&amp;"'!D"&amp;ROW())),"",INDIRECT("'"&amp;$Q$2&amp;"'!D"&amp;ROW())),""))</f>
        <v>43212</v>
      </c>
      <c r="F15" s="33" t="n">
        <f aca="false">IF(OR(D15="",E15=""),"",D15-E15)</f>
        <v>-12477</v>
      </c>
      <c r="G15" s="34" t="n">
        <f aca="false">IFERROR(F15/E15,"")</f>
        <v>-0.28873923910025</v>
      </c>
      <c r="H15" s="32" t="n">
        <v>302</v>
      </c>
      <c r="I15" s="32" t="n">
        <f aca="true">IF($H15="","",IFERROR(IF(ISBLANK(INDIRECT("'"&amp;$Q$2&amp;"'!H"&amp;ROW())),"",INDIRECT("'"&amp;$Q$2&amp;"'!H"&amp;ROW())),""))</f>
        <v>348</v>
      </c>
      <c r="J15" s="33" t="n">
        <f aca="false">IF(OR(H15="",I15=""),"",H15-I15)</f>
        <v>-46</v>
      </c>
      <c r="K15" s="34" t="n">
        <f aca="false">IFERROR(J15/I15,"")</f>
        <v>-0.132183908045977</v>
      </c>
      <c r="L15" s="32" t="n">
        <f aca="false">IFERROR(D15/C15,"")</f>
        <v>1059.8275862069</v>
      </c>
      <c r="M15" s="32" t="n">
        <f aca="false">IFERROR(H15/D15*1000,"")</f>
        <v>9.82593134862534</v>
      </c>
      <c r="N15" s="32" t="n">
        <v>3687</v>
      </c>
      <c r="O15" s="33" t="n">
        <f aca="true">IFERROR(IF(OR(N15="",ISBLANK(INDIRECT("'"&amp;$Q$2&amp;"'!N"&amp;ROW()))),"",N15-INDIRECT("'"&amp;$Q$2&amp;"'!N"&amp;ROW())),"")</f>
        <v>8</v>
      </c>
      <c r="P15" s="3"/>
      <c r="Q15" s="3"/>
      <c r="R15" s="3"/>
      <c r="S15" s="15" t="n">
        <f aca="true">IFERROR(IF(ISBLANK(INDIRECT("'"&amp;$Q$2&amp;"'!G"&amp;ROW())),"",INDIRECT("'"&amp;$Q$2&amp;"'!G"&amp;ROW())),"")</f>
        <v>0.376485203707833</v>
      </c>
      <c r="T15" s="16" t="n">
        <f aca="false">IF(OR($G15="",$S15=""),"",$G15-$S15)</f>
        <v>-0.665224442808083</v>
      </c>
      <c r="U15" s="15" t="n">
        <f aca="true">IFERROR(IF(ISBLANK(INDIRECT("'"&amp;$Q$2&amp;"'!K"&amp;ROW())),"",INDIRECT("'"&amp;$Q$2&amp;"'!K"&amp;ROW())),"")</f>
        <v>-0.359116022099448</v>
      </c>
      <c r="V15" s="16" t="n">
        <f aca="false">IF(OR($K15="",$U15=""),"",$K15-$U15)</f>
        <v>0.226932114053471</v>
      </c>
      <c r="W15" s="17" t="n">
        <f aca="true">IFERROR(IF(ISBLANK(INDIRECT("'"&amp;$Q$2&amp;"'!O"&amp;ROW())),"",INDIRECT("'"&amp;$Q$2&amp;"'!O"&amp;ROW())),"")</f>
        <v>24</v>
      </c>
      <c r="X15" s="17" t="n">
        <f aca="false">IF(OR($O15="",$W15=""),"",$O15-$W15)</f>
        <v>-16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50</v>
      </c>
      <c r="D16" s="32" t="n">
        <v>99250</v>
      </c>
      <c r="E16" s="32" t="n">
        <f aca="true">IF($D16="","",IFERROR(IF(ISBLANK(INDIRECT("'"&amp;$Q$2&amp;"'!D"&amp;ROW())),"",INDIRECT("'"&amp;$Q$2&amp;"'!D"&amp;ROW())),""))</f>
        <v>158474</v>
      </c>
      <c r="F16" s="33" t="n">
        <f aca="false">IF(OR(D16="",E16=""),"",D16-E16)</f>
        <v>-59224</v>
      </c>
      <c r="G16" s="34" t="n">
        <f aca="false">IFERROR(F16/E16,"")</f>
        <v>-0.373714300137562</v>
      </c>
      <c r="H16" s="32" t="n">
        <v>1001</v>
      </c>
      <c r="I16" s="32" t="n">
        <f aca="true">IF($H16="","",IFERROR(IF(ISBLANK(INDIRECT("'"&amp;$Q$2&amp;"'!H"&amp;ROW())),"",INDIRECT("'"&amp;$Q$2&amp;"'!H"&amp;ROW())),""))</f>
        <v>1498</v>
      </c>
      <c r="J16" s="33" t="n">
        <f aca="false">IF(OR(H16="",I16=""),"",H16-I16)</f>
        <v>-497</v>
      </c>
      <c r="K16" s="34" t="n">
        <f aca="false">IFERROR(J16/I16,"")</f>
        <v>-0.331775700934579</v>
      </c>
      <c r="L16" s="32" t="n">
        <f aca="false">IFERROR(D16/C16,"")</f>
        <v>1985</v>
      </c>
      <c r="M16" s="32" t="n">
        <f aca="false">IFERROR(H16/D16*1000,"")</f>
        <v>10.0856423173804</v>
      </c>
      <c r="N16" s="32" t="n">
        <v>12813</v>
      </c>
      <c r="O16" s="33" t="n">
        <f aca="true">IFERROR(IF(OR(N16="",ISBLANK(INDIRECT("'"&amp;$Q$2&amp;"'!N"&amp;ROW()))),"",N16-INDIRECT("'"&amp;$Q$2&amp;"'!N"&amp;ROW())),"")</f>
        <v>80</v>
      </c>
      <c r="P16" s="3"/>
      <c r="Q16" s="3"/>
      <c r="R16" s="3"/>
      <c r="S16" s="15" t="n">
        <f aca="true">IFERROR(IF(ISBLANK(INDIRECT("'"&amp;$Q$2&amp;"'!G"&amp;ROW())),"",INDIRECT("'"&amp;$Q$2&amp;"'!G"&amp;ROW())),"")</f>
        <v>0.162531727284731</v>
      </c>
      <c r="T16" s="16" t="n">
        <f aca="false">IF(OR($G16="",$S16=""),"",$G16-$S16)</f>
        <v>-0.536246027422293</v>
      </c>
      <c r="U16" s="15" t="n">
        <f aca="true">IFERROR(IF(ISBLANK(INDIRECT("'"&amp;$Q$2&amp;"'!K"&amp;ROW())),"",INDIRECT("'"&amp;$Q$2&amp;"'!K"&amp;ROW())),"")</f>
        <v>-0.235714285714286</v>
      </c>
      <c r="V16" s="16" t="n">
        <f aca="false">IF(OR($K16="",$U16=""),"",$K16-$U16)</f>
        <v>-0.0960614152202937</v>
      </c>
      <c r="W16" s="17" t="n">
        <f aca="true">IFERROR(IF(ISBLANK(INDIRECT("'"&amp;$Q$2&amp;"'!O"&amp;ROW())),"",INDIRECT("'"&amp;$Q$2&amp;"'!O"&amp;ROW())),"")</f>
        <v>268</v>
      </c>
      <c r="X16" s="17" t="n">
        <f aca="false">IF(OR($O16="",$W16=""),"",$O16-$W16)</f>
        <v>-188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58</v>
      </c>
      <c r="D17" s="32" t="n">
        <v>156420</v>
      </c>
      <c r="E17" s="32" t="n">
        <f aca="true">IF($D17="","",IFERROR(IF(ISBLANK(INDIRECT("'"&amp;$Q$2&amp;"'!D"&amp;ROW())),"",INDIRECT("'"&amp;$Q$2&amp;"'!D"&amp;ROW())),""))</f>
        <v>205869</v>
      </c>
      <c r="F17" s="33" t="n">
        <f aca="false">IF(OR(D17="",E17=""),"",D17-E17)</f>
        <v>-49449</v>
      </c>
      <c r="G17" s="34" t="n">
        <f aca="false">IFERROR(F17/E17,"")</f>
        <v>-0.240196435597394</v>
      </c>
      <c r="H17" s="32" t="n">
        <v>1581</v>
      </c>
      <c r="I17" s="32" t="n">
        <f aca="true">IF($H17="","",IFERROR(IF(ISBLANK(INDIRECT("'"&amp;$Q$2&amp;"'!H"&amp;ROW())),"",INDIRECT("'"&amp;$Q$2&amp;"'!H"&amp;ROW())),""))</f>
        <v>2433</v>
      </c>
      <c r="J17" s="33" t="n">
        <f aca="false">IF(OR(H17="",I17=""),"",H17-I17)</f>
        <v>-852</v>
      </c>
      <c r="K17" s="34" t="n">
        <f aca="false">IFERROR(J17/I17,"")</f>
        <v>-0.350184956843403</v>
      </c>
      <c r="L17" s="32" t="n">
        <f aca="false">IFERROR(D17/C17,"")</f>
        <v>2696.89655172414</v>
      </c>
      <c r="M17" s="32" t="n">
        <f aca="false">IFERROR(H17/D17*1000,"")</f>
        <v>10.1074031453778</v>
      </c>
      <c r="N17" s="32" t="n">
        <v>7822</v>
      </c>
      <c r="O17" s="33" t="n">
        <f aca="true">IFERROR(IF(OR(N17="",ISBLANK(INDIRECT("'"&amp;$Q$2&amp;"'!N"&amp;ROW()))),"",N17-INDIRECT("'"&amp;$Q$2&amp;"'!N"&amp;ROW())),"")</f>
        <v>8</v>
      </c>
      <c r="P17" s="3"/>
      <c r="Q17" s="3"/>
      <c r="R17" s="3"/>
      <c r="S17" s="15" t="n">
        <f aca="true">IFERROR(IF(ISBLANK(INDIRECT("'"&amp;$Q$2&amp;"'!G"&amp;ROW())),"",INDIRECT("'"&amp;$Q$2&amp;"'!G"&amp;ROW())),"")</f>
        <v>-0.15434413805285</v>
      </c>
      <c r="T17" s="16" t="n">
        <f aca="false">IF(OR($G17="",$S17=""),"",$G17-$S17)</f>
        <v>-0.0858522975445443</v>
      </c>
      <c r="U17" s="15" t="n">
        <f aca="true">IFERROR(IF(ISBLANK(INDIRECT("'"&amp;$Q$2&amp;"'!K"&amp;ROW())),"",INDIRECT("'"&amp;$Q$2&amp;"'!K"&amp;ROW())),"")</f>
        <v>-0.279324644549763</v>
      </c>
      <c r="V17" s="16" t="n">
        <f aca="false">IF(OR($K17="",$U17=""),"",$K17-$U17)</f>
        <v>-0.0708603122936402</v>
      </c>
      <c r="W17" s="17" t="n">
        <f aca="true">IFERROR(IF(ISBLANK(INDIRECT("'"&amp;$Q$2&amp;"'!O"&amp;ROW())),"",INDIRECT("'"&amp;$Q$2&amp;"'!O"&amp;ROW())),"")</f>
        <v>35</v>
      </c>
      <c r="X17" s="17" t="n">
        <f aca="false">IF(OR($O17="",$W17=""),"",$O17-$W17)</f>
        <v>-27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62</v>
      </c>
      <c r="D18" s="32" t="n">
        <v>146062</v>
      </c>
      <c r="E18" s="32" t="n">
        <f aca="true">IF($D18="","",IFERROR(IF(ISBLANK(INDIRECT("'"&amp;$Q$2&amp;"'!D"&amp;ROW())),"",INDIRECT("'"&amp;$Q$2&amp;"'!D"&amp;ROW())),""))</f>
        <v>196933</v>
      </c>
      <c r="F18" s="33" t="n">
        <f aca="false">IF(OR(D18="",E18=""),"",D18-E18)</f>
        <v>-50871</v>
      </c>
      <c r="G18" s="34" t="n">
        <f aca="false">IFERROR(F18/E18,"")</f>
        <v>-0.258316280156195</v>
      </c>
      <c r="H18" s="32" t="n">
        <v>1294</v>
      </c>
      <c r="I18" s="32" t="n">
        <f aca="true">IF($H18="","",IFERROR(IF(ISBLANK(INDIRECT("'"&amp;$Q$2&amp;"'!H"&amp;ROW())),"",INDIRECT("'"&amp;$Q$2&amp;"'!H"&amp;ROW())),""))</f>
        <v>2149</v>
      </c>
      <c r="J18" s="33" t="n">
        <f aca="false">IF(OR(H18="",I18=""),"",H18-I18)</f>
        <v>-855</v>
      </c>
      <c r="K18" s="34" t="n">
        <f aca="false">IFERROR(J18/I18,"")</f>
        <v>-0.397859469520707</v>
      </c>
      <c r="L18" s="32" t="n">
        <f aca="false">IFERROR(D18/C18,"")</f>
        <v>2355.83870967742</v>
      </c>
      <c r="M18" s="32" t="n">
        <f aca="false">IFERROR(H18/D18*1000,"")</f>
        <v>8.85925155071134</v>
      </c>
      <c r="N18" s="32" t="n">
        <v>18228</v>
      </c>
      <c r="O18" s="33" t="n">
        <f aca="true">IFERROR(IF(OR(N18="",ISBLANK(INDIRECT("'"&amp;$Q$2&amp;"'!N"&amp;ROW()))),"",N18-INDIRECT("'"&amp;$Q$2&amp;"'!N"&amp;ROW())),"")</f>
        <v>11</v>
      </c>
      <c r="P18" s="3"/>
      <c r="Q18" s="3"/>
      <c r="R18" s="3"/>
      <c r="S18" s="15" t="n">
        <f aca="true">IFERROR(IF(ISBLANK(INDIRECT("'"&amp;$Q$2&amp;"'!G"&amp;ROW())),"",INDIRECT("'"&amp;$Q$2&amp;"'!G"&amp;ROW())),"")</f>
        <v>0.502617121928888</v>
      </c>
      <c r="T18" s="16" t="n">
        <f aca="false">IF(OR($G18="",$S18=""),"",$G18-$S18)</f>
        <v>-0.760933402085083</v>
      </c>
      <c r="U18" s="15" t="n">
        <f aca="true">IFERROR(IF(ISBLANK(INDIRECT("'"&amp;$Q$2&amp;"'!K"&amp;ROW())),"",INDIRECT("'"&amp;$Q$2&amp;"'!K"&amp;ROW())),"")</f>
        <v>0.414746543778802</v>
      </c>
      <c r="V18" s="16" t="n">
        <f aca="false">IF(OR($K18="",$U18=""),"",$K18-$U18)</f>
        <v>-0.812606013299509</v>
      </c>
      <c r="W18" s="17" t="n">
        <f aca="true">IFERROR(IF(ISBLANK(INDIRECT("'"&amp;$Q$2&amp;"'!O"&amp;ROW())),"",INDIRECT("'"&amp;$Q$2&amp;"'!O"&amp;ROW())),"")</f>
        <v>52</v>
      </c>
      <c r="X18" s="17" t="n">
        <f aca="false">IF(OR($O18="",$W18=""),"",$O18-$W18)</f>
        <v>-41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78</v>
      </c>
      <c r="D19" s="32" t="n">
        <v>117530</v>
      </c>
      <c r="E19" s="32" t="n">
        <f aca="true">IF($D19="","",IFERROR(IF(ISBLANK(INDIRECT("'"&amp;$Q$2&amp;"'!D"&amp;ROW())),"",INDIRECT("'"&amp;$Q$2&amp;"'!D"&amp;ROW())),""))</f>
        <v>172329</v>
      </c>
      <c r="F19" s="33" t="n">
        <f aca="false">IF(OR(D19="",E19=""),"",D19-E19)</f>
        <v>-54799</v>
      </c>
      <c r="G19" s="34" t="n">
        <f aca="false">IFERROR(F19/E19,"")</f>
        <v>-0.317990587771066</v>
      </c>
      <c r="H19" s="32" t="n">
        <v>1073</v>
      </c>
      <c r="I19" s="32" t="n">
        <f aca="true">IF($H19="","",IFERROR(IF(ISBLANK(INDIRECT("'"&amp;$Q$2&amp;"'!H"&amp;ROW())),"",INDIRECT("'"&amp;$Q$2&amp;"'!H"&amp;ROW())),""))</f>
        <v>2107</v>
      </c>
      <c r="J19" s="33" t="n">
        <f aca="false">IF(OR(H19="",I19=""),"",H19-I19)</f>
        <v>-1034</v>
      </c>
      <c r="K19" s="34" t="n">
        <f aca="false">IFERROR(J19/I19,"")</f>
        <v>-0.490745135263408</v>
      </c>
      <c r="L19" s="32" t="n">
        <f aca="false">IFERROR(D19/C19,"")</f>
        <v>1506.79487179487</v>
      </c>
      <c r="M19" s="32" t="n">
        <f aca="false">IFERROR(H19/D19*1000,"")</f>
        <v>9.12958393601634</v>
      </c>
      <c r="N19" s="32" t="n">
        <v>19029</v>
      </c>
      <c r="O19" s="33" t="n">
        <f aca="true">IFERROR(IF(OR(N19="",ISBLANK(INDIRECT("'"&amp;$Q$2&amp;"'!N"&amp;ROW()))),"",N19-INDIRECT("'"&amp;$Q$2&amp;"'!N"&amp;ROW())),"")</f>
        <v>10</v>
      </c>
      <c r="P19" s="3"/>
      <c r="Q19" s="3"/>
      <c r="R19" s="3"/>
      <c r="S19" s="15" t="n">
        <f aca="true">IFERROR(IF(ISBLANK(INDIRECT("'"&amp;$Q$2&amp;"'!G"&amp;ROW())),"",INDIRECT("'"&amp;$Q$2&amp;"'!G"&amp;ROW())),"")</f>
        <v>0.810654058313633</v>
      </c>
      <c r="T19" s="16" t="n">
        <f aca="false">IF(OR($G19="",$S19=""),"",$G19-$S19)</f>
        <v>-1.1286446460847</v>
      </c>
      <c r="U19" s="15" t="n">
        <f aca="true">IFERROR(IF(ISBLANK(INDIRECT("'"&amp;$Q$2&amp;"'!K"&amp;ROW())),"",INDIRECT("'"&amp;$Q$2&amp;"'!K"&amp;ROW())),"")</f>
        <v>1.46144859813084</v>
      </c>
      <c r="V19" s="16" t="n">
        <f aca="false">IF(OR($K19="",$U19=""),"",$K19-$U19)</f>
        <v>-1.95219373339425</v>
      </c>
      <c r="W19" s="17" t="n">
        <f aca="true">IFERROR(IF(ISBLANK(INDIRECT("'"&amp;$Q$2&amp;"'!O"&amp;ROW())),"",INDIRECT("'"&amp;$Q$2&amp;"'!O"&amp;ROW())),"")</f>
        <v>63</v>
      </c>
      <c r="X19" s="17" t="n">
        <f aca="false">IF(OR($O19="",$W19=""),"",$O19-$W19)</f>
        <v>-53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54324</v>
      </c>
      <c r="E20" s="32" t="n">
        <f aca="true">IF($D20="","",IFERROR(IF(ISBLANK(INDIRECT("'"&amp;$Q$2&amp;"'!D"&amp;ROW())),"",INDIRECT("'"&amp;$Q$2&amp;"'!D"&amp;ROW())),""))</f>
        <v>12837</v>
      </c>
      <c r="F20" s="33" t="n">
        <f aca="false">IF(OR(D20="",E20=""),"",D20-E20)</f>
        <v>41487</v>
      </c>
      <c r="G20" s="34" t="n">
        <f aca="false">IFERROR(F20/E20,"")</f>
        <v>3.23182986679131</v>
      </c>
      <c r="H20" s="32" t="n">
        <v>1597</v>
      </c>
      <c r="I20" s="32" t="n">
        <f aca="true">IF($H20="","",IFERROR(IF(ISBLANK(INDIRECT("'"&amp;$Q$2&amp;"'!H"&amp;ROW())),"",INDIRECT("'"&amp;$Q$2&amp;"'!H"&amp;ROW())),""))</f>
        <v>1764</v>
      </c>
      <c r="J20" s="33" t="n">
        <f aca="false">IF(OR(H20="",I20=""),"",H20-I20)</f>
        <v>-167</v>
      </c>
      <c r="K20" s="34" t="n">
        <f aca="false">IFERROR(J20/I20,"")</f>
        <v>-0.094671201814059</v>
      </c>
      <c r="L20" s="32" t="n">
        <f aca="false">IFERROR(D20/C20,"")</f>
        <v>2469.27272727273</v>
      </c>
      <c r="M20" s="32" t="n">
        <f aca="false">IFERROR(H20/D20*1000,"")</f>
        <v>29.3976879463957</v>
      </c>
      <c r="N20" s="32" t="n">
        <v>14628</v>
      </c>
      <c r="O20" s="33" t="n">
        <f aca="true">IFERROR(IF(OR(N20="",ISBLANK(INDIRECT("'"&amp;$Q$2&amp;"'!N"&amp;ROW()))),"",N20-INDIRECT("'"&amp;$Q$2&amp;"'!N"&amp;ROW())),"")</f>
        <v>67</v>
      </c>
      <c r="P20" s="3"/>
      <c r="Q20" s="3"/>
      <c r="R20" s="3"/>
      <c r="S20" s="15" t="n">
        <f aca="true">IFERROR(IF(ISBLANK(INDIRECT("'"&amp;$Q$2&amp;"'!G"&amp;ROW())),"",INDIRECT("'"&amp;$Q$2&amp;"'!G"&amp;ROW())),"")</f>
        <v>-0.823998793479304</v>
      </c>
      <c r="T20" s="16" t="n">
        <f aca="false">IF(OR($G20="",$S20=""),"",$G20-$S20)</f>
        <v>4.05582866027061</v>
      </c>
      <c r="U20" s="15" t="n">
        <f aca="true">IFERROR(IF(ISBLANK(INDIRECT("'"&amp;$Q$2&amp;"'!K"&amp;ROW())),"",INDIRECT("'"&amp;$Q$2&amp;"'!K"&amp;ROW())),"")</f>
        <v>0.0769230769230769</v>
      </c>
      <c r="V20" s="16" t="n">
        <f aca="false">IF(OR($K20="",$U20=""),"",$K20-$U20)</f>
        <v>-0.171594278737136</v>
      </c>
      <c r="W20" s="17" t="n">
        <f aca="true">IFERROR(IF(ISBLANK(INDIRECT("'"&amp;$Q$2&amp;"'!O"&amp;ROW())),"",INDIRECT("'"&amp;$Q$2&amp;"'!O"&amp;ROW())),"")</f>
        <v>55</v>
      </c>
      <c r="X20" s="17" t="n">
        <f aca="false">IF(OR($O20="",$W20=""),"",$O20-$W20)</f>
        <v>12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10388</v>
      </c>
      <c r="E21" s="32" t="n">
        <f aca="true">IF($D21="","",IFERROR(IF(ISBLANK(INDIRECT("'"&amp;$Q$2&amp;"'!D"&amp;ROW())),"",INDIRECT("'"&amp;$Q$2&amp;"'!D"&amp;ROW())),""))</f>
        <v>10664</v>
      </c>
      <c r="F21" s="33" t="n">
        <f aca="false">IF(OR(D21="",E21=""),"",D21-E21)</f>
        <v>-276</v>
      </c>
      <c r="G21" s="34" t="n">
        <f aca="false">IFERROR(F21/E21,"")</f>
        <v>-0.0258814703675919</v>
      </c>
      <c r="H21" s="32" t="n">
        <v>300</v>
      </c>
      <c r="I21" s="32" t="n">
        <f aca="true">IF($H21="","",IFERROR(IF(ISBLANK(INDIRECT("'"&amp;$Q$2&amp;"'!H"&amp;ROW())),"",INDIRECT("'"&amp;$Q$2&amp;"'!H"&amp;ROW())),""))</f>
        <v>392</v>
      </c>
      <c r="J21" s="33" t="n">
        <f aca="false">IF(OR(H21="",I21=""),"",H21-I21)</f>
        <v>-92</v>
      </c>
      <c r="K21" s="34" t="n">
        <f aca="false">IFERROR(J21/I21,"")</f>
        <v>-0.23469387755102</v>
      </c>
      <c r="L21" s="32" t="n">
        <f aca="false">IFERROR(D21/C21,"")</f>
        <v>944.363636363636</v>
      </c>
      <c r="M21" s="32" t="n">
        <f aca="false">IFERROR(H21/D21*1000,"")</f>
        <v>28.8794763188294</v>
      </c>
      <c r="N21" s="32" t="n">
        <v>10605</v>
      </c>
      <c r="O21" s="33" t="n">
        <f aca="true">IFERROR(IF(OR(N21="",ISBLANK(INDIRECT("'"&amp;$Q$2&amp;"'!N"&amp;ROW()))),"",N21-INDIRECT("'"&amp;$Q$2&amp;"'!N"&amp;ROW())),"")</f>
        <v>4</v>
      </c>
      <c r="P21" s="3"/>
      <c r="Q21" s="3"/>
      <c r="R21" s="3"/>
      <c r="S21" s="15" t="n">
        <f aca="true">IFERROR(IF(ISBLANK(INDIRECT("'"&amp;$Q$2&amp;"'!G"&amp;ROW())),"",INDIRECT("'"&amp;$Q$2&amp;"'!G"&amp;ROW())),"")</f>
        <v>0.905306414150438</v>
      </c>
      <c r="T21" s="16" t="n">
        <f aca="false">IF(OR($G21="",$S21=""),"",$G21-$S21)</f>
        <v>-0.93118788451803</v>
      </c>
      <c r="U21" s="15" t="n">
        <f aca="true">IFERROR(IF(ISBLANK(INDIRECT("'"&amp;$Q$2&amp;"'!K"&amp;ROW())),"",INDIRECT("'"&amp;$Q$2&amp;"'!K"&amp;ROW())),"")</f>
        <v>1.26589595375723</v>
      </c>
      <c r="V21" s="16" t="n">
        <f aca="false">IF(OR($K21="",$U21=""),"",$K21-$U21)</f>
        <v>-1.50058983130825</v>
      </c>
      <c r="W21" s="17" t="n">
        <f aca="true">IFERROR(IF(ISBLANK(INDIRECT("'"&amp;$Q$2&amp;"'!O"&amp;ROW())),"",INDIRECT("'"&amp;$Q$2&amp;"'!O"&amp;ROW())),"")</f>
        <v>-1</v>
      </c>
      <c r="X21" s="17" t="n">
        <f aca="false">IF(OR($O21="",$W21=""),"",$O21-$W21)</f>
        <v>5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14</v>
      </c>
      <c r="D22" s="32" t="n">
        <v>2665</v>
      </c>
      <c r="E22" s="32" t="n">
        <f aca="true">IF($D22="","",IFERROR(IF(ISBLANK(INDIRECT("'"&amp;$Q$2&amp;"'!D"&amp;ROW())),"",INDIRECT("'"&amp;$Q$2&amp;"'!D"&amp;ROW())),""))</f>
        <v>8406</v>
      </c>
      <c r="F22" s="33" t="n">
        <f aca="false">IF(OR(D22="",E22=""),"",D22-E22)</f>
        <v>-5741</v>
      </c>
      <c r="G22" s="34" t="n">
        <f aca="false">IFERROR(F22/E22,"")</f>
        <v>-0.682964549131573</v>
      </c>
      <c r="H22" s="32" t="n">
        <v>108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-59</v>
      </c>
      <c r="K22" s="34" t="n">
        <f aca="false">IFERROR(J22/I22,"")</f>
        <v>-0.353293413173653</v>
      </c>
      <c r="L22" s="32" t="n">
        <f aca="false">IFERROR(D22/C22,"")</f>
        <v>190.357142857143</v>
      </c>
      <c r="M22" s="32" t="n">
        <f aca="false">IFERROR(H22/D22*1000,"")</f>
        <v>40.5253283302064</v>
      </c>
      <c r="N22" s="32" t="n">
        <v>7375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0.355150733516041</v>
      </c>
      <c r="T22" s="16" t="n">
        <f aca="false">IF(OR($G22="",$S22=""),"",$G22-$S22)</f>
        <v>-1.03811528264761</v>
      </c>
      <c r="U22" s="15" t="n">
        <f aca="true">IFERROR(IF(ISBLANK(INDIRECT("'"&amp;$Q$2&amp;"'!K"&amp;ROW())),"",INDIRECT("'"&amp;$Q$2&amp;"'!K"&amp;ROW())),"")</f>
        <v>-0.156565656565657</v>
      </c>
      <c r="V22" s="16" t="n">
        <f aca="false">IF(OR($K22="",$U22=""),"",$K22-$U22)</f>
        <v>-0.196727756607996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0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13070</v>
      </c>
      <c r="E23" s="32" t="n">
        <f aca="true">IF($D23="","",IFERROR(IF(ISBLANK(INDIRECT("'"&amp;$Q$2&amp;"'!D"&amp;ROW())),"",INDIRECT("'"&amp;$Q$2&amp;"'!D"&amp;ROW())),""))</f>
        <v>15529</v>
      </c>
      <c r="F23" s="33" t="n">
        <f aca="false">IF(OR(D23="",E23=""),"",D23-E23)</f>
        <v>-2459</v>
      </c>
      <c r="G23" s="34" t="n">
        <f aca="false">IFERROR(F23/E23,"")</f>
        <v>-0.158348895614656</v>
      </c>
      <c r="H23" s="32" t="n">
        <v>344</v>
      </c>
      <c r="I23" s="32" t="n">
        <f aca="true">IF($H23="","",IFERROR(IF(ISBLANK(INDIRECT("'"&amp;$Q$2&amp;"'!H"&amp;ROW())),"",INDIRECT("'"&amp;$Q$2&amp;"'!H"&amp;ROW())),""))</f>
        <v>0</v>
      </c>
      <c r="J23" s="33" t="n">
        <f aca="false">IF(OR(H23="",I23=""),"",H23-I23)</f>
        <v>344</v>
      </c>
      <c r="K23" s="34" t="str">
        <f aca="false">IFERROR(J23/I23,"")</f>
        <v/>
      </c>
      <c r="L23" s="32" t="n">
        <f aca="false">IFERROR(D23/C23,"")</f>
        <v>1452.22222222222</v>
      </c>
      <c r="M23" s="32" t="n">
        <f aca="false">IFERROR(H23/D23*1000,"")</f>
        <v>26.3198163733741</v>
      </c>
      <c r="N23" s="32" t="n">
        <v>5625</v>
      </c>
      <c r="O23" s="33" t="n">
        <f aca="true">IFERROR(IF(OR(N23="",ISBLANK(INDIRECT("'"&amp;$Q$2&amp;"'!N"&amp;ROW()))),"",N23-INDIRECT("'"&amp;$Q$2&amp;"'!N"&amp;ROW())),"")</f>
        <v>4</v>
      </c>
      <c r="P23" s="3"/>
      <c r="Q23" s="3"/>
      <c r="R23" s="3"/>
      <c r="S23" s="15" t="n">
        <f aca="true">IFERROR(IF(ISBLANK(INDIRECT("'"&amp;$Q$2&amp;"'!G"&amp;ROW())),"",INDIRECT("'"&amp;$Q$2&amp;"'!G"&amp;ROW())),"")</f>
        <v>0.142678440029433</v>
      </c>
      <c r="T23" s="16" t="n">
        <f aca="false">IF(OR($G23="",$S23=""),"",$G23-$S23)</f>
        <v>-0.30102733564409</v>
      </c>
      <c r="U23" s="15" t="n">
        <f aca="true">IFERROR(IF(ISBLANK(INDIRECT("'"&amp;$Q$2&amp;"'!K"&amp;ROW())),"",INDIRECT("'"&amp;$Q$2&amp;"'!K"&amp;ROW())),"")</f>
        <v>-1</v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7</v>
      </c>
      <c r="X23" s="17" t="n">
        <f aca="false">IF(OR($O23="",$W23=""),"",$O23-$W23)</f>
        <v>-3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5</v>
      </c>
      <c r="D24" s="32" t="n">
        <v>5841</v>
      </c>
      <c r="E24" s="32" t="n">
        <f aca="true">IF($D24="","",IFERROR(IF(ISBLANK(INDIRECT("'"&amp;$Q$2&amp;"'!D"&amp;ROW())),"",INDIRECT("'"&amp;$Q$2&amp;"'!D"&amp;ROW())),""))</f>
        <v>9932</v>
      </c>
      <c r="F24" s="33" t="n">
        <f aca="false">IF(OR(D24="",E24=""),"",D24-E24)</f>
        <v>-4091</v>
      </c>
      <c r="G24" s="34" t="n">
        <f aca="false">IFERROR(F24/E24,"")</f>
        <v>-0.411900926298832</v>
      </c>
      <c r="H24" s="32" t="n">
        <v>202</v>
      </c>
      <c r="I24" s="32" t="n">
        <f aca="true">IF($H24="","",IFERROR(IF(ISBLANK(INDIRECT("'"&amp;$Q$2&amp;"'!H"&amp;ROW())),"",INDIRECT("'"&amp;$Q$2&amp;"'!H"&amp;ROW())),""))</f>
        <v>301</v>
      </c>
      <c r="J24" s="33" t="n">
        <f aca="false">IF(OR(H24="",I24=""),"",H24-I24)</f>
        <v>-99</v>
      </c>
      <c r="K24" s="34" t="n">
        <f aca="false">IFERROR(J24/I24,"")</f>
        <v>-0.32890365448505</v>
      </c>
      <c r="L24" s="32" t="n">
        <f aca="false">IFERROR(D24/C24,"")</f>
        <v>1168.2</v>
      </c>
      <c r="M24" s="32" t="n">
        <f aca="false">IFERROR(H24/D24*1000,"")</f>
        <v>34.583119328882</v>
      </c>
      <c r="N24" s="32" t="n">
        <v>2328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-0.326324357322119</v>
      </c>
      <c r="T24" s="16" t="n">
        <f aca="false">IF(OR($G24="",$S24=""),"",$G24-$S24)</f>
        <v>-0.0855765689767131</v>
      </c>
      <c r="U24" s="15" t="n">
        <f aca="true">IFERROR(IF(ISBLANK(INDIRECT("'"&amp;$Q$2&amp;"'!K"&amp;ROW())),"",INDIRECT("'"&amp;$Q$2&amp;"'!K"&amp;ROW())),"")</f>
        <v>-0.142450142450142</v>
      </c>
      <c r="V24" s="16" t="n">
        <f aca="false">IF(OR($K24="",$U24=""),"",$K24-$U24)</f>
        <v>-0.186453512034907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10255</v>
      </c>
      <c r="E25" s="32" t="n">
        <f aca="true">IF($D25="","",IFERROR(IF(ISBLANK(INDIRECT("'"&amp;$Q$2&amp;"'!D"&amp;ROW())),"",INDIRECT("'"&amp;$Q$2&amp;"'!D"&amp;ROW())),""))</f>
        <v>20821</v>
      </c>
      <c r="F25" s="33" t="n">
        <f aca="false">IF(OR(D25="",E25=""),"",D25-E25)</f>
        <v>-10566</v>
      </c>
      <c r="G25" s="34" t="n">
        <f aca="false">IFERROR(F25/E25,"")</f>
        <v>-0.507468421305413</v>
      </c>
      <c r="H25" s="32" t="n">
        <v>95</v>
      </c>
      <c r="I25" s="32" t="n">
        <f aca="true">IF($H25="","",IFERROR(IF(ISBLANK(INDIRECT("'"&amp;$Q$2&amp;"'!H"&amp;ROW())),"",INDIRECT("'"&amp;$Q$2&amp;"'!H"&amp;ROW())),""))</f>
        <v>179</v>
      </c>
      <c r="J25" s="33" t="n">
        <f aca="false">IF(OR(H25="",I25=""),"",H25-I25)</f>
        <v>-84</v>
      </c>
      <c r="K25" s="34" t="n">
        <f aca="false">IFERROR(J25/I25,"")</f>
        <v>-0.46927374301676</v>
      </c>
      <c r="L25" s="32" t="n">
        <f aca="false">IFERROR(D25/C25,"")</f>
        <v>1465</v>
      </c>
      <c r="M25" s="32" t="n">
        <f aca="false">IFERROR(H25/D25*1000,"")</f>
        <v>9.26377376889322</v>
      </c>
      <c r="N25" s="32" t="n">
        <v>6187</v>
      </c>
      <c r="O25" s="33" t="n">
        <f aca="true">IFERROR(IF(OR(N25="",ISBLANK(INDIRECT("'"&amp;$Q$2&amp;"'!N"&amp;ROW()))),"",N25-INDIRECT("'"&amp;$Q$2&amp;"'!N"&amp;ROW())),"")</f>
        <v>1</v>
      </c>
      <c r="P25" s="3"/>
      <c r="Q25" s="3"/>
      <c r="R25" s="3"/>
      <c r="S25" s="15" t="n">
        <f aca="true">IFERROR(IF(ISBLANK(INDIRECT("'"&amp;$Q$2&amp;"'!G"&amp;ROW())),"",INDIRECT("'"&amp;$Q$2&amp;"'!G"&amp;ROW())),"")</f>
        <v>-0.815806933890073</v>
      </c>
      <c r="T25" s="16" t="n">
        <f aca="false">IF(OR($G25="",$S25=""),"",$G25-$S25)</f>
        <v>0.308338512584661</v>
      </c>
      <c r="U25" s="15" t="n">
        <f aca="true">IFERROR(IF(ISBLANK(INDIRECT("'"&amp;$Q$2&amp;"'!K"&amp;ROW())),"",INDIRECT("'"&amp;$Q$2&amp;"'!K"&amp;ROW())),"")</f>
        <v>-0.732835820895522</v>
      </c>
      <c r="V25" s="16" t="n">
        <f aca="false">IF(OR($K25="",$U25=""),"",$K25-$U25)</f>
        <v>0.263562077878763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-16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235</v>
      </c>
      <c r="D26" s="32" t="n">
        <v>32051</v>
      </c>
      <c r="E26" s="32" t="n">
        <f aca="true">IF($D26="","",IFERROR(IF(ISBLANK(INDIRECT("'"&amp;$Q$2&amp;"'!D"&amp;ROW())),"",INDIRECT("'"&amp;$Q$2&amp;"'!D"&amp;ROW())),""))</f>
        <v>98990</v>
      </c>
      <c r="F26" s="33" t="n">
        <f aca="false">IF(OR(D26="",E26=""),"",D26-E26)</f>
        <v>-66939</v>
      </c>
      <c r="G26" s="34" t="n">
        <f aca="false">IFERROR(F26/E26,"")</f>
        <v>-0.676219820183857</v>
      </c>
      <c r="H26" s="32" t="n">
        <v>122</v>
      </c>
      <c r="I26" s="32" t="n">
        <f aca="true">IF($H26="","",IFERROR(IF(ISBLANK(INDIRECT("'"&amp;$Q$2&amp;"'!H"&amp;ROW())),"",INDIRECT("'"&amp;$Q$2&amp;"'!H"&amp;ROW())),""))</f>
        <v>438</v>
      </c>
      <c r="J26" s="33" t="n">
        <f aca="false">IF(OR(H26="",I26=""),"",H26-I26)</f>
        <v>-316</v>
      </c>
      <c r="K26" s="34" t="n">
        <f aca="false">IFERROR(J26/I26,"")</f>
        <v>-0.721461187214612</v>
      </c>
      <c r="L26" s="32" t="n">
        <f aca="false">IFERROR(D26/C26,"")</f>
        <v>136.387234042553</v>
      </c>
      <c r="M26" s="32" t="n">
        <f aca="false">IFERROR(H26/D26*1000,"")</f>
        <v>3.80643349661477</v>
      </c>
      <c r="N26" s="32" t="n">
        <v>7940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n">
        <f aca="true">IFERROR(IF(ISBLANK(INDIRECT("'"&amp;$Q$2&amp;"'!G"&amp;ROW())),"",INDIRECT("'"&amp;$Q$2&amp;"'!G"&amp;ROW())),"")</f>
        <v>1.47320424734541</v>
      </c>
      <c r="T26" s="16" t="n">
        <f aca="false">IF(OR($G26="",$S26=""),"",$G26-$S26)</f>
        <v>-2.14942406752927</v>
      </c>
      <c r="U26" s="15" t="n">
        <f aca="true">IFERROR(IF(ISBLANK(INDIRECT("'"&amp;$Q$2&amp;"'!K"&amp;ROW())),"",INDIRECT("'"&amp;$Q$2&amp;"'!K"&amp;ROW())),"")</f>
        <v>2.36923076923077</v>
      </c>
      <c r="V26" s="16" t="n">
        <f aca="false">IF(OR($K26="",$U26=""),"",$K26-$U26)</f>
        <v>-3.09069195644538</v>
      </c>
      <c r="W26" s="17" t="n">
        <f aca="true">IFERROR(IF(ISBLANK(INDIRECT("'"&amp;$Q$2&amp;"'!O"&amp;ROW())),"",INDIRECT("'"&amp;$Q$2&amp;"'!O"&amp;ROW())),"")</f>
        <v>34</v>
      </c>
      <c r="X26" s="17" t="n">
        <f aca="false">IF(OR($O26="",$W26=""),"",$O26-$W26)</f>
        <v>-26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2184</v>
      </c>
      <c r="E27" s="32" t="n">
        <f aca="true">IF($D27="","",IFERROR(IF(ISBLANK(INDIRECT("'"&amp;$Q$2&amp;"'!D"&amp;ROW())),"",INDIRECT("'"&amp;$Q$2&amp;"'!D"&amp;ROW())),""))</f>
        <v>1834</v>
      </c>
      <c r="F27" s="33" t="n">
        <f aca="false">IF(OR(D27="",E27=""),"",D27-E27)</f>
        <v>350</v>
      </c>
      <c r="G27" s="34" t="n">
        <f aca="false">IFERROR(F27/E27,"")</f>
        <v>0.190839694656489</v>
      </c>
      <c r="H27" s="32" t="n">
        <v>27</v>
      </c>
      <c r="I27" s="32" t="n">
        <f aca="true">IF($H27="","",IFERROR(IF(ISBLANK(INDIRECT("'"&amp;$Q$2&amp;"'!H"&amp;ROW())),"",INDIRECT("'"&amp;$Q$2&amp;"'!H"&amp;ROW())),""))</f>
        <v>36</v>
      </c>
      <c r="J27" s="33" t="n">
        <f aca="false">IF(OR(H27="",I27=""),"",H27-I27)</f>
        <v>-9</v>
      </c>
      <c r="K27" s="34" t="n">
        <f aca="false">IFERROR(J27/I27,"")</f>
        <v>-0.25</v>
      </c>
      <c r="L27" s="32" t="n">
        <f aca="false">IFERROR(D27/C27,"")</f>
        <v>218.4</v>
      </c>
      <c r="M27" s="32" t="n">
        <f aca="false">IFERROR(H27/D27*1000,"")</f>
        <v>12.3626373626374</v>
      </c>
      <c r="N27" s="32" t="n">
        <v>16711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-0.0407949790794979</v>
      </c>
      <c r="T27" s="16" t="n">
        <f aca="false">IF(OR($G27="",$S27=""),"",$G27-$S27)</f>
        <v>0.231634673735986</v>
      </c>
      <c r="U27" s="15" t="n">
        <f aca="true">IFERROR(IF(ISBLANK(INDIRECT("'"&amp;$Q$2&amp;"'!K"&amp;ROW())),"",INDIRECT("'"&amp;$Q$2&amp;"'!K"&amp;ROW())),"")</f>
        <v>-0.027027027027027</v>
      </c>
      <c r="V27" s="16" t="n">
        <f aca="false">IF(OR($K27="",$U27=""),"",$K27-$U27)</f>
        <v>-0.222972972972973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7159</v>
      </c>
      <c r="E28" s="32" t="n">
        <f aca="true">IF($D28="","",IFERROR(IF(ISBLANK(INDIRECT("'"&amp;$Q$2&amp;"'!D"&amp;ROW())),"",INDIRECT("'"&amp;$Q$2&amp;"'!D"&amp;ROW())),""))</f>
        <v>5398</v>
      </c>
      <c r="F28" s="33" t="n">
        <f aca="false">IF(OR(D28="",E28=""),"",D28-E28)</f>
        <v>1761</v>
      </c>
      <c r="G28" s="34" t="n">
        <f aca="false">IFERROR(F28/E28,"")</f>
        <v>0.326231937754724</v>
      </c>
      <c r="H28" s="32" t="n">
        <v>30</v>
      </c>
      <c r="I28" s="32" t="n">
        <f aca="true">IF($H28="","",IFERROR(IF(ISBLANK(INDIRECT("'"&amp;$Q$2&amp;"'!H"&amp;ROW())),"",INDIRECT("'"&amp;$Q$2&amp;"'!H"&amp;ROW())),""))</f>
        <v>50</v>
      </c>
      <c r="J28" s="33" t="n">
        <f aca="false">IF(OR(H28="",I28=""),"",H28-I28)</f>
        <v>-20</v>
      </c>
      <c r="K28" s="34" t="n">
        <f aca="false">IFERROR(J28/I28,"")</f>
        <v>-0.4</v>
      </c>
      <c r="L28" s="32" t="n">
        <f aca="false">IFERROR(D28/C28,"")</f>
        <v>357.95</v>
      </c>
      <c r="M28" s="32" t="n">
        <f aca="false">IFERROR(H28/D28*1000,"")</f>
        <v>4.19052940354798</v>
      </c>
      <c r="N28" s="32" t="n">
        <v>21923</v>
      </c>
      <c r="O28" s="33" t="n">
        <f aca="true">IFERROR(IF(OR(N28="",ISBLANK(INDIRECT("'"&amp;$Q$2&amp;"'!N"&amp;ROW()))),"",N28-INDIRECT("'"&amp;$Q$2&amp;"'!N"&amp;ROW())),"")</f>
        <v>4</v>
      </c>
      <c r="P28" s="3"/>
      <c r="Q28" s="3"/>
      <c r="R28" s="3"/>
      <c r="S28" s="15" t="n">
        <f aca="true">IFERROR(IF(ISBLANK(INDIRECT("'"&amp;$Q$2&amp;"'!G"&amp;ROW())),"",INDIRECT("'"&amp;$Q$2&amp;"'!G"&amp;ROW())),"")</f>
        <v>0.0832831627533614</v>
      </c>
      <c r="T28" s="16" t="n">
        <f aca="false">IF(OR($G28="",$S28=""),"",$G28-$S28)</f>
        <v>0.242948775001363</v>
      </c>
      <c r="U28" s="15" t="n">
        <f aca="true">IFERROR(IF(ISBLANK(INDIRECT("'"&amp;$Q$2&amp;"'!K"&amp;ROW())),"",INDIRECT("'"&amp;$Q$2&amp;"'!K"&amp;ROW())),"")</f>
        <v>0.612903225806452</v>
      </c>
      <c r="V28" s="16" t="n">
        <f aca="false">IF(OR($K28="",$U28=""),"",$K28-$U28)</f>
        <v>-1.01290322580645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1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7</v>
      </c>
      <c r="D29" s="32" t="n">
        <v>10725</v>
      </c>
      <c r="E29" s="32" t="n">
        <f aca="true">IF($D29="","",IFERROR(IF(ISBLANK(INDIRECT("'"&amp;$Q$2&amp;"'!D"&amp;ROW())),"",INDIRECT("'"&amp;$Q$2&amp;"'!D"&amp;ROW())),""))</f>
        <v>3666</v>
      </c>
      <c r="F29" s="33" t="n">
        <f aca="false">IF(OR(D29="",E29=""),"",D29-E29)</f>
        <v>7059</v>
      </c>
      <c r="G29" s="34" t="n">
        <f aca="false">IFERROR(F29/E29,"")</f>
        <v>1.92553191489362</v>
      </c>
      <c r="H29" s="32" t="n">
        <v>253</v>
      </c>
      <c r="I29" s="32" t="n">
        <f aca="true">IF($H29="","",IFERROR(IF(ISBLANK(INDIRECT("'"&amp;$Q$2&amp;"'!H"&amp;ROW())),"",INDIRECT("'"&amp;$Q$2&amp;"'!H"&amp;ROW())),""))</f>
        <v>85</v>
      </c>
      <c r="J29" s="33" t="n">
        <f aca="false">IF(OR(H29="",I29=""),"",H29-I29)</f>
        <v>168</v>
      </c>
      <c r="K29" s="34" t="n">
        <f aca="false">IFERROR(J29/I29,"")</f>
        <v>1.97647058823529</v>
      </c>
      <c r="L29" s="32" t="n">
        <f aca="false">IFERROR(D29/C29,"")</f>
        <v>1532.14285714286</v>
      </c>
      <c r="M29" s="32" t="n">
        <f aca="false">IFERROR(H29/D29*1000,"")</f>
        <v>23.5897435897436</v>
      </c>
      <c r="N29" s="32" t="n">
        <v>9625</v>
      </c>
      <c r="O29" s="33" t="n">
        <f aca="true">IFERROR(IF(OR(N29="",ISBLANK(INDIRECT("'"&amp;$Q$2&amp;"'!N"&amp;ROW()))),"",N29-INDIRECT("'"&amp;$Q$2&amp;"'!N"&amp;ROW())),"")</f>
        <v>23</v>
      </c>
      <c r="P29" s="3"/>
      <c r="Q29" s="3"/>
      <c r="R29" s="3"/>
      <c r="S29" s="15" t="n">
        <f aca="true">IFERROR(IF(ISBLANK(INDIRECT("'"&amp;$Q$2&amp;"'!G"&amp;ROW())),"",INDIRECT("'"&amp;$Q$2&amp;"'!G"&amp;ROW())),"")</f>
        <v>-0.902701841923669</v>
      </c>
      <c r="T29" s="16" t="n">
        <f aca="false">IF(OR($G29="",$S29=""),"",$G29-$S29)</f>
        <v>2.82823375681729</v>
      </c>
      <c r="U29" s="15" t="n">
        <f aca="true">IFERROR(IF(ISBLANK(INDIRECT("'"&amp;$Q$2&amp;"'!K"&amp;ROW())),"",INDIRECT("'"&amp;$Q$2&amp;"'!K"&amp;ROW())),"")</f>
        <v>0.634615384615385</v>
      </c>
      <c r="V29" s="16" t="n">
        <f aca="false">IF(OR($K29="",$U29=""),"",$K29-$U29)</f>
        <v>1.34185520361991</v>
      </c>
      <c r="W29" s="17" t="n">
        <f aca="true">IFERROR(IF(ISBLANK(INDIRECT("'"&amp;$Q$2&amp;"'!O"&amp;ROW())),"",INDIRECT("'"&amp;$Q$2&amp;"'!O"&amp;ROW())),"")</f>
        <v>30</v>
      </c>
      <c r="X29" s="17" t="n">
        <f aca="false">IF(OR($O29="",$W29=""),"",$O29-$W29)</f>
        <v>-7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1883</v>
      </c>
      <c r="D30" s="36" t="n">
        <f aca="false">SUM(D3:D29)</f>
        <v>4273439</v>
      </c>
      <c r="E30" s="36" t="n">
        <f aca="false">SUM(E3:E29)</f>
        <v>3693588</v>
      </c>
      <c r="F30" s="37" t="n">
        <f aca="false">SUM(F3:F29)</f>
        <v>579851</v>
      </c>
      <c r="G30" s="38" t="n">
        <f aca="false">IF(C30=0,"",IFERROR(F30/E30,""))</f>
        <v>0.156988543389246</v>
      </c>
      <c r="H30" s="36" t="n">
        <f aca="false">SUM(H3:H29)</f>
        <v>29907</v>
      </c>
      <c r="I30" s="36" t="n">
        <f aca="false">SUM(I3:I29)</f>
        <v>33462</v>
      </c>
      <c r="J30" s="37" t="n">
        <f aca="false">SUM(J3:J29)</f>
        <v>-3555</v>
      </c>
      <c r="K30" s="38" t="n">
        <f aca="false">IF(C30=0,"",IFERROR(J30/I30,""))</f>
        <v>-0.106239913932222</v>
      </c>
      <c r="L30" s="36" t="n">
        <f aca="false">IFERROR(D30/C30,"")</f>
        <v>2269.48433351036</v>
      </c>
      <c r="M30" s="36" t="n">
        <f aca="false">IFERROR(H30/D30*1000,"")</f>
        <v>6.99834489271989</v>
      </c>
      <c r="N30" s="36" t="n">
        <f aca="false">SUM(N3:N29)</f>
        <v>465281</v>
      </c>
      <c r="O30" s="37" t="n">
        <f aca="false">SUM(O3:O29)</f>
        <v>728</v>
      </c>
      <c r="P30" s="3"/>
      <c r="Q30" s="3"/>
      <c r="R30" s="3"/>
      <c r="S30" s="23" t="n">
        <f aca="true">IFERROR(IF(ISBLANK(INDIRECT("'"&amp;$Q$2&amp;"'!G"&amp;ROW())),"",INDIRECT("'"&amp;$Q$2&amp;"'!G"&amp;ROW())),"")</f>
        <v>0.223066683444042</v>
      </c>
      <c r="T30" s="24" t="n">
        <f aca="false">IF(OR($G30="",$S30=""),"",$G30-$S30)</f>
        <v>-0.0660781400547955</v>
      </c>
      <c r="U30" s="23" t="n">
        <f aca="true">IFERROR(IF(ISBLANK(INDIRECT("'"&amp;$Q$2&amp;"'!K"&amp;ROW())),"",INDIRECT("'"&amp;$Q$2&amp;"'!K"&amp;ROW())),"")</f>
        <v>0.0299168975069252</v>
      </c>
      <c r="V30" s="24" t="n">
        <f aca="false">IF(OR($K30="",$U30=""),"",$K30-$U30)</f>
        <v>-0.136156811439147</v>
      </c>
      <c r="W30" s="25" t="n">
        <f aca="true">IFERROR(IF(ISBLANK(INDIRECT("'"&amp;$Q$2&amp;"'!O"&amp;ROW())),"",INDIRECT("'"&amp;$Q$2&amp;"'!O"&amp;ROW())),"")</f>
        <v>3078</v>
      </c>
      <c r="X30" s="25" t="n">
        <f aca="false">IF(OR(C30=0,$O30="",$W30=""),"",$O30-$W30)</f>
        <v>-2350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118</v>
      </c>
      <c r="D31" s="32" t="n">
        <v>25088</v>
      </c>
      <c r="E31" s="32" t="n">
        <f aca="true">IF($D31="","",IFERROR(IF(ISBLANK(INDIRECT("'"&amp;$Q$2&amp;"'!D"&amp;ROW())),"",INDIRECT("'"&amp;$Q$2&amp;"'!D"&amp;ROW())),""))</f>
        <v>36700</v>
      </c>
      <c r="F31" s="33" t="n">
        <f aca="false">IF(OR(D31="",E31=""),"",D31-E31)</f>
        <v>-11612</v>
      </c>
      <c r="G31" s="34" t="n">
        <f aca="false">IFERROR(F31/E31,"")</f>
        <v>-0.316403269754768</v>
      </c>
      <c r="H31" s="32" t="n">
        <v>112</v>
      </c>
      <c r="I31" s="32" t="n">
        <f aca="true">IF($H31="","",IFERROR(IF(ISBLANK(INDIRECT("'"&amp;$Q$2&amp;"'!H"&amp;ROW())),"",INDIRECT("'"&amp;$Q$2&amp;"'!H"&amp;ROW())),""))</f>
        <v>116</v>
      </c>
      <c r="J31" s="33" t="n">
        <f aca="false">IF(OR(H31="",I31=""),"",H31-I31)</f>
        <v>-4</v>
      </c>
      <c r="K31" s="34" t="n">
        <f aca="false">IFERROR(J31/I31,"")</f>
        <v>-0.0344827586206897</v>
      </c>
      <c r="L31" s="32" t="n">
        <f aca="false">IFERROR(D31/C31,"")</f>
        <v>212.610169491525</v>
      </c>
      <c r="M31" s="32" t="n">
        <f aca="false">IFERROR(H31/D31*1000,"")</f>
        <v>4.46428571428571</v>
      </c>
      <c r="N31" s="32" t="n">
        <v>32491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-0.874132733377461</v>
      </c>
      <c r="T31" s="16" t="n">
        <f aca="false">IF(OR($G31="",$S31=""),"",$G31-$S31)</f>
        <v>0.557729463622693</v>
      </c>
      <c r="U31" s="15" t="n">
        <f aca="true">IFERROR(IF(ISBLANK(INDIRECT("'"&amp;$Q$2&amp;"'!K"&amp;ROW())),"",INDIRECT("'"&amp;$Q$2&amp;"'!K"&amp;ROW())),"")</f>
        <v>-0.0866141732283465</v>
      </c>
      <c r="V31" s="16" t="n">
        <f aca="false">IF(OR($K31="",$U31=""),"",$K31-$U31)</f>
        <v>0.0521314146076568</v>
      </c>
      <c r="W31" s="17" t="n">
        <f aca="true">IFERROR(IF(ISBLANK(INDIRECT("'"&amp;$Q$2&amp;"'!O"&amp;ROW())),"",INDIRECT("'"&amp;$Q$2&amp;"'!O"&amp;ROW())),"")</f>
        <v>15</v>
      </c>
      <c r="X31" s="17" t="n">
        <f aca="false">IF(OR($O31="",$W31=""),"",$O31-$W31)</f>
        <v>-12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109</v>
      </c>
      <c r="D32" s="32" t="n">
        <v>31127</v>
      </c>
      <c r="E32" s="32" t="n">
        <f aca="true">IF($D32="","",IFERROR(IF(ISBLANK(INDIRECT("'"&amp;$Q$2&amp;"'!D"&amp;ROW())),"",INDIRECT("'"&amp;$Q$2&amp;"'!D"&amp;ROW())),""))</f>
        <v>42212</v>
      </c>
      <c r="F32" s="33" t="n">
        <f aca="false">IF(OR(D32="",E32=""),"",D32-E32)</f>
        <v>-11085</v>
      </c>
      <c r="G32" s="34" t="n">
        <f aca="false">IFERROR(F32/E32,"")</f>
        <v>-0.262603051265043</v>
      </c>
      <c r="H32" s="32" t="n">
        <v>35</v>
      </c>
      <c r="I32" s="32" t="n">
        <f aca="true">IF($H32="","",IFERROR(IF(ISBLANK(INDIRECT("'"&amp;$Q$2&amp;"'!H"&amp;ROW())),"",INDIRECT("'"&amp;$Q$2&amp;"'!H"&amp;ROW())),""))</f>
        <v>92</v>
      </c>
      <c r="J32" s="33" t="n">
        <f aca="false">IF(OR(H32="",I32=""),"",H32-I32)</f>
        <v>-57</v>
      </c>
      <c r="K32" s="34" t="n">
        <f aca="false">IFERROR(J32/I32,"")</f>
        <v>-0.619565217391304</v>
      </c>
      <c r="L32" s="32" t="n">
        <f aca="false">IFERROR(D32/C32,"")</f>
        <v>285.56880733945</v>
      </c>
      <c r="M32" s="32" t="n">
        <f aca="false">IFERROR(H32/D32*1000,"")</f>
        <v>1.1244257397115</v>
      </c>
      <c r="N32" s="32" t="n">
        <v>21738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0.0359535671337767</v>
      </c>
      <c r="T32" s="16" t="n">
        <f aca="false">IF(OR($G32="",$S32=""),"",$G32-$S32)</f>
        <v>-0.29855661839882</v>
      </c>
      <c r="U32" s="15" t="n">
        <f aca="true">IFERROR(IF(ISBLANK(INDIRECT("'"&amp;$Q$2&amp;"'!K"&amp;ROW())),"",INDIRECT("'"&amp;$Q$2&amp;"'!K"&amp;ROW())),"")</f>
        <v>0.352941176470588</v>
      </c>
      <c r="V32" s="16" t="n">
        <f aca="false">IF(OR($K32="",$U32=""),"",$K32-$U32)</f>
        <v>-0.972506393861893</v>
      </c>
      <c r="W32" s="17" t="n">
        <f aca="true">IFERROR(IF(ISBLANK(INDIRECT("'"&amp;$Q$2&amp;"'!O"&amp;ROW())),"",INDIRECT("'"&amp;$Q$2&amp;"'!O"&amp;ROW())),"")</f>
        <v>2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75</v>
      </c>
      <c r="D33" s="32" t="n">
        <v>24654</v>
      </c>
      <c r="E33" s="32" t="n">
        <f aca="true">IF($D33="","",IFERROR(IF(ISBLANK(INDIRECT("'"&amp;$Q$2&amp;"'!D"&amp;ROW())),"",INDIRECT("'"&amp;$Q$2&amp;"'!D"&amp;ROW())),""))</f>
        <v>16771</v>
      </c>
      <c r="F33" s="33" t="n">
        <f aca="false">IF(OR(D33="",E33=""),"",D33-E33)</f>
        <v>7883</v>
      </c>
      <c r="G33" s="34" t="n">
        <f aca="false">IFERROR(F33/E33,"")</f>
        <v>0.470037564844076</v>
      </c>
      <c r="H33" s="32" t="n">
        <v>18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13</v>
      </c>
      <c r="K33" s="34" t="n">
        <f aca="false">IFERROR(J33/I33,"")</f>
        <v>2.6</v>
      </c>
      <c r="L33" s="32" t="n">
        <f aca="false">IFERROR(D33/C33,"")</f>
        <v>328.72</v>
      </c>
      <c r="M33" s="32" t="n">
        <f aca="false">IFERROR(H33/D33*1000,"")</f>
        <v>0.730104648332928</v>
      </c>
      <c r="N33" s="32" t="n">
        <v>8958</v>
      </c>
      <c r="O33" s="33" t="n">
        <f aca="true">IFERROR(IF(OR(N33="",ISBLANK(INDIRECT("'"&amp;$Q$2&amp;"'!N"&amp;ROW()))),"",N33-INDIRECT("'"&amp;$Q$2&amp;"'!N"&amp;ROW())),"")</f>
        <v>1</v>
      </c>
      <c r="P33" s="3"/>
      <c r="Q33" s="3"/>
      <c r="R33" s="3"/>
      <c r="S33" s="15" t="n">
        <f aca="true">IFERROR(IF(ISBLANK(INDIRECT("'"&amp;$Q$2&amp;"'!G"&amp;ROW())),"",INDIRECT("'"&amp;$Q$2&amp;"'!G"&amp;ROW())),"")</f>
        <v>-0.0853013362421598</v>
      </c>
      <c r="T33" s="16" t="n">
        <f aca="false">IF(OR($G33="",$S33=""),"",$G33-$S33)</f>
        <v>0.555338901086236</v>
      </c>
      <c r="U33" s="15" t="n">
        <f aca="true">IFERROR(IF(ISBLANK(INDIRECT("'"&amp;$Q$2&amp;"'!K"&amp;ROW())),"",INDIRECT("'"&amp;$Q$2&amp;"'!K"&amp;ROW())),"")</f>
        <v>0.25</v>
      </c>
      <c r="V33" s="16" t="n">
        <f aca="false">IF(OR($K33="",$U33=""),"",$K33-$U33)</f>
        <v>2.35</v>
      </c>
      <c r="W33" s="17" t="n">
        <f aca="true">IFERROR(IF(ISBLANK(INDIRECT("'"&amp;$Q$2&amp;"'!O"&amp;ROW())),"",INDIRECT("'"&amp;$Q$2&amp;"'!O"&amp;ROW())),"")</f>
        <v>-4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84</v>
      </c>
      <c r="D34" s="32" t="n">
        <v>604</v>
      </c>
      <c r="E34" s="32" t="n">
        <f aca="true">IF($D34="","",IFERROR(IF(ISBLANK(INDIRECT("'"&amp;$Q$2&amp;"'!D"&amp;ROW())),"",INDIRECT("'"&amp;$Q$2&amp;"'!D"&amp;ROW())),""))</f>
        <v>721</v>
      </c>
      <c r="F34" s="33" t="n">
        <f aca="false">IF(OR(D34="",E34=""),"",D34-E34)</f>
        <v>-117</v>
      </c>
      <c r="G34" s="34" t="n">
        <f aca="false">IFERROR(F34/E34,"")</f>
        <v>-0.162274618585298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7.19047619047619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-0.203314917127072</v>
      </c>
      <c r="T34" s="16" t="n">
        <f aca="false">IF(OR($G34="",$S34=""),"",$G34-$S34)</f>
        <v>0.0410402985417736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83</v>
      </c>
      <c r="D35" s="32" t="n">
        <v>8859</v>
      </c>
      <c r="E35" s="32" t="n">
        <f aca="true">IF($D35="","",IFERROR(IF(ISBLANK(INDIRECT("'"&amp;$Q$2&amp;"'!D"&amp;ROW())),"",INDIRECT("'"&amp;$Q$2&amp;"'!D"&amp;ROW())),""))</f>
        <v>9472</v>
      </c>
      <c r="F35" s="33" t="n">
        <f aca="false">IF(OR(D35="",E35=""),"",D35-E35)</f>
        <v>-613</v>
      </c>
      <c r="G35" s="34" t="n">
        <f aca="false">IFERROR(F35/E35,"")</f>
        <v>-0.0647170608108108</v>
      </c>
      <c r="H35" s="32" t="n">
        <v>70</v>
      </c>
      <c r="I35" s="32" t="n">
        <f aca="true">IF($H35="","",IFERROR(IF(ISBLANK(INDIRECT("'"&amp;$Q$2&amp;"'!H"&amp;ROW())),"",INDIRECT("'"&amp;$Q$2&amp;"'!H"&amp;ROW())),""))</f>
        <v>48</v>
      </c>
      <c r="J35" s="33" t="n">
        <f aca="false">IF(OR(H35="",I35=""),"",H35-I35)</f>
        <v>22</v>
      </c>
      <c r="K35" s="34" t="n">
        <f aca="false">IFERROR(J35/I35,"")</f>
        <v>0.458333333333333</v>
      </c>
      <c r="L35" s="32" t="n">
        <f aca="false">IFERROR(D35/C35,"")</f>
        <v>106.734939759036</v>
      </c>
      <c r="M35" s="32" t="n">
        <f aca="false">IFERROR(H35/D35*1000,"")</f>
        <v>7.90156902584942</v>
      </c>
      <c r="N35" s="32" t="n">
        <v>1941</v>
      </c>
      <c r="O35" s="33" t="n">
        <f aca="true">IFERROR(IF(OR(N35="",ISBLANK(INDIRECT("'"&amp;$Q$2&amp;"'!N"&amp;ROW()))),"",N35-INDIRECT("'"&amp;$Q$2&amp;"'!N"&amp;ROW())),"")</f>
        <v>0</v>
      </c>
      <c r="P35" s="3"/>
      <c r="Q35" s="3"/>
      <c r="R35" s="3"/>
      <c r="S35" s="15" t="n">
        <f aca="true">IFERROR(IF(ISBLANK(INDIRECT("'"&amp;$Q$2&amp;"'!G"&amp;ROW())),"",INDIRECT("'"&amp;$Q$2&amp;"'!G"&amp;ROW())),"")</f>
        <v>-0.0747289244895966</v>
      </c>
      <c r="T35" s="16" t="n">
        <f aca="false">IF(OR($G35="",$S35=""),"",$G35-$S35)</f>
        <v>0.0100118636787857</v>
      </c>
      <c r="U35" s="15" t="n">
        <f aca="true">IFERROR(IF(ISBLANK(INDIRECT("'"&amp;$Q$2&amp;"'!K"&amp;ROW())),"",INDIRECT("'"&amp;$Q$2&amp;"'!K"&amp;ROW())),"")</f>
        <v>-0.619047619047619</v>
      </c>
      <c r="V35" s="16" t="n">
        <f aca="false">IF(OR($K35="",$U35=""),"",$K35-$U35)</f>
        <v>1.07738095238095</v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-4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/>
      <c r="D36" s="32"/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/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str">
        <f aca="false">IFERROR(D36/C36,"")</f>
        <v/>
      </c>
      <c r="M36" s="32" t="str">
        <f aca="false">IFERROR(H36/D36*1000,"")</f>
        <v/>
      </c>
      <c r="N36" s="32"/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n">
        <f aca="true">IFERROR(IF(ISBLANK(INDIRECT("'"&amp;$Q$2&amp;"'!G"&amp;ROW())),"",INDIRECT("'"&amp;$Q$2&amp;"'!G"&amp;ROW())),"")</f>
        <v>-0.0376481581665273</v>
      </c>
      <c r="T36" s="16" t="str">
        <f aca="false">IF(OR($G36="",$S36=""),"",$G36-$S36)</f>
        <v/>
      </c>
      <c r="U36" s="15" t="n">
        <f aca="true">IFERROR(IF(ISBLANK(INDIRECT("'"&amp;$Q$2&amp;"'!K"&amp;ROW())),"",INDIRECT("'"&amp;$Q$2&amp;"'!K"&amp;ROW())),"")</f>
        <v>-0.415254237288136</v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7</v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117</v>
      </c>
      <c r="D37" s="32" t="n">
        <v>5607</v>
      </c>
      <c r="E37" s="32" t="n">
        <f aca="true">IF($D37="","",IFERROR(IF(ISBLANK(INDIRECT("'"&amp;$Q$2&amp;"'!D"&amp;ROW())),"",INDIRECT("'"&amp;$Q$2&amp;"'!D"&amp;ROW())),""))</f>
        <v>6504</v>
      </c>
      <c r="F37" s="33" t="n">
        <f aca="false">IF(OR(D37="",E37=""),"",D37-E37)</f>
        <v>-897</v>
      </c>
      <c r="G37" s="34" t="n">
        <f aca="false">IFERROR(F37/E37,"")</f>
        <v>-0.137915129151292</v>
      </c>
      <c r="H37" s="32" t="n">
        <v>18</v>
      </c>
      <c r="I37" s="32" t="n">
        <f aca="true">IF($H37="","",IFERROR(IF(ISBLANK(INDIRECT("'"&amp;$Q$2&amp;"'!H"&amp;ROW())),"",INDIRECT("'"&amp;$Q$2&amp;"'!H"&amp;ROW())),""))</f>
        <v>48</v>
      </c>
      <c r="J37" s="33" t="n">
        <f aca="false">IF(OR(H37="",I37=""),"",H37-I37)</f>
        <v>-30</v>
      </c>
      <c r="K37" s="34" t="n">
        <f aca="false">IFERROR(J37/I37,"")</f>
        <v>-0.625</v>
      </c>
      <c r="L37" s="32" t="n">
        <f aca="false">IFERROR(D37/C37,"")</f>
        <v>47.9230769230769</v>
      </c>
      <c r="M37" s="32" t="n">
        <f aca="false">IFERROR(H37/D37*1000,"")</f>
        <v>3.21027287319422</v>
      </c>
      <c r="N37" s="32" t="n">
        <v>3238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-0.145559642669469</v>
      </c>
      <c r="T37" s="16" t="n">
        <f aca="false">IF(OR($G37="",$S37=""),"",$G37-$S37)</f>
        <v>0.00764451351817774</v>
      </c>
      <c r="U37" s="15" t="n">
        <f aca="true">IFERROR(IF(ISBLANK(INDIRECT("'"&amp;$Q$2&amp;"'!K"&amp;ROW())),"",INDIRECT("'"&amp;$Q$2&amp;"'!K"&amp;ROW())),"")</f>
        <v>-0.186440677966102</v>
      </c>
      <c r="V37" s="16" t="n">
        <f aca="false">IF(OR($K37="",$U37=""),"",$K37-$U37)</f>
        <v>-0.438559322033898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107</v>
      </c>
      <c r="D38" s="32" t="n">
        <v>9151</v>
      </c>
      <c r="E38" s="32" t="n">
        <f aca="true">IF($D38="","",IFERROR(IF(ISBLANK(INDIRECT("'"&amp;$Q$2&amp;"'!D"&amp;ROW())),"",INDIRECT("'"&amp;$Q$2&amp;"'!D"&amp;ROW())),""))</f>
        <v>10887</v>
      </c>
      <c r="F38" s="33" t="n">
        <f aca="false">IF(OR(D38="",E38=""),"",D38-E38)</f>
        <v>-1736</v>
      </c>
      <c r="G38" s="34" t="n">
        <f aca="false">IFERROR(F38/E38,"")</f>
        <v>-0.159456232203546</v>
      </c>
      <c r="H38" s="32" t="n">
        <v>151</v>
      </c>
      <c r="I38" s="32" t="n">
        <f aca="true">IF($H38="","",IFERROR(IF(ISBLANK(INDIRECT("'"&amp;$Q$2&amp;"'!H"&amp;ROW())),"",INDIRECT("'"&amp;$Q$2&amp;"'!H"&amp;ROW())),""))</f>
        <v>183</v>
      </c>
      <c r="J38" s="33" t="n">
        <f aca="false">IF(OR(H38="",I38=""),"",H38-I38)</f>
        <v>-32</v>
      </c>
      <c r="K38" s="34" t="n">
        <f aca="false">IFERROR(J38/I38,"")</f>
        <v>-0.174863387978142</v>
      </c>
      <c r="L38" s="32" t="n">
        <f aca="false">IFERROR(D38/C38,"")</f>
        <v>85.5233644859813</v>
      </c>
      <c r="M38" s="32" t="n">
        <f aca="false">IFERROR(H38/D38*1000,"")</f>
        <v>16.5009288602339</v>
      </c>
      <c r="N38" s="32" t="n">
        <v>1711</v>
      </c>
      <c r="O38" s="33" t="n">
        <f aca="true">IFERROR(IF(OR(N38="",ISBLANK(INDIRECT("'"&amp;$Q$2&amp;"'!N"&amp;ROW()))),"",N38-INDIRECT("'"&amp;$Q$2&amp;"'!N"&amp;ROW())),"")</f>
        <v>0</v>
      </c>
      <c r="P38" s="3"/>
      <c r="Q38" s="3"/>
      <c r="R38" s="3"/>
      <c r="S38" s="15" t="n">
        <f aca="true">IFERROR(IF(ISBLANK(INDIRECT("'"&amp;$Q$2&amp;"'!G"&amp;ROW())),"",INDIRECT("'"&amp;$Q$2&amp;"'!G"&amp;ROW())),"")</f>
        <v>0.351415094339623</v>
      </c>
      <c r="T38" s="16" t="n">
        <f aca="false">IF(OR($G38="",$S38=""),"",$G38-$S38)</f>
        <v>-0.510871326543168</v>
      </c>
      <c r="U38" s="15" t="n">
        <f aca="true">IFERROR(IF(ISBLANK(INDIRECT("'"&amp;$Q$2&amp;"'!K"&amp;ROW())),"",INDIRECT("'"&amp;$Q$2&amp;"'!K"&amp;ROW())),"")</f>
        <v>0.063953488372093</v>
      </c>
      <c r="V38" s="16" t="n">
        <f aca="false">IF(OR($K38="",$U38=""),"",$K38-$U38)</f>
        <v>-0.238816876350235</v>
      </c>
      <c r="W38" s="17" t="n">
        <f aca="true">IFERROR(IF(ISBLANK(INDIRECT("'"&amp;$Q$2&amp;"'!O"&amp;ROW())),"",INDIRECT("'"&amp;$Q$2&amp;"'!O"&amp;ROW())),"")</f>
        <v>6</v>
      </c>
      <c r="X38" s="17" t="n">
        <f aca="false">IF(OR($O38="",$W38=""),"",$O38-$W38)</f>
        <v>-6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53</v>
      </c>
      <c r="D39" s="32" t="n">
        <v>4189</v>
      </c>
      <c r="E39" s="32" t="n">
        <f aca="true">IF($D39="","",IFERROR(IF(ISBLANK(INDIRECT("'"&amp;$Q$2&amp;"'!D"&amp;ROW())),"",INDIRECT("'"&amp;$Q$2&amp;"'!D"&amp;ROW())),""))</f>
        <v>4212</v>
      </c>
      <c r="F39" s="33" t="n">
        <f aca="false">IF(OR(D39="",E39=""),"",D39-E39)</f>
        <v>-23</v>
      </c>
      <c r="G39" s="34" t="n">
        <f aca="false">IFERROR(F39/E39,"")</f>
        <v>-0.00546058879392213</v>
      </c>
      <c r="H39" s="32" t="n">
        <v>3</v>
      </c>
      <c r="I39" s="32" t="n">
        <f aca="true">IF($H39="","",IFERROR(IF(ISBLANK(INDIRECT("'"&amp;$Q$2&amp;"'!H"&amp;ROW())),"",INDIRECT("'"&amp;$Q$2&amp;"'!H"&amp;ROW())),""))</f>
        <v>8</v>
      </c>
      <c r="J39" s="33" t="n">
        <f aca="false">IF(OR(H39="",I39=""),"",H39-I39)</f>
        <v>-5</v>
      </c>
      <c r="K39" s="34" t="n">
        <f aca="false">IFERROR(J39/I39,"")</f>
        <v>-0.625</v>
      </c>
      <c r="L39" s="32" t="n">
        <f aca="false">IFERROR(D39/C39,"")</f>
        <v>79.0377358490566</v>
      </c>
      <c r="M39" s="32" t="n">
        <f aca="false">IFERROR(H39/D39*1000,"")</f>
        <v>0.71616137502984</v>
      </c>
      <c r="N39" s="32" t="n">
        <v>225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1.17001545595054</v>
      </c>
      <c r="T39" s="16" t="n">
        <f aca="false">IF(OR($G39="",$S39=""),"",$G39-$S39)</f>
        <v>-1.17547604474446</v>
      </c>
      <c r="U39" s="15" t="n">
        <f aca="true">IFERROR(IF(ISBLANK(INDIRECT("'"&amp;$Q$2&amp;"'!K"&amp;ROW())),"",INDIRECT("'"&amp;$Q$2&amp;"'!K"&amp;ROW())),"")</f>
        <v>-0.2</v>
      </c>
      <c r="V39" s="16" t="n">
        <f aca="false">IF(OR($K39="",$U39=""),"",$K39-$U39)</f>
        <v>-0.425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-1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/>
      <c r="D40" s="32"/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/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str">
        <f aca="false">IFERROR(D40/C40,"")</f>
        <v/>
      </c>
      <c r="M40" s="32" t="str">
        <f aca="false">IFERROR(H40/D40*1000,"")</f>
        <v/>
      </c>
      <c r="N40" s="32"/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n">
        <f aca="true">IFERROR(IF(ISBLANK(INDIRECT("'"&amp;$Q$2&amp;"'!G"&amp;ROW())),"",INDIRECT("'"&amp;$Q$2&amp;"'!G"&amp;ROW())),"")</f>
        <v>0.103537392989824</v>
      </c>
      <c r="T40" s="16" t="str">
        <f aca="false">IF(OR($G40="",$S40=""),"",$G40-$S40)</f>
        <v/>
      </c>
      <c r="U40" s="15" t="n">
        <f aca="true">IFERROR(IF(ISBLANK(INDIRECT("'"&amp;$Q$2&amp;"'!K"&amp;ROW())),"",INDIRECT("'"&amp;$Q$2&amp;"'!K"&amp;ROW())),"")</f>
        <v>-0.425531914893617</v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1</v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50</v>
      </c>
      <c r="D41" s="32" t="n">
        <v>12390</v>
      </c>
      <c r="E41" s="32" t="n">
        <f aca="true">IF($D41="","",IFERROR(IF(ISBLANK(INDIRECT("'"&amp;$Q$2&amp;"'!D"&amp;ROW())),"",INDIRECT("'"&amp;$Q$2&amp;"'!D"&amp;ROW())),""))</f>
        <v>12790</v>
      </c>
      <c r="F41" s="33" t="n">
        <f aca="false">IF(OR(D41="",E41=""),"",D41-E41)</f>
        <v>-400</v>
      </c>
      <c r="G41" s="34" t="n">
        <f aca="false">IFERROR(F41/E41,"")</f>
        <v>-0.0312744331508991</v>
      </c>
      <c r="H41" s="32" t="n">
        <v>121</v>
      </c>
      <c r="I41" s="32" t="n">
        <f aca="true">IF($H41="","",IFERROR(IF(ISBLANK(INDIRECT("'"&amp;$Q$2&amp;"'!H"&amp;ROW())),"",INDIRECT("'"&amp;$Q$2&amp;"'!H"&amp;ROW())),""))</f>
        <v>102</v>
      </c>
      <c r="J41" s="33" t="n">
        <f aca="false">IF(OR(H41="",I41=""),"",H41-I41)</f>
        <v>19</v>
      </c>
      <c r="K41" s="34" t="n">
        <f aca="false">IFERROR(J41/I41,"")</f>
        <v>0.186274509803922</v>
      </c>
      <c r="L41" s="32" t="n">
        <f aca="false">IFERROR(D41/C41,"")</f>
        <v>247.8</v>
      </c>
      <c r="M41" s="32" t="n">
        <f aca="false">IFERROR(H41/D41*1000,"")</f>
        <v>9.76594027441485</v>
      </c>
      <c r="N41" s="32" t="n">
        <v>3531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0.497658079625293</v>
      </c>
      <c r="T41" s="16" t="n">
        <f aca="false">IF(OR($G41="",$S41=""),"",$G41-$S41)</f>
        <v>-0.528932512776192</v>
      </c>
      <c r="U41" s="15" t="n">
        <f aca="true">IFERROR(IF(ISBLANK(INDIRECT("'"&amp;$Q$2&amp;"'!K"&amp;ROW())),"",INDIRECT("'"&amp;$Q$2&amp;"'!K"&amp;ROW())),"")</f>
        <v>-0.0810810810810811</v>
      </c>
      <c r="V41" s="16" t="n">
        <f aca="false">IF(OR($K41="",$U41=""),"",$K41-$U41)</f>
        <v>0.267355590885003</v>
      </c>
      <c r="W41" s="17" t="n">
        <f aca="true">IFERROR(IF(ISBLANK(INDIRECT("'"&amp;$Q$2&amp;"'!O"&amp;ROW())),"",INDIRECT("'"&amp;$Q$2&amp;"'!O"&amp;ROW())),"")</f>
        <v>-1</v>
      </c>
      <c r="X41" s="17" t="n">
        <f aca="false">IF(OR($O41="",$W41=""),"",$O41-$W41)</f>
        <v>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25</v>
      </c>
      <c r="D42" s="32" t="n">
        <v>6594</v>
      </c>
      <c r="E42" s="32" t="n">
        <f aca="true">IF($D42="","",IFERROR(IF(ISBLANK(INDIRECT("'"&amp;$Q$2&amp;"'!D"&amp;ROW())),"",INDIRECT("'"&amp;$Q$2&amp;"'!D"&amp;ROW())),""))</f>
        <v>7517</v>
      </c>
      <c r="F42" s="33" t="n">
        <f aca="false">IF(OR(D42="",E42=""),"",D42-E42)</f>
        <v>-923</v>
      </c>
      <c r="G42" s="34" t="n">
        <f aca="false">IFERROR(F42/E42,"")</f>
        <v>-0.122788346414793</v>
      </c>
      <c r="H42" s="32" t="n">
        <v>83</v>
      </c>
      <c r="I42" s="32" t="n">
        <f aca="true">IF($H42="","",IFERROR(IF(ISBLANK(INDIRECT("'"&amp;$Q$2&amp;"'!H"&amp;ROW())),"",INDIRECT("'"&amp;$Q$2&amp;"'!H"&amp;ROW())),""))</f>
        <v>133</v>
      </c>
      <c r="J42" s="33" t="n">
        <f aca="false">IF(OR(H42="",I42=""),"",H42-I42)</f>
        <v>-50</v>
      </c>
      <c r="K42" s="34" t="n">
        <f aca="false">IFERROR(J42/I42,"")</f>
        <v>-0.37593984962406</v>
      </c>
      <c r="L42" s="32" t="n">
        <f aca="false">IFERROR(D42/C42,"")</f>
        <v>263.76</v>
      </c>
      <c r="M42" s="32" t="n">
        <f aca="false">IFERROR(H42/D42*1000,"")</f>
        <v>12.5872004852897</v>
      </c>
      <c r="N42" s="32" t="n">
        <v>653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0.236145370827167</v>
      </c>
      <c r="T42" s="16" t="n">
        <f aca="false">IF(OR($G42="",$S42=""),"",$G42-$S42)</f>
        <v>-0.35893371724196</v>
      </c>
      <c r="U42" s="15" t="n">
        <f aca="true">IFERROR(IF(ISBLANK(INDIRECT("'"&amp;$Q$2&amp;"'!K"&amp;ROW())),"",INDIRECT("'"&amp;$Q$2&amp;"'!K"&amp;ROW())),"")</f>
        <v>-0.463709677419355</v>
      </c>
      <c r="V42" s="16" t="n">
        <f aca="false">IF(OR($K42="",$U42=""),"",$K42-$U42)</f>
        <v>0.0877698277952947</v>
      </c>
      <c r="W42" s="17" t="n">
        <f aca="true">IFERROR(IF(ISBLANK(INDIRECT("'"&amp;$Q$2&amp;"'!O"&amp;ROW())),"",INDIRECT("'"&amp;$Q$2&amp;"'!O"&amp;ROW())),"")</f>
        <v>1</v>
      </c>
      <c r="X42" s="17" t="n">
        <f aca="false">IF(OR($O42="",$W42=""),"",$O42-$W42)</f>
        <v>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43</v>
      </c>
      <c r="D43" s="32" t="n">
        <v>2452</v>
      </c>
      <c r="E43" s="32" t="n">
        <f aca="true">IF($D43="","",IFERROR(IF(ISBLANK(INDIRECT("'"&amp;$Q$2&amp;"'!D"&amp;ROW())),"",INDIRECT("'"&amp;$Q$2&amp;"'!D"&amp;ROW())),""))</f>
        <v>3667</v>
      </c>
      <c r="F43" s="33" t="n">
        <f aca="false">IF(OR(D43="",E43=""),"",D43-E43)</f>
        <v>-1215</v>
      </c>
      <c r="G43" s="34" t="n">
        <f aca="false">IFERROR(F43/E43,"")</f>
        <v>-0.331333515134988</v>
      </c>
      <c r="H43" s="32" t="n">
        <v>11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-14</v>
      </c>
      <c r="K43" s="34" t="n">
        <f aca="false">IFERROR(J43/I43,"")</f>
        <v>-0.56</v>
      </c>
      <c r="L43" s="32" t="n">
        <f aca="false">IFERROR(D43/C43,"")</f>
        <v>57.0232558139535</v>
      </c>
      <c r="M43" s="32" t="n">
        <f aca="false">IFERROR(H43/D43*1000,"")</f>
        <v>4.48613376835237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-0.27558277360727</v>
      </c>
      <c r="T43" s="16" t="n">
        <f aca="false">IF(OR($G43="",$S43=""),"",$G43-$S43)</f>
        <v>-0.0557507415277179</v>
      </c>
      <c r="U43" s="15" t="n">
        <f aca="true">IFERROR(IF(ISBLANK(INDIRECT("'"&amp;$Q$2&amp;"'!K"&amp;ROW())),"",INDIRECT("'"&amp;$Q$2&amp;"'!K"&amp;ROW())),"")</f>
        <v>-0.56140350877193</v>
      </c>
      <c r="V43" s="16" t="n">
        <f aca="false">IF(OR($K43="",$U43=""),"",$K43-$U43)</f>
        <v>0.00140350877192974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/>
      <c r="D44" s="32"/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/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str">
        <f aca="false">IFERROR(D44/C44,"")</f>
        <v/>
      </c>
      <c r="M44" s="32" t="str">
        <f aca="false">IFERROR(H44/D44*1000,"")</f>
        <v/>
      </c>
      <c r="N44" s="32"/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n">
        <f aca="true">IFERROR(IF(ISBLANK(INDIRECT("'"&amp;$Q$2&amp;"'!G"&amp;ROW())),"",INDIRECT("'"&amp;$Q$2&amp;"'!G"&amp;ROW())),"")</f>
        <v>-0.518420237937287</v>
      </c>
      <c r="T44" s="16" t="str">
        <f aca="false">IF(OR($G44="",$S44=""),"",$G44-$S44)</f>
        <v/>
      </c>
      <c r="U44" s="15" t="n">
        <f aca="true">IFERROR(IF(ISBLANK(INDIRECT("'"&amp;$Q$2&amp;"'!K"&amp;ROW())),"",INDIRECT("'"&amp;$Q$2&amp;"'!K"&amp;ROW())),"")</f>
        <v>-0.40669014084507</v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50</v>
      </c>
      <c r="D45" s="32" t="n">
        <v>14463</v>
      </c>
      <c r="E45" s="32" t="n">
        <f aca="true">IF($D45="","",IFERROR(IF(ISBLANK(INDIRECT("'"&amp;$Q$2&amp;"'!D"&amp;ROW())),"",INDIRECT("'"&amp;$Q$2&amp;"'!D"&amp;ROW())),""))</f>
        <v>21536</v>
      </c>
      <c r="F45" s="33" t="n">
        <f aca="false">IF(OR(D45="",E45=""),"",D45-E45)</f>
        <v>-7073</v>
      </c>
      <c r="G45" s="34" t="n">
        <f aca="false">IFERROR(F45/E45,"")</f>
        <v>-0.328426820208024</v>
      </c>
      <c r="H45" s="32" t="n">
        <v>201</v>
      </c>
      <c r="I45" s="32" t="n">
        <f aca="true">IF($H45="","",IFERROR(IF(ISBLANK(INDIRECT("'"&amp;$Q$2&amp;"'!H"&amp;ROW())),"",INDIRECT("'"&amp;$Q$2&amp;"'!H"&amp;ROW())),""))</f>
        <v>308</v>
      </c>
      <c r="J45" s="33" t="n">
        <f aca="false">IF(OR(H45="",I45=""),"",H45-I45)</f>
        <v>-107</v>
      </c>
      <c r="K45" s="34" t="n">
        <f aca="false">IFERROR(J45/I45,"")</f>
        <v>-0.347402597402597</v>
      </c>
      <c r="L45" s="32" t="n">
        <f aca="false">IFERROR(D45/C45,"")</f>
        <v>289.26</v>
      </c>
      <c r="M45" s="32" t="n">
        <f aca="false">IFERROR(H45/D45*1000,"")</f>
        <v>13.8975316324414</v>
      </c>
      <c r="N45" s="32" t="n">
        <v>3747</v>
      </c>
      <c r="O45" s="33" t="n">
        <f aca="true">IFERROR(IF(OR(N45="",ISBLANK(INDIRECT("'"&amp;$Q$2&amp;"'!N"&amp;ROW()))),"",N45-INDIRECT("'"&amp;$Q$2&amp;"'!N"&amp;ROW())),"")</f>
        <v>1</v>
      </c>
      <c r="P45" s="3"/>
      <c r="Q45" s="3"/>
      <c r="R45" s="3"/>
      <c r="S45" s="15" t="n">
        <f aca="true">IFERROR(IF(ISBLANK(INDIRECT("'"&amp;$Q$2&amp;"'!G"&amp;ROW())),"",INDIRECT("'"&amp;$Q$2&amp;"'!G"&amp;ROW())),"")</f>
        <v>0.0618805778807751</v>
      </c>
      <c r="T45" s="16" t="n">
        <f aca="false">IF(OR($G45="",$S45=""),"",$G45-$S45)</f>
        <v>-0.390307398088799</v>
      </c>
      <c r="U45" s="15" t="n">
        <f aca="true">IFERROR(IF(ISBLANK(INDIRECT("'"&amp;$Q$2&amp;"'!K"&amp;ROW())),"",INDIRECT("'"&amp;$Q$2&amp;"'!K"&amp;ROW())),"")</f>
        <v>-0.165311653116531</v>
      </c>
      <c r="V45" s="16" t="n">
        <f aca="false">IF(OR($K45="",$U45=""),"",$K45-$U45)</f>
        <v>-0.182090944286066</v>
      </c>
      <c r="W45" s="17" t="n">
        <f aca="true">IFERROR(IF(ISBLANK(INDIRECT("'"&amp;$Q$2&amp;"'!O"&amp;ROW())),"",INDIRECT("'"&amp;$Q$2&amp;"'!O"&amp;ROW())),"")</f>
        <v>3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22558</v>
      </c>
      <c r="E46" s="32" t="n">
        <f aca="true">IF($D46="","",IFERROR(IF(ISBLANK(INDIRECT("'"&amp;$Q$2&amp;"'!D"&amp;ROW())),"",INDIRECT("'"&amp;$Q$2&amp;"'!D"&amp;ROW())),""))</f>
        <v>29521</v>
      </c>
      <c r="F46" s="33" t="n">
        <f aca="false">IF(OR(D46="",E46=""),"",D46-E46)</f>
        <v>-6963</v>
      </c>
      <c r="G46" s="34" t="n">
        <f aca="false">IFERROR(F46/E46,"")</f>
        <v>-0.2358659936994</v>
      </c>
      <c r="H46" s="32" t="n">
        <v>342</v>
      </c>
      <c r="I46" s="32" t="n">
        <f aca="true">IF($H46="","",IFERROR(IF(ISBLANK(INDIRECT("'"&amp;$Q$2&amp;"'!H"&amp;ROW())),"",INDIRECT("'"&amp;$Q$2&amp;"'!H"&amp;ROW())),""))</f>
        <v>351</v>
      </c>
      <c r="J46" s="33" t="n">
        <f aca="false">IF(OR(H46="",I46=""),"",H46-I46)</f>
        <v>-9</v>
      </c>
      <c r="K46" s="34" t="n">
        <f aca="false">IFERROR(J46/I46,"")</f>
        <v>-0.0256410256410256</v>
      </c>
      <c r="L46" s="32" t="n">
        <f aca="false">IFERROR(D46/C46,"")</f>
        <v>363.838709677419</v>
      </c>
      <c r="M46" s="32" t="n">
        <f aca="false">IFERROR(H46/D46*1000,"")</f>
        <v>15.1609185211455</v>
      </c>
      <c r="N46" s="32" t="n">
        <v>4507</v>
      </c>
      <c r="O46" s="33" t="n">
        <f aca="true">IFERROR(IF(OR(N46="",ISBLANK(INDIRECT("'"&amp;$Q$2&amp;"'!N"&amp;ROW()))),"",N46-INDIRECT("'"&amp;$Q$2&amp;"'!N"&amp;ROW())),"")</f>
        <v>3</v>
      </c>
      <c r="P46" s="3"/>
      <c r="Q46" s="3"/>
      <c r="R46" s="3"/>
      <c r="S46" s="15" t="n">
        <f aca="true">IFERROR(IF(ISBLANK(INDIRECT("'"&amp;$Q$2&amp;"'!G"&amp;ROW())),"",INDIRECT("'"&amp;$Q$2&amp;"'!G"&amp;ROW())),"")</f>
        <v>0.512656282025005</v>
      </c>
      <c r="T46" s="16" t="n">
        <f aca="false">IF(OR($G46="",$S46=""),"",$G46-$S46)</f>
        <v>-0.748522275724406</v>
      </c>
      <c r="U46" s="15" t="n">
        <f aca="true">IFERROR(IF(ISBLANK(INDIRECT("'"&amp;$Q$2&amp;"'!K"&amp;ROW())),"",INDIRECT("'"&amp;$Q$2&amp;"'!K"&amp;ROW())),"")</f>
        <v>0.0173913043478261</v>
      </c>
      <c r="V46" s="16" t="n">
        <f aca="false">IF(OR($K46="",$U46=""),"",$K46-$U46)</f>
        <v>-0.0430323299888517</v>
      </c>
      <c r="W46" s="17" t="n">
        <f aca="true">IFERROR(IF(ISBLANK(INDIRECT("'"&amp;$Q$2&amp;"'!O"&amp;ROW())),"",INDIRECT("'"&amp;$Q$2&amp;"'!O"&amp;ROW())),"")</f>
        <v>0</v>
      </c>
      <c r="X46" s="17" t="n">
        <f aca="false">IF(OR($O46="",$W46=""),"",$O46-$W46)</f>
        <v>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/>
      <c r="D47" s="32"/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/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str">
        <f aca="false">IFERROR(D47/C47,"")</f>
        <v/>
      </c>
      <c r="M47" s="32" t="str">
        <f aca="false">IFERROR(H47/D47*1000,"")</f>
        <v/>
      </c>
      <c r="N47" s="32"/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n">
        <f aca="true">IFERROR(IF(ISBLANK(INDIRECT("'"&amp;$Q$2&amp;"'!G"&amp;ROW())),"",INDIRECT("'"&amp;$Q$2&amp;"'!G"&amp;ROW())),"")</f>
        <v>0.504504504504505</v>
      </c>
      <c r="T47" s="16" t="str">
        <f aca="false">IF(OR($G47="",$S47=""),"",$G47-$S47)</f>
        <v/>
      </c>
      <c r="U47" s="15" t="n">
        <f aca="true">IFERROR(IF(ISBLANK(INDIRECT("'"&amp;$Q$2&amp;"'!K"&amp;ROW())),"",INDIRECT("'"&amp;$Q$2&amp;"'!K"&amp;ROW())),"")</f>
        <v>0.0714285714285714</v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1</v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/>
      <c r="D48" s="32"/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/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str">
        <f aca="false">IFERROR(D48/C48,"")</f>
        <v/>
      </c>
      <c r="M48" s="32" t="str">
        <f aca="false">IFERROR(H48/D48*1000,"")</f>
        <v/>
      </c>
      <c r="N48" s="32"/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n">
        <f aca="true">IFERROR(IF(ISBLANK(INDIRECT("'"&amp;$Q$2&amp;"'!G"&amp;ROW())),"",INDIRECT("'"&amp;$Q$2&amp;"'!G"&amp;ROW())),"")</f>
        <v>-0.196452933151432</v>
      </c>
      <c r="T48" s="16" t="str">
        <f aca="false">IF(OR($G48="",$S48=""),"",$G48-$S48)</f>
        <v/>
      </c>
      <c r="U48" s="15" t="n">
        <f aca="true">IFERROR(IF(ISBLANK(INDIRECT("'"&amp;$Q$2&amp;"'!K"&amp;ROW())),"",INDIRECT("'"&amp;$Q$2&amp;"'!K"&amp;ROW())),"")</f>
        <v>0.368932038834951</v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3</v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214</v>
      </c>
      <c r="D49" s="32" t="n">
        <v>10157</v>
      </c>
      <c r="E49" s="32" t="n">
        <f aca="true">IF($D49="","",IFERROR(IF(ISBLANK(INDIRECT("'"&amp;$Q$2&amp;"'!D"&amp;ROW())),"",INDIRECT("'"&amp;$Q$2&amp;"'!D"&amp;ROW())),""))</f>
        <v>7973</v>
      </c>
      <c r="F49" s="33" t="n">
        <f aca="false">IF(OR(D49="",E49=""),"",D49-E49)</f>
        <v>2184</v>
      </c>
      <c r="G49" s="34" t="n">
        <f aca="false">IFERROR(F49/E49,"")</f>
        <v>0.273924495171203</v>
      </c>
      <c r="H49" s="32" t="n">
        <v>1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-1</v>
      </c>
      <c r="K49" s="34" t="n">
        <f aca="false">IFERROR(J49/I49,"")</f>
        <v>-0.5</v>
      </c>
      <c r="L49" s="32" t="n">
        <f aca="false">IFERROR(D49/C49,"")</f>
        <v>47.4626168224299</v>
      </c>
      <c r="M49" s="32" t="n">
        <f aca="false">IFERROR(H49/D49*1000,"")</f>
        <v>0.0984542679925175</v>
      </c>
      <c r="N49" s="32" t="n">
        <v>4820</v>
      </c>
      <c r="O49" s="33" t="n">
        <f aca="true">IFERROR(IF(OR(N49="",ISBLANK(INDIRECT("'"&amp;$Q$2&amp;"'!N"&amp;ROW()))),"",N49-INDIRECT("'"&amp;$Q$2&amp;"'!N"&amp;ROW())),"")</f>
        <v>0</v>
      </c>
      <c r="P49" s="3"/>
      <c r="Q49" s="3"/>
      <c r="R49" s="3"/>
      <c r="S49" s="15" t="n">
        <f aca="true">IFERROR(IF(ISBLANK(INDIRECT("'"&amp;$Q$2&amp;"'!G"&amp;ROW())),"",INDIRECT("'"&amp;$Q$2&amp;"'!G"&amp;ROW())),"")</f>
        <v>0.25955766192733</v>
      </c>
      <c r="T49" s="16" t="n">
        <f aca="false">IF(OR($G49="",$S49=""),"",$G49-$S49)</f>
        <v>0.0143668332438727</v>
      </c>
      <c r="U49" s="15" t="n">
        <f aca="true">IFERROR(IF(ISBLANK(INDIRECT("'"&amp;$Q$2&amp;"'!K"&amp;ROW())),"",INDIRECT("'"&amp;$Q$2&amp;"'!K"&amp;ROW())),"")</f>
        <v>0</v>
      </c>
      <c r="V49" s="16" t="n">
        <f aca="false">IF(OR($K49="",$U49=""),"",$K49-$U49)</f>
        <v>-0.5</v>
      </c>
      <c r="W49" s="17" t="n">
        <f aca="true">IFERROR(IF(ISBLANK(INDIRECT("'"&amp;$Q$2&amp;"'!O"&amp;ROW())),"",INDIRECT("'"&amp;$Q$2&amp;"'!O"&amp;ROW())),"")</f>
        <v>3</v>
      </c>
      <c r="X49" s="17" t="n">
        <f aca="false">IF(OR($O49="",$W49=""),"",$O49-$W49)</f>
        <v>-3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/>
      <c r="D50" s="32"/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/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str">
        <f aca="false">IFERROR(D50/C50,"")</f>
        <v/>
      </c>
      <c r="M50" s="32" t="str">
        <f aca="false">IFERROR(H50/D50*1000,"")</f>
        <v/>
      </c>
      <c r="N50" s="32"/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n">
        <f aca="true">IFERROR(IF(ISBLANK(INDIRECT("'"&amp;$Q$2&amp;"'!G"&amp;ROW())),"",INDIRECT("'"&amp;$Q$2&amp;"'!G"&amp;ROW())),"")</f>
        <v>3.03703703703704</v>
      </c>
      <c r="T50" s="16" t="str">
        <f aca="false">IF(OR($G50="",$S50=""),"",$G50-$S50)</f>
        <v/>
      </c>
      <c r="U50" s="15" t="n">
        <f aca="true">IFERROR(IF(ISBLANK(INDIRECT("'"&amp;$Q$2&amp;"'!K"&amp;ROW())),"",INDIRECT("'"&amp;$Q$2&amp;"'!K"&amp;ROW())),"")</f>
        <v>-0.25</v>
      </c>
      <c r="V50" s="16" t="str">
        <f aca="false">IF(OR($K50="",$U50=""),"",$K50-$U50)</f>
        <v/>
      </c>
      <c r="W50" s="17" t="n">
        <f aca="true">IFERROR(IF(ISBLANK(INDIRECT("'"&amp;$Q$2&amp;"'!O"&amp;ROW())),"",INDIRECT("'"&amp;$Q$2&amp;"'!O"&amp;ROW())),"")</f>
        <v>0</v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1190</v>
      </c>
      <c r="D51" s="36" t="n">
        <f aca="false">SUM(D31:D50)</f>
        <v>177893</v>
      </c>
      <c r="E51" s="36" t="n">
        <f aca="false">SUM(E31:E50)</f>
        <v>210483</v>
      </c>
      <c r="F51" s="37" t="n">
        <f aca="false">SUM(F31:F50)</f>
        <v>-32590</v>
      </c>
      <c r="G51" s="38" t="n">
        <f aca="false">IF(C51=0,"",IFERROR(F51/E51,""))</f>
        <v>-0.154834357168988</v>
      </c>
      <c r="H51" s="36" t="n">
        <f aca="false">SUM(H31:H50)</f>
        <v>1166</v>
      </c>
      <c r="I51" s="36" t="n">
        <f aca="false">SUM(I31:I50)</f>
        <v>1421</v>
      </c>
      <c r="J51" s="37" t="n">
        <f aca="false">SUM(J31:J50)</f>
        <v>-255</v>
      </c>
      <c r="K51" s="38" t="n">
        <f aca="false">IF(C51=0,"",IFERROR(J51/I51,""))</f>
        <v>-0.17945109078114</v>
      </c>
      <c r="L51" s="36" t="n">
        <f aca="false">IFERROR(D51/C51,"")</f>
        <v>149.489915966387</v>
      </c>
      <c r="M51" s="36" t="n">
        <f aca="false">IFERROR(H51/D51*1000,"")</f>
        <v>6.55450186347973</v>
      </c>
      <c r="N51" s="36" t="n">
        <f aca="false">SUM(N31:N50)</f>
        <v>89518</v>
      </c>
      <c r="O51" s="37" t="n">
        <f aca="false">SUM(O31:O50)</f>
        <v>14</v>
      </c>
      <c r="P51" s="3"/>
      <c r="Q51" s="3"/>
      <c r="R51" s="3"/>
      <c r="S51" s="23" t="n">
        <f aca="true">IFERROR(IF(ISBLANK(INDIRECT("'"&amp;$Q$2&amp;"'!G"&amp;ROW())),"",INDIRECT("'"&amp;$Q$2&amp;"'!G"&amp;ROW())),"")</f>
        <v>-0.477158075263279</v>
      </c>
      <c r="T51" s="24" t="n">
        <f aca="false">IF(OR($G51="",$S51=""),"",$G51-$S51)</f>
        <v>0.322323718094291</v>
      </c>
      <c r="U51" s="23" t="n">
        <f aca="true">IFERROR(IF(ISBLANK(INDIRECT("'"&amp;$Q$2&amp;"'!K"&amp;ROW())),"",INDIRECT("'"&amp;$Q$2&amp;"'!K"&amp;ROW())),"")</f>
        <v>-0.243647656691135</v>
      </c>
      <c r="V51" s="24" t="n">
        <f aca="false">IF(OR($K51="",$U51=""),"",$K51-$U51)</f>
        <v>0.0641965659099949</v>
      </c>
      <c r="W51" s="25" t="n">
        <f aca="true">IFERROR(IF(ISBLANK(INDIRECT("'"&amp;$Q$2&amp;"'!O"&amp;ROW())),"",INDIRECT("'"&amp;$Q$2&amp;"'!O"&amp;ROW())),"")</f>
        <v>48</v>
      </c>
      <c r="X51" s="25" t="n">
        <f aca="false">IF(OR(C51=0,$O51="",$W51=""),"",$O51-$W51)</f>
        <v>-34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86846</v>
      </c>
      <c r="E52" s="32" t="n">
        <f aca="true">IF($D52="","",IFERROR(IF(ISBLANK(INDIRECT("'"&amp;$Q$2&amp;"'!D"&amp;ROW())),"",INDIRECT("'"&amp;$Q$2&amp;"'!D"&amp;ROW())),""))</f>
        <v>41618</v>
      </c>
      <c r="F52" s="33" t="n">
        <f aca="false">IF(OR(D52="",E52=""),"",D52-E52)</f>
        <v>45228</v>
      </c>
      <c r="G52" s="34" t="n">
        <f aca="false">IFERROR(F52/E52,"")</f>
        <v>1.08674131385458</v>
      </c>
      <c r="H52" s="32" t="n">
        <v>262</v>
      </c>
      <c r="I52" s="32" t="n">
        <f aca="true">IF($H52="","",IFERROR(IF(ISBLANK(INDIRECT("'"&amp;$Q$2&amp;"'!H"&amp;ROW())),"",INDIRECT("'"&amp;$Q$2&amp;"'!H"&amp;ROW())),""))</f>
        <v>257</v>
      </c>
      <c r="J52" s="33" t="n">
        <f aca="false">IF(OR(H52="",I52=""),"",H52-I52)</f>
        <v>5</v>
      </c>
      <c r="K52" s="34" t="n">
        <f aca="false">IFERROR(J52/I52,"")</f>
        <v>0.0194552529182879</v>
      </c>
      <c r="L52" s="32" t="n">
        <f aca="false">IFERROR(D52/C52,"")</f>
        <v>615.929078014184</v>
      </c>
      <c r="M52" s="32" t="n">
        <f aca="false">IFERROR(H52/D52*1000,"")</f>
        <v>3.01683439651797</v>
      </c>
      <c r="N52" s="32" t="n">
        <v>11764</v>
      </c>
      <c r="O52" s="33" t="n">
        <f aca="true">IFERROR(IF(OR(N52="",ISBLANK(INDIRECT("'"&amp;$Q$2&amp;"'!N"&amp;ROW()))),"",N52-INDIRECT("'"&amp;$Q$2&amp;"'!N"&amp;ROW())),"")</f>
        <v>-25</v>
      </c>
      <c r="P52" s="3"/>
      <c r="Q52" s="3"/>
      <c r="R52" s="3"/>
      <c r="S52" s="15" t="n">
        <f aca="true">IFERROR(IF(ISBLANK(INDIRECT("'"&amp;$Q$2&amp;"'!G"&amp;ROW())),"",INDIRECT("'"&amp;$Q$2&amp;"'!G"&amp;ROW())),"")</f>
        <v>-0.46944239055608</v>
      </c>
      <c r="T52" s="16" t="n">
        <f aca="false">IF(OR($G52="",$S52=""),"",$G52-$S52)</f>
        <v>1.55618370441066</v>
      </c>
      <c r="U52" s="15" t="n">
        <f aca="true">IFERROR(IF(ISBLANK(INDIRECT("'"&amp;$Q$2&amp;"'!K"&amp;ROW())),"",INDIRECT("'"&amp;$Q$2&amp;"'!K"&amp;ROW())),"")</f>
        <v>-0.297814207650273</v>
      </c>
      <c r="V52" s="16" t="n">
        <f aca="false">IF(OR($K52="",$U52=""),"",$K52-$U52)</f>
        <v>0.317269460568561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-3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15751</v>
      </c>
      <c r="E53" s="32" t="n">
        <f aca="true">IF($D53="","",IFERROR(IF(ISBLANK(INDIRECT("'"&amp;$Q$2&amp;"'!D"&amp;ROW())),"",INDIRECT("'"&amp;$Q$2&amp;"'!D"&amp;ROW())),""))</f>
        <v>34910</v>
      </c>
      <c r="F53" s="33" t="n">
        <f aca="false">IF(OR(D53="",E53=""),"",D53-E53)</f>
        <v>-19159</v>
      </c>
      <c r="G53" s="34" t="n">
        <f aca="false">IFERROR(F53/E53,"")</f>
        <v>-0.548811228874248</v>
      </c>
      <c r="H53" s="32" t="n">
        <v>58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17</v>
      </c>
      <c r="K53" s="34" t="n">
        <f aca="false">IFERROR(J53/I53,"")</f>
        <v>0.414634146341463</v>
      </c>
      <c r="L53" s="32" t="n">
        <f aca="false">IFERROR(D53/C53,"")</f>
        <v>116.674074074074</v>
      </c>
      <c r="M53" s="32" t="n">
        <f aca="false">IFERROR(H53/D53*1000,"")</f>
        <v>3.68230588534061</v>
      </c>
      <c r="N53" s="32" t="n">
        <v>4811</v>
      </c>
      <c r="O53" s="33" t="n">
        <f aca="true">IFERROR(IF(OR(N53="",ISBLANK(INDIRECT("'"&amp;$Q$2&amp;"'!N"&amp;ROW()))),"",N53-INDIRECT("'"&amp;$Q$2&amp;"'!N"&amp;ROW())),"")</f>
        <v>-6</v>
      </c>
      <c r="P53" s="3"/>
      <c r="Q53" s="3"/>
      <c r="R53" s="3"/>
      <c r="S53" s="15" t="n">
        <f aca="true">IFERROR(IF(ISBLANK(INDIRECT("'"&amp;$Q$2&amp;"'!G"&amp;ROW())),"",INDIRECT("'"&amp;$Q$2&amp;"'!G"&amp;ROW())),"")</f>
        <v>0.943114772347768</v>
      </c>
      <c r="T53" s="16" t="n">
        <f aca="false">IF(OR($G53="",$S53=""),"",$G53-$S53)</f>
        <v>-1.49192600122202</v>
      </c>
      <c r="U53" s="15" t="n">
        <f aca="true">IFERROR(IF(ISBLANK(INDIRECT("'"&amp;$Q$2&amp;"'!K"&amp;ROW())),"",INDIRECT("'"&amp;$Q$2&amp;"'!K"&amp;ROW())),"")</f>
        <v>-0.18</v>
      </c>
      <c r="V53" s="16" t="n">
        <f aca="false">IF(OR($K53="",$U53=""),"",$K53-$U53)</f>
        <v>0.594634146341463</v>
      </c>
      <c r="W53" s="17" t="n">
        <f aca="true">IFERROR(IF(ISBLANK(INDIRECT("'"&amp;$Q$2&amp;"'!O"&amp;ROW())),"",INDIRECT("'"&amp;$Q$2&amp;"'!O"&amp;ROW())),"")</f>
        <v>2</v>
      </c>
      <c r="X53" s="17" t="n">
        <f aca="false">IF(OR($O53="",$W53=""),"",$O53-$W53)</f>
        <v>-8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2041</v>
      </c>
      <c r="E54" s="32" t="n">
        <f aca="true">IF($D54="","",IFERROR(IF(ISBLANK(INDIRECT("'"&amp;$Q$2&amp;"'!D"&amp;ROW())),"",INDIRECT("'"&amp;$Q$2&amp;"'!D"&amp;ROW())),""))</f>
        <v>2614</v>
      </c>
      <c r="F54" s="33" t="n">
        <f aca="false">IF(OR(D54="",E54=""),"",D54-E54)</f>
        <v>-573</v>
      </c>
      <c r="G54" s="34" t="n">
        <f aca="false">IFERROR(F54/E54,"")</f>
        <v>-0.21920428462127</v>
      </c>
      <c r="H54" s="32" t="n">
        <v>2</v>
      </c>
      <c r="I54" s="32" t="n">
        <f aca="true">IF($H54="","",IFERROR(IF(ISBLANK(INDIRECT("'"&amp;$Q$2&amp;"'!H"&amp;ROW())),"",INDIRECT("'"&amp;$Q$2&amp;"'!H"&amp;ROW())),""))</f>
        <v>1</v>
      </c>
      <c r="J54" s="33" t="n">
        <f aca="false">IF(OR(H54="",I54=""),"",H54-I54)</f>
        <v>1</v>
      </c>
      <c r="K54" s="34" t="n">
        <f aca="false">IFERROR(J54/I54,"")</f>
        <v>1</v>
      </c>
      <c r="L54" s="32" t="n">
        <f aca="false">IFERROR(D54/C54,"")</f>
        <v>24.0117647058824</v>
      </c>
      <c r="M54" s="32" t="n">
        <f aca="false">IFERROR(H54/D54*1000,"")</f>
        <v>0.979911807937286</v>
      </c>
      <c r="N54" s="32" t="n">
        <v>870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0.124784853700516</v>
      </c>
      <c r="T54" s="16" t="n">
        <f aca="false">IF(OR($G54="",$S54=""),"",$G54-$S54)</f>
        <v>-0.343989138321786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0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6440</v>
      </c>
      <c r="E55" s="32" t="n">
        <f aca="true">IF($D55="","",IFERROR(IF(ISBLANK(INDIRECT("'"&amp;$Q$2&amp;"'!D"&amp;ROW())),"",INDIRECT("'"&amp;$Q$2&amp;"'!D"&amp;ROW())),""))</f>
        <v>34446</v>
      </c>
      <c r="F55" s="33" t="n">
        <f aca="false">IF(OR(D55="",E55=""),"",D55-E55)</f>
        <v>-28006</v>
      </c>
      <c r="G55" s="34" t="n">
        <f aca="false">IFERROR(F55/E55,"")</f>
        <v>-0.813040701387679</v>
      </c>
      <c r="H55" s="32" t="n">
        <v>59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31</v>
      </c>
      <c r="K55" s="34" t="n">
        <f aca="false">IFERROR(J55/I55,"")</f>
        <v>1.10714285714286</v>
      </c>
      <c r="L55" s="32" t="n">
        <f aca="false">IFERROR(D55/C55,"")</f>
        <v>805</v>
      </c>
      <c r="M55" s="32" t="n">
        <f aca="false">IFERROR(H55/D55*1000,"")</f>
        <v>9.16149068322982</v>
      </c>
      <c r="N55" s="32" t="n">
        <v>13799</v>
      </c>
      <c r="O55" s="33" t="n">
        <f aca="true">IFERROR(IF(OR(N55="",ISBLANK(INDIRECT("'"&amp;$Q$2&amp;"'!N"&amp;ROW()))),"",N55-INDIRECT("'"&amp;$Q$2&amp;"'!N"&amp;ROW())),"")</f>
        <v>-20</v>
      </c>
      <c r="P55" s="3"/>
      <c r="Q55" s="3"/>
      <c r="R55" s="3"/>
      <c r="S55" s="15" t="n">
        <f aca="true">IFERROR(IF(ISBLANK(INDIRECT("'"&amp;$Q$2&amp;"'!G"&amp;ROW())),"",INDIRECT("'"&amp;$Q$2&amp;"'!G"&amp;ROW())),"")</f>
        <v>0.356034957877332</v>
      </c>
      <c r="T55" s="16" t="n">
        <f aca="false">IF(OR($G55="",$S55=""),"",$G55-$S55)</f>
        <v>-1.16907565926501</v>
      </c>
      <c r="U55" s="15" t="n">
        <f aca="true">IFERROR(IF(ISBLANK(INDIRECT("'"&amp;$Q$2&amp;"'!K"&amp;ROW())),"",INDIRECT("'"&amp;$Q$2&amp;"'!K"&amp;ROW())),"")</f>
        <v>-0.0967741935483871</v>
      </c>
      <c r="V55" s="16" t="n">
        <f aca="false">IF(OR($K55="",$U55=""),"",$K55-$U55)</f>
        <v>1.20391705069124</v>
      </c>
      <c r="W55" s="17" t="n">
        <f aca="true">IFERROR(IF(ISBLANK(INDIRECT("'"&amp;$Q$2&amp;"'!O"&amp;ROW())),"",INDIRECT("'"&amp;$Q$2&amp;"'!O"&amp;ROW())),"")</f>
        <v>-16</v>
      </c>
      <c r="X55" s="17" t="n">
        <f aca="false">IF(OR($O55="",$W55=""),"",$O55-$W55)</f>
        <v>-4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2278</v>
      </c>
      <c r="E56" s="32" t="n">
        <f aca="true">IF($D56="","",IFERROR(IF(ISBLANK(INDIRECT("'"&amp;$Q$2&amp;"'!D"&amp;ROW())),"",INDIRECT("'"&amp;$Q$2&amp;"'!D"&amp;ROW())),""))</f>
        <v>1684</v>
      </c>
      <c r="F56" s="33" t="n">
        <f aca="false">IF(OR(D56="",E56=""),"",D56-E56)</f>
        <v>594</v>
      </c>
      <c r="G56" s="34" t="n">
        <f aca="false">IFERROR(F56/E56,"")</f>
        <v>0.352731591448931</v>
      </c>
      <c r="H56" s="32" t="n">
        <v>12</v>
      </c>
      <c r="I56" s="32" t="n">
        <f aca="true">IF($H56="","",IFERROR(IF(ISBLANK(INDIRECT("'"&amp;$Q$2&amp;"'!H"&amp;ROW())),"",INDIRECT("'"&amp;$Q$2&amp;"'!H"&amp;ROW())),""))</f>
        <v>10</v>
      </c>
      <c r="J56" s="33" t="n">
        <f aca="false">IF(OR(H56="",I56=""),"",H56-I56)</f>
        <v>2</v>
      </c>
      <c r="K56" s="34" t="n">
        <f aca="false">IFERROR(J56/I56,"")</f>
        <v>0.2</v>
      </c>
      <c r="L56" s="32" t="n">
        <f aca="false">IFERROR(D56/C56,"")</f>
        <v>284.75</v>
      </c>
      <c r="M56" s="32" t="n">
        <f aca="false">IFERROR(H56/D56*1000,"")</f>
        <v>5.26777875329236</v>
      </c>
      <c r="N56" s="32" t="n">
        <v>8658</v>
      </c>
      <c r="O56" s="33" t="n">
        <f aca="true">IFERROR(IF(OR(N56="",ISBLANK(INDIRECT("'"&amp;$Q$2&amp;"'!N"&amp;ROW()))),"",N56-INDIRECT("'"&amp;$Q$2&amp;"'!N"&amp;ROW())),"")</f>
        <v>-2</v>
      </c>
      <c r="P56" s="3"/>
      <c r="Q56" s="3"/>
      <c r="R56" s="3"/>
      <c r="S56" s="15" t="n">
        <f aca="true">IFERROR(IF(ISBLANK(INDIRECT("'"&amp;$Q$2&amp;"'!G"&amp;ROW())),"",INDIRECT("'"&amp;$Q$2&amp;"'!G"&amp;ROW())),"")</f>
        <v>3.26329113924051</v>
      </c>
      <c r="T56" s="16" t="n">
        <f aca="false">IF(OR($G56="",$S56=""),"",$G56-$S56)</f>
        <v>-2.91055954779158</v>
      </c>
      <c r="U56" s="15" t="n">
        <f aca="true">IFERROR(IF(ISBLANK(INDIRECT("'"&amp;$Q$2&amp;"'!K"&amp;ROW())),"",INDIRECT("'"&amp;$Q$2&amp;"'!K"&amp;ROW())),"")</f>
        <v>-0.333333333333333</v>
      </c>
      <c r="V56" s="16" t="n">
        <f aca="false">IF(OR($K56="",$U56=""),"",$K56-$U56)</f>
        <v>0.533333333333333</v>
      </c>
      <c r="W56" s="17" t="n">
        <f aca="true">IFERROR(IF(ISBLANK(INDIRECT("'"&amp;$Q$2&amp;"'!O"&amp;ROW())),"",INDIRECT("'"&amp;$Q$2&amp;"'!O"&amp;ROW())),"")</f>
        <v>-4</v>
      </c>
      <c r="X56" s="17" t="n">
        <f aca="false">IF(OR($O56="",$W56=""),"",$O56-$W56)</f>
        <v>2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104</v>
      </c>
      <c r="D57" s="32" t="n">
        <v>63521</v>
      </c>
      <c r="E57" s="32" t="n">
        <f aca="true">IF($D57="","",IFERROR(IF(ISBLANK(INDIRECT("'"&amp;$Q$2&amp;"'!D"&amp;ROW())),"",INDIRECT("'"&amp;$Q$2&amp;"'!D"&amp;ROW())),""))</f>
        <v>80456</v>
      </c>
      <c r="F57" s="33" t="n">
        <f aca="false">IF(OR(D57="",E57=""),"",D57-E57)</f>
        <v>-16935</v>
      </c>
      <c r="G57" s="34" t="n">
        <f aca="false">IFERROR(F57/E57,"")</f>
        <v>-0.210487719996023</v>
      </c>
      <c r="H57" s="32" t="n">
        <v>249</v>
      </c>
      <c r="I57" s="32" t="n">
        <f aca="true">IF($H57="","",IFERROR(IF(ISBLANK(INDIRECT("'"&amp;$Q$2&amp;"'!H"&amp;ROW())),"",INDIRECT("'"&amp;$Q$2&amp;"'!H"&amp;ROW())),""))</f>
        <v>347</v>
      </c>
      <c r="J57" s="33" t="n">
        <f aca="false">IF(OR(H57="",I57=""),"",H57-I57)</f>
        <v>-98</v>
      </c>
      <c r="K57" s="34" t="n">
        <f aca="false">IFERROR(J57/I57,"")</f>
        <v>-0.282420749279539</v>
      </c>
      <c r="L57" s="32" t="n">
        <f aca="false">IFERROR(D57/C57,"")</f>
        <v>610.778846153846</v>
      </c>
      <c r="M57" s="32" t="n">
        <f aca="false">IFERROR(H57/D57*1000,"")</f>
        <v>3.91996347664552</v>
      </c>
      <c r="N57" s="32" t="n">
        <v>10881</v>
      </c>
      <c r="O57" s="33" t="n">
        <f aca="true">IFERROR(IF(OR(N57="",ISBLANK(INDIRECT("'"&amp;$Q$2&amp;"'!N"&amp;ROW()))),"",N57-INDIRECT("'"&amp;$Q$2&amp;"'!N"&amp;ROW())),"")</f>
        <v>-31</v>
      </c>
      <c r="P57" s="3"/>
      <c r="Q57" s="3"/>
      <c r="R57" s="3"/>
      <c r="S57" s="15" t="n">
        <f aca="true">IFERROR(IF(ISBLANK(INDIRECT("'"&amp;$Q$2&amp;"'!G"&amp;ROW())),"",INDIRECT("'"&amp;$Q$2&amp;"'!G"&amp;ROW())),"")</f>
        <v>-0.310166250825252</v>
      </c>
      <c r="T57" s="16" t="n">
        <f aca="false">IF(OR($G57="",$S57=""),"",$G57-$S57)</f>
        <v>0.0996785308292296</v>
      </c>
      <c r="U57" s="15" t="n">
        <f aca="true">IFERROR(IF(ISBLANK(INDIRECT("'"&amp;$Q$2&amp;"'!K"&amp;ROW())),"",INDIRECT("'"&amp;$Q$2&amp;"'!K"&amp;ROW())),"")</f>
        <v>-0.383658969804618</v>
      </c>
      <c r="V57" s="16" t="n">
        <f aca="false">IF(OR($K57="",$U57=""),"",$K57-$U57)</f>
        <v>0.101238220525079</v>
      </c>
      <c r="W57" s="17" t="n">
        <f aca="true">IFERROR(IF(ISBLANK(INDIRECT("'"&amp;$Q$2&amp;"'!O"&amp;ROW())),"",INDIRECT("'"&amp;$Q$2&amp;"'!O"&amp;ROW())),"")</f>
        <v>-16</v>
      </c>
      <c r="X57" s="17" t="n">
        <f aca="false">IF(OR($O57="",$W57=""),"",$O57-$W57)</f>
        <v>-15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93</v>
      </c>
      <c r="D58" s="32" t="n">
        <v>21693</v>
      </c>
      <c r="E58" s="32" t="n">
        <f aca="true">IF($D58="","",IFERROR(IF(ISBLANK(INDIRECT("'"&amp;$Q$2&amp;"'!D"&amp;ROW())),"",INDIRECT("'"&amp;$Q$2&amp;"'!D"&amp;ROW())),""))</f>
        <v>24487</v>
      </c>
      <c r="F58" s="33" t="n">
        <f aca="false">IF(OR(D58="",E58=""),"",D58-E58)</f>
        <v>-2794</v>
      </c>
      <c r="G58" s="34" t="n">
        <f aca="false">IFERROR(F58/E58,"")</f>
        <v>-0.114101359905256</v>
      </c>
      <c r="H58" s="32" t="n">
        <v>359</v>
      </c>
      <c r="I58" s="32" t="n">
        <f aca="true">IF($H58="","",IFERROR(IF(ISBLANK(INDIRECT("'"&amp;$Q$2&amp;"'!H"&amp;ROW())),"",INDIRECT("'"&amp;$Q$2&amp;"'!H"&amp;ROW())),""))</f>
        <v>280</v>
      </c>
      <c r="J58" s="33" t="n">
        <f aca="false">IF(OR(H58="",I58=""),"",H58-I58)</f>
        <v>79</v>
      </c>
      <c r="K58" s="34" t="n">
        <f aca="false">IFERROR(J58/I58,"")</f>
        <v>0.282142857142857</v>
      </c>
      <c r="L58" s="32" t="n">
        <f aca="false">IFERROR(D58/C58,"")</f>
        <v>233.258064516129</v>
      </c>
      <c r="M58" s="32" t="n">
        <f aca="false">IFERROR(H58/D58*1000,"")</f>
        <v>16.5491172267552</v>
      </c>
      <c r="N58" s="32" t="n">
        <v>4101</v>
      </c>
      <c r="O58" s="33" t="n">
        <f aca="true">IFERROR(IF(OR(N58="",ISBLANK(INDIRECT("'"&amp;$Q$2&amp;"'!N"&amp;ROW()))),"",N58-INDIRECT("'"&amp;$Q$2&amp;"'!N"&amp;ROW())),"")</f>
        <v>-8</v>
      </c>
      <c r="P58" s="3"/>
      <c r="Q58" s="3"/>
      <c r="R58" s="3"/>
      <c r="S58" s="15" t="n">
        <f aca="true">IFERROR(IF(ISBLANK(INDIRECT("'"&amp;$Q$2&amp;"'!G"&amp;ROW())),"",INDIRECT("'"&amp;$Q$2&amp;"'!G"&amp;ROW())),"")</f>
        <v>0.128277196700917</v>
      </c>
      <c r="T58" s="16" t="n">
        <f aca="false">IF(OR($G58="",$S58=""),"",$G58-$S58)</f>
        <v>-0.242378556606173</v>
      </c>
      <c r="U58" s="15" t="n">
        <f aca="true">IFERROR(IF(ISBLANK(INDIRECT("'"&amp;$Q$2&amp;"'!K"&amp;ROW())),"",INDIRECT("'"&amp;$Q$2&amp;"'!K"&amp;ROW())),"")</f>
        <v>-0.0443686006825939</v>
      </c>
      <c r="V58" s="16" t="n">
        <f aca="false">IF(OR($K58="",$U58=""),"",$K58-$U58)</f>
        <v>0.326511457825451</v>
      </c>
      <c r="W58" s="17" t="n">
        <f aca="true">IFERROR(IF(ISBLANK(INDIRECT("'"&amp;$Q$2&amp;"'!O"&amp;ROW())),"",INDIRECT("'"&amp;$Q$2&amp;"'!O"&amp;ROW())),"")</f>
        <v>-11</v>
      </c>
      <c r="X58" s="17" t="n">
        <f aca="false">IF(OR($O58="",$W58=""),"",$O58-$W58)</f>
        <v>3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101</v>
      </c>
      <c r="D59" s="32" t="n">
        <v>33790</v>
      </c>
      <c r="E59" s="32" t="n">
        <f aca="true">IF($D59="","",IFERROR(IF(ISBLANK(INDIRECT("'"&amp;$Q$2&amp;"'!D"&amp;ROW())),"",INDIRECT("'"&amp;$Q$2&amp;"'!D"&amp;ROW())),""))</f>
        <v>37935</v>
      </c>
      <c r="F59" s="33" t="n">
        <f aca="false">IF(OR(D59="",E59=""),"",D59-E59)</f>
        <v>-4145</v>
      </c>
      <c r="G59" s="34" t="n">
        <f aca="false">IFERROR(F59/E59,"")</f>
        <v>-0.109265849479373</v>
      </c>
      <c r="H59" s="32" t="n">
        <v>258</v>
      </c>
      <c r="I59" s="32" t="n">
        <f aca="true">IF($H59="","",IFERROR(IF(ISBLANK(INDIRECT("'"&amp;$Q$2&amp;"'!H"&amp;ROW())),"",INDIRECT("'"&amp;$Q$2&amp;"'!H"&amp;ROW())),""))</f>
        <v>235</v>
      </c>
      <c r="J59" s="33" t="n">
        <f aca="false">IF(OR(H59="",I59=""),"",H59-I59)</f>
        <v>23</v>
      </c>
      <c r="K59" s="34" t="n">
        <f aca="false">IFERROR(J59/I59,"")</f>
        <v>0.0978723404255319</v>
      </c>
      <c r="L59" s="32" t="n">
        <f aca="false">IFERROR(D59/C59,"")</f>
        <v>334.554455445545</v>
      </c>
      <c r="M59" s="32" t="n">
        <f aca="false">IFERROR(H59/D59*1000,"")</f>
        <v>7.63539508730394</v>
      </c>
      <c r="N59" s="32" t="n">
        <v>5519</v>
      </c>
      <c r="O59" s="33" t="n">
        <f aca="true">IFERROR(IF(OR(N59="",ISBLANK(INDIRECT("'"&amp;$Q$2&amp;"'!N"&amp;ROW()))),"",N59-INDIRECT("'"&amp;$Q$2&amp;"'!N"&amp;ROW())),"")</f>
        <v>-8</v>
      </c>
      <c r="P59" s="3"/>
      <c r="Q59" s="3"/>
      <c r="R59" s="3"/>
      <c r="S59" s="15" t="n">
        <f aca="true">IFERROR(IF(ISBLANK(INDIRECT("'"&amp;$Q$2&amp;"'!G"&amp;ROW())),"",INDIRECT("'"&amp;$Q$2&amp;"'!G"&amp;ROW())),"")</f>
        <v>0.0743719731513212</v>
      </c>
      <c r="T59" s="16" t="n">
        <f aca="false">IF(OR($G59="",$S59=""),"",$G59-$S59)</f>
        <v>-0.183637822630694</v>
      </c>
      <c r="U59" s="15" t="n">
        <f aca="true">IFERROR(IF(ISBLANK(INDIRECT("'"&amp;$Q$2&amp;"'!K"&amp;ROW())),"",INDIRECT("'"&amp;$Q$2&amp;"'!K"&amp;ROW())),"")</f>
        <v>-0.12639405204461</v>
      </c>
      <c r="V59" s="16" t="n">
        <f aca="false">IF(OR($K59="",$U59=""),"",$K59-$U59)</f>
        <v>0.224266392470142</v>
      </c>
      <c r="W59" s="17" t="n">
        <f aca="true">IFERROR(IF(ISBLANK(INDIRECT("'"&amp;$Q$2&amp;"'!O"&amp;ROW())),"",INDIRECT("'"&amp;$Q$2&amp;"'!O"&amp;ROW())),"")</f>
        <v>-22</v>
      </c>
      <c r="X59" s="17" t="n">
        <f aca="false">IF(OR($O59="",$W59=""),"",$O59-$W59)</f>
        <v>14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138</v>
      </c>
      <c r="D60" s="32" t="n">
        <v>61713</v>
      </c>
      <c r="E60" s="32" t="n">
        <f aca="true">IF($D60="","",IFERROR(IF(ISBLANK(INDIRECT("'"&amp;$Q$2&amp;"'!D"&amp;ROW())),"",INDIRECT("'"&amp;$Q$2&amp;"'!D"&amp;ROW())),""))</f>
        <v>65888</v>
      </c>
      <c r="F60" s="33" t="n">
        <f aca="false">IF(OR(D60="",E60=""),"",D60-E60)</f>
        <v>-4175</v>
      </c>
      <c r="G60" s="34" t="n">
        <f aca="false">IFERROR(F60/E60,"")</f>
        <v>-0.0633651044196212</v>
      </c>
      <c r="H60" s="32" t="n">
        <v>260</v>
      </c>
      <c r="I60" s="32" t="n">
        <f aca="true">IF($H60="","",IFERROR(IF(ISBLANK(INDIRECT("'"&amp;$Q$2&amp;"'!H"&amp;ROW())),"",INDIRECT("'"&amp;$Q$2&amp;"'!H"&amp;ROW())),""))</f>
        <v>167</v>
      </c>
      <c r="J60" s="33" t="n">
        <f aca="false">IF(OR(H60="",I60=""),"",H60-I60)</f>
        <v>93</v>
      </c>
      <c r="K60" s="34" t="n">
        <f aca="false">IFERROR(J60/I60,"")</f>
        <v>0.55688622754491</v>
      </c>
      <c r="L60" s="32" t="n">
        <f aca="false">IFERROR(D60/C60,"")</f>
        <v>447.195652173913</v>
      </c>
      <c r="M60" s="32" t="n">
        <f aca="false">IFERROR(H60/D60*1000,"")</f>
        <v>4.21305073485327</v>
      </c>
      <c r="N60" s="32" t="n">
        <v>10403</v>
      </c>
      <c r="O60" s="33" t="n">
        <f aca="true">IFERROR(IF(OR(N60="",ISBLANK(INDIRECT("'"&amp;$Q$2&amp;"'!N"&amp;ROW()))),"",N60-INDIRECT("'"&amp;$Q$2&amp;"'!N"&amp;ROW())),"")</f>
        <v>-19</v>
      </c>
      <c r="P60" s="3"/>
      <c r="Q60" s="3"/>
      <c r="R60" s="3"/>
      <c r="S60" s="15" t="n">
        <f aca="true">IFERROR(IF(ISBLANK(INDIRECT("'"&amp;$Q$2&amp;"'!G"&amp;ROW())),"",INDIRECT("'"&amp;$Q$2&amp;"'!G"&amp;ROW())),"")</f>
        <v>-0.0827997104515842</v>
      </c>
      <c r="T60" s="16" t="n">
        <f aca="false">IF(OR($G60="",$S60=""),"",$G60-$S60)</f>
        <v>0.019434606031963</v>
      </c>
      <c r="U60" s="15" t="n">
        <f aca="true">IFERROR(IF(ISBLANK(INDIRECT("'"&amp;$Q$2&amp;"'!K"&amp;ROW())),"",INDIRECT("'"&amp;$Q$2&amp;"'!K"&amp;ROW())),"")</f>
        <v>-0.374531835205993</v>
      </c>
      <c r="V60" s="16" t="n">
        <f aca="false">IF(OR($K60="",$U60=""),"",$K60-$U60)</f>
        <v>0.931418062750903</v>
      </c>
      <c r="W60" s="17" t="n">
        <f aca="true">IFERROR(IF(ISBLANK(INDIRECT("'"&amp;$Q$2&amp;"'!O"&amp;ROW())),"",INDIRECT("'"&amp;$Q$2&amp;"'!O"&amp;ROW())),"")</f>
        <v>-25</v>
      </c>
      <c r="X60" s="17" t="n">
        <f aca="false">IF(OR($O60="",$W60=""),"",$O60-$W60)</f>
        <v>6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112</v>
      </c>
      <c r="D61" s="32" t="n">
        <v>13926</v>
      </c>
      <c r="E61" s="32" t="n">
        <f aca="true">IF($D61="","",IFERROR(IF(ISBLANK(INDIRECT("'"&amp;$Q$2&amp;"'!D"&amp;ROW())),"",INDIRECT("'"&amp;$Q$2&amp;"'!D"&amp;ROW())),""))</f>
        <v>42793</v>
      </c>
      <c r="F61" s="33" t="n">
        <f aca="false">IF(OR(D61="",E61=""),"",D61-E61)</f>
        <v>-28867</v>
      </c>
      <c r="G61" s="34" t="n">
        <f aca="false">IFERROR(F61/E61,"")</f>
        <v>-0.674572944173112</v>
      </c>
      <c r="H61" s="32" t="n">
        <v>164</v>
      </c>
      <c r="I61" s="32" t="n">
        <f aca="true">IF($H61="","",IFERROR(IF(ISBLANK(INDIRECT("'"&amp;$Q$2&amp;"'!H"&amp;ROW())),"",INDIRECT("'"&amp;$Q$2&amp;"'!H"&amp;ROW())),""))</f>
        <v>131</v>
      </c>
      <c r="J61" s="33" t="n">
        <f aca="false">IF(OR(H61="",I61=""),"",H61-I61)</f>
        <v>33</v>
      </c>
      <c r="K61" s="34" t="n">
        <f aca="false">IFERROR(J61/I61,"")</f>
        <v>0.251908396946565</v>
      </c>
      <c r="L61" s="32" t="n">
        <f aca="false">IFERROR(D61/C61,"")</f>
        <v>124.339285714286</v>
      </c>
      <c r="M61" s="32" t="n">
        <f aca="false">IFERROR(H61/D61*1000,"")</f>
        <v>11.7765331035473</v>
      </c>
      <c r="N61" s="32" t="n">
        <v>2312</v>
      </c>
      <c r="O61" s="33" t="n">
        <f aca="true">IFERROR(IF(OR(N61="",ISBLANK(INDIRECT("'"&amp;$Q$2&amp;"'!N"&amp;ROW()))),"",N61-INDIRECT("'"&amp;$Q$2&amp;"'!N"&amp;ROW())),"")</f>
        <v>-5</v>
      </c>
      <c r="P61" s="3"/>
      <c r="Q61" s="3"/>
      <c r="R61" s="3"/>
      <c r="S61" s="15" t="n">
        <f aca="true">IFERROR(IF(ISBLANK(INDIRECT("'"&amp;$Q$2&amp;"'!G"&amp;ROW())),"",INDIRECT("'"&amp;$Q$2&amp;"'!G"&amp;ROW())),"")</f>
        <v>3.1830889540567</v>
      </c>
      <c r="T61" s="16" t="n">
        <f aca="false">IF(OR($G61="",$S61=""),"",$G61-$S61)</f>
        <v>-3.85766189822981</v>
      </c>
      <c r="U61" s="15" t="n">
        <f aca="true">IFERROR(IF(ISBLANK(INDIRECT("'"&amp;$Q$2&amp;"'!K"&amp;ROW())),"",INDIRECT("'"&amp;$Q$2&amp;"'!K"&amp;ROW())),"")</f>
        <v>0.488636363636364</v>
      </c>
      <c r="V61" s="16" t="n">
        <f aca="false">IF(OR($K61="",$U61=""),"",$K61-$U61)</f>
        <v>-0.236727966689799</v>
      </c>
      <c r="W61" s="17" t="n">
        <f aca="true">IFERROR(IF(ISBLANK(INDIRECT("'"&amp;$Q$2&amp;"'!O"&amp;ROW())),"",INDIRECT("'"&amp;$Q$2&amp;"'!O"&amp;ROW())),"")</f>
        <v>-2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65</v>
      </c>
      <c r="D62" s="32" t="n">
        <v>5247</v>
      </c>
      <c r="E62" s="32" t="n">
        <f aca="true">IF($D62="","",IFERROR(IF(ISBLANK(INDIRECT("'"&amp;$Q$2&amp;"'!D"&amp;ROW())),"",INDIRECT("'"&amp;$Q$2&amp;"'!D"&amp;ROW())),""))</f>
        <v>6106</v>
      </c>
      <c r="F62" s="33" t="n">
        <f aca="false">IF(OR(D62="",E62=""),"",D62-E62)</f>
        <v>-859</v>
      </c>
      <c r="G62" s="34" t="n">
        <f aca="false">IFERROR(F62/E62,"")</f>
        <v>-0.140681297084835</v>
      </c>
      <c r="H62" s="32" t="n">
        <v>18</v>
      </c>
      <c r="I62" s="32" t="n">
        <f aca="true">IF($H62="","",IFERROR(IF(ISBLANK(INDIRECT("'"&amp;$Q$2&amp;"'!H"&amp;ROW())),"",INDIRECT("'"&amp;$Q$2&amp;"'!H"&amp;ROW())),""))</f>
        <v>43</v>
      </c>
      <c r="J62" s="33" t="n">
        <f aca="false">IF(OR(H62="",I62=""),"",H62-I62)</f>
        <v>-25</v>
      </c>
      <c r="K62" s="34" t="n">
        <f aca="false">IFERROR(J62/I62,"")</f>
        <v>-0.581395348837209</v>
      </c>
      <c r="L62" s="32" t="n">
        <f aca="false">IFERROR(D62/C62,"")</f>
        <v>80.7230769230769</v>
      </c>
      <c r="M62" s="32" t="n">
        <f aca="false">IFERROR(H62/D62*1000,"")</f>
        <v>3.43053173241852</v>
      </c>
      <c r="N62" s="32" t="n">
        <v>1372</v>
      </c>
      <c r="O62" s="33" t="n">
        <f aca="true">IFERROR(IF(OR(N62="",ISBLANK(INDIRECT("'"&amp;$Q$2&amp;"'!N"&amp;ROW()))),"",N62-INDIRECT("'"&amp;$Q$2&amp;"'!N"&amp;ROW())),"")</f>
        <v>-4</v>
      </c>
      <c r="P62" s="3"/>
      <c r="Q62" s="3"/>
      <c r="R62" s="3"/>
      <c r="S62" s="15" t="n">
        <f aca="true">IFERROR(IF(ISBLANK(INDIRECT("'"&amp;$Q$2&amp;"'!G"&amp;ROW())),"",INDIRECT("'"&amp;$Q$2&amp;"'!G"&amp;ROW())),"")</f>
        <v>0.574117040474349</v>
      </c>
      <c r="T62" s="16" t="n">
        <f aca="false">IF(OR($G62="",$S62=""),"",$G62-$S62)</f>
        <v>-0.714798337559184</v>
      </c>
      <c r="U62" s="15" t="n">
        <f aca="true">IFERROR(IF(ISBLANK(INDIRECT("'"&amp;$Q$2&amp;"'!K"&amp;ROW())),"",INDIRECT("'"&amp;$Q$2&amp;"'!K"&amp;ROW())),"")</f>
        <v>-0.426666666666667</v>
      </c>
      <c r="V62" s="16" t="n">
        <f aca="false">IF(OR($K62="",$U62=""),"",$K62-$U62)</f>
        <v>-0.154728682170543</v>
      </c>
      <c r="W62" s="17" t="n">
        <f aca="true">IFERROR(IF(ISBLANK(INDIRECT("'"&amp;$Q$2&amp;"'!O"&amp;ROW())),"",INDIRECT("'"&amp;$Q$2&amp;"'!O"&amp;ROW())),"")</f>
        <v>-6</v>
      </c>
      <c r="X62" s="17" t="n">
        <f aca="false">IF(OR($O62="",$W62=""),"",$O62-$W62)</f>
        <v>2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58</v>
      </c>
      <c r="D63" s="32" t="n">
        <v>19689</v>
      </c>
      <c r="E63" s="32" t="n">
        <f aca="true">IF($D63="","",IFERROR(IF(ISBLANK(INDIRECT("'"&amp;$Q$2&amp;"'!D"&amp;ROW())),"",INDIRECT("'"&amp;$Q$2&amp;"'!D"&amp;ROW())),""))</f>
        <v>26252</v>
      </c>
      <c r="F63" s="33" t="n">
        <f aca="false">IF(OR(D63="",E63=""),"",D63-E63)</f>
        <v>-6563</v>
      </c>
      <c r="G63" s="34" t="n">
        <f aca="false">IFERROR(F63/E63,"")</f>
        <v>-0.25</v>
      </c>
      <c r="H63" s="32" t="n">
        <v>58</v>
      </c>
      <c r="I63" s="32" t="n">
        <f aca="true">IF($H63="","",IFERROR(IF(ISBLANK(INDIRECT("'"&amp;$Q$2&amp;"'!H"&amp;ROW())),"",INDIRECT("'"&amp;$Q$2&amp;"'!H"&amp;ROW())),""))</f>
        <v>80</v>
      </c>
      <c r="J63" s="33" t="n">
        <f aca="false">IF(OR(H63="",I63=""),"",H63-I63)</f>
        <v>-22</v>
      </c>
      <c r="K63" s="34" t="n">
        <f aca="false">IFERROR(J63/I63,"")</f>
        <v>-0.275</v>
      </c>
      <c r="L63" s="32" t="n">
        <f aca="false">IFERROR(D63/C63,"")</f>
        <v>339.465517241379</v>
      </c>
      <c r="M63" s="32" t="n">
        <f aca="false">IFERROR(H63/D63*1000,"")</f>
        <v>2.94580730357052</v>
      </c>
      <c r="N63" s="32" t="n">
        <v>5634</v>
      </c>
      <c r="O63" s="33" t="n">
        <f aca="true">IFERROR(IF(OR(N63="",ISBLANK(INDIRECT("'"&amp;$Q$2&amp;"'!N"&amp;ROW()))),"",N63-INDIRECT("'"&amp;$Q$2&amp;"'!N"&amp;ROW())),"")</f>
        <v>-23</v>
      </c>
      <c r="P63" s="3"/>
      <c r="Q63" s="3"/>
      <c r="R63" s="3"/>
      <c r="S63" s="15" t="n">
        <f aca="true">IFERROR(IF(ISBLANK(INDIRECT("'"&amp;$Q$2&amp;"'!G"&amp;ROW())),"",INDIRECT("'"&amp;$Q$2&amp;"'!G"&amp;ROW())),"")</f>
        <v>0.194847753857357</v>
      </c>
      <c r="T63" s="16" t="n">
        <f aca="false">IF(OR($G63="",$S63=""),"",$G63-$S63)</f>
        <v>-0.444847753857357</v>
      </c>
      <c r="U63" s="15" t="n">
        <f aca="true">IFERROR(IF(ISBLANK(INDIRECT("'"&amp;$Q$2&amp;"'!K"&amp;ROW())),"",INDIRECT("'"&amp;$Q$2&amp;"'!K"&amp;ROW())),"")</f>
        <v>-0.298245614035088</v>
      </c>
      <c r="V63" s="16" t="n">
        <f aca="false">IF(OR($K63="",$U63=""),"",$K63-$U63)</f>
        <v>0.0232456140350877</v>
      </c>
      <c r="W63" s="17" t="n">
        <f aca="true">IFERROR(IF(ISBLANK(INDIRECT("'"&amp;$Q$2&amp;"'!O"&amp;ROW())),"",INDIRECT("'"&amp;$Q$2&amp;"'!O"&amp;ROW())),"")</f>
        <v>-9</v>
      </c>
      <c r="X63" s="17" t="n">
        <f aca="false">IF(OR($O63="",$W63=""),"",$O63-$W63)</f>
        <v>-14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56</v>
      </c>
      <c r="D64" s="32" t="n">
        <v>6279</v>
      </c>
      <c r="E64" s="32" t="n">
        <f aca="true">IF($D64="","",IFERROR(IF(ISBLANK(INDIRECT("'"&amp;$Q$2&amp;"'!D"&amp;ROW())),"",INDIRECT("'"&amp;$Q$2&amp;"'!D"&amp;ROW())),""))</f>
        <v>5588</v>
      </c>
      <c r="F64" s="33" t="n">
        <f aca="false">IF(OR(D64="",E64=""),"",D64-E64)</f>
        <v>691</v>
      </c>
      <c r="G64" s="34" t="n">
        <f aca="false">IFERROR(F64/E64,"")</f>
        <v>0.123657838224767</v>
      </c>
      <c r="H64" s="32" t="n">
        <v>8</v>
      </c>
      <c r="I64" s="32" t="n">
        <f aca="true">IF($H64="","",IFERROR(IF(ISBLANK(INDIRECT("'"&amp;$Q$2&amp;"'!H"&amp;ROW())),"",INDIRECT("'"&amp;$Q$2&amp;"'!H"&amp;ROW())),""))</f>
        <v>3</v>
      </c>
      <c r="J64" s="33" t="n">
        <f aca="false">IF(OR(H64="",I64=""),"",H64-I64)</f>
        <v>5</v>
      </c>
      <c r="K64" s="34" t="n">
        <f aca="false">IFERROR(J64/I64,"")</f>
        <v>1.66666666666667</v>
      </c>
      <c r="L64" s="32" t="n">
        <f aca="false">IFERROR(D64/C64,"")</f>
        <v>112.125</v>
      </c>
      <c r="M64" s="32" t="n">
        <f aca="false">IFERROR(H64/D64*1000,"")</f>
        <v>1.27408823060997</v>
      </c>
      <c r="N64" s="32" t="n">
        <v>1818</v>
      </c>
      <c r="O64" s="33" t="n">
        <f aca="true">IFERROR(IF(OR(N64="",ISBLANK(INDIRECT("'"&amp;$Q$2&amp;"'!N"&amp;ROW()))),"",N64-INDIRECT("'"&amp;$Q$2&amp;"'!N"&amp;ROW())),"")</f>
        <v>-5</v>
      </c>
      <c r="P64" s="3"/>
      <c r="Q64" s="3"/>
      <c r="R64" s="3"/>
      <c r="S64" s="15" t="n">
        <f aca="true">IFERROR(IF(ISBLANK(INDIRECT("'"&amp;$Q$2&amp;"'!G"&amp;ROW())),"",INDIRECT("'"&amp;$Q$2&amp;"'!G"&amp;ROW())),"")</f>
        <v>0.440577468419696</v>
      </c>
      <c r="T64" s="16" t="n">
        <f aca="false">IF(OR($G64="",$S64=""),"",$G64-$S64)</f>
        <v>-0.316919630194928</v>
      </c>
      <c r="U64" s="15" t="n">
        <f aca="true">IFERROR(IF(ISBLANK(INDIRECT("'"&amp;$Q$2&amp;"'!K"&amp;ROW())),"",INDIRECT("'"&amp;$Q$2&amp;"'!K"&amp;ROW())),"")</f>
        <v>-0.25</v>
      </c>
      <c r="V64" s="16" t="n">
        <f aca="false">IF(OR($K64="",$U64=""),"",$K64-$U64)</f>
        <v>1.91666666666667</v>
      </c>
      <c r="W64" s="17" t="n">
        <f aca="true">IFERROR(IF(ISBLANK(INDIRECT("'"&amp;$Q$2&amp;"'!O"&amp;ROW())),"",INDIRECT("'"&amp;$Q$2&amp;"'!O"&amp;ROW())),"")</f>
        <v>0</v>
      </c>
      <c r="X64" s="17" t="n">
        <f aca="false">IF(OR($O64="",$W64=""),"",$O64-$W64)</f>
        <v>-5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34</v>
      </c>
      <c r="D65" s="32" t="n">
        <v>2837</v>
      </c>
      <c r="E65" s="32" t="n">
        <f aca="true">IF($D65="","",IFERROR(IF(ISBLANK(INDIRECT("'"&amp;$Q$2&amp;"'!D"&amp;ROW())),"",INDIRECT("'"&amp;$Q$2&amp;"'!D"&amp;ROW())),""))</f>
        <v>3817</v>
      </c>
      <c r="F65" s="33" t="n">
        <f aca="false">IF(OR(D65="",E65=""),"",D65-E65)</f>
        <v>-980</v>
      </c>
      <c r="G65" s="34" t="n">
        <f aca="false">IFERROR(F65/E65,"")</f>
        <v>-0.256746135708672</v>
      </c>
      <c r="H65" s="32" t="n">
        <v>4</v>
      </c>
      <c r="I65" s="32" t="n">
        <f aca="true">IF($H65="","",IFERROR(IF(ISBLANK(INDIRECT("'"&amp;$Q$2&amp;"'!H"&amp;ROW())),"",INDIRECT("'"&amp;$Q$2&amp;"'!H"&amp;ROW())),""))</f>
        <v>3</v>
      </c>
      <c r="J65" s="33" t="n">
        <f aca="false">IF(OR(H65="",I65=""),"",H65-I65)</f>
        <v>1</v>
      </c>
      <c r="K65" s="34" t="n">
        <f aca="false">IFERROR(J65/I65,"")</f>
        <v>0.333333333333333</v>
      </c>
      <c r="L65" s="32" t="n">
        <f aca="false">IFERROR(D65/C65,"")</f>
        <v>83.4411764705882</v>
      </c>
      <c r="M65" s="32" t="n">
        <f aca="false">IFERROR(H65/D65*1000,"")</f>
        <v>1.4099400775467</v>
      </c>
      <c r="N65" s="32" t="n">
        <v>868</v>
      </c>
      <c r="O65" s="33" t="n">
        <f aca="true">IFERROR(IF(OR(N65="",ISBLANK(INDIRECT("'"&amp;$Q$2&amp;"'!N"&amp;ROW()))),"",N65-INDIRECT("'"&amp;$Q$2&amp;"'!N"&amp;ROW())),"")</f>
        <v>-4</v>
      </c>
      <c r="P65" s="3"/>
      <c r="Q65" s="3"/>
      <c r="R65" s="3"/>
      <c r="S65" s="15" t="n">
        <f aca="true">IFERROR(IF(ISBLANK(INDIRECT("'"&amp;$Q$2&amp;"'!G"&amp;ROW())),"",INDIRECT("'"&amp;$Q$2&amp;"'!G"&amp;ROW())),"")</f>
        <v>0.384978229317852</v>
      </c>
      <c r="T65" s="16" t="n">
        <f aca="false">IF(OR($G65="",$S65=""),"",$G65-$S65)</f>
        <v>-0.641724365026524</v>
      </c>
      <c r="U65" s="15" t="n">
        <f aca="true">IFERROR(IF(ISBLANK(INDIRECT("'"&amp;$Q$2&amp;"'!K"&amp;ROW())),"",INDIRECT("'"&amp;$Q$2&amp;"'!K"&amp;ROW())),"")</f>
        <v>-0.4</v>
      </c>
      <c r="V65" s="16" t="n">
        <f aca="false">IF(OR($K65="",$U65=""),"",$K65-$U65)</f>
        <v>0.733333333333333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-3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51</v>
      </c>
      <c r="D66" s="32" t="n">
        <v>3969</v>
      </c>
      <c r="E66" s="32" t="n">
        <f aca="true">IF($D66="","",IFERROR(IF(ISBLANK(INDIRECT("'"&amp;$Q$2&amp;"'!D"&amp;ROW())),"",INDIRECT("'"&amp;$Q$2&amp;"'!D"&amp;ROW())),""))</f>
        <v>4122</v>
      </c>
      <c r="F66" s="33" t="n">
        <f aca="false">IF(OR(D66="",E66=""),"",D66-E66)</f>
        <v>-153</v>
      </c>
      <c r="G66" s="34" t="n">
        <f aca="false">IFERROR(F66/E66,"")</f>
        <v>-0.037117903930131</v>
      </c>
      <c r="H66" s="32" t="n">
        <v>11</v>
      </c>
      <c r="I66" s="32" t="n">
        <f aca="true">IF($H66="","",IFERROR(IF(ISBLANK(INDIRECT("'"&amp;$Q$2&amp;"'!H"&amp;ROW())),"",INDIRECT("'"&amp;$Q$2&amp;"'!H"&amp;ROW())),""))</f>
        <v>13</v>
      </c>
      <c r="J66" s="33" t="n">
        <f aca="false">IF(OR(H66="",I66=""),"",H66-I66)</f>
        <v>-2</v>
      </c>
      <c r="K66" s="34" t="n">
        <f aca="false">IFERROR(J66/I66,"")</f>
        <v>-0.153846153846154</v>
      </c>
      <c r="L66" s="32" t="n">
        <f aca="false">IFERROR(D66/C66,"")</f>
        <v>77.8235294117647</v>
      </c>
      <c r="M66" s="32" t="n">
        <f aca="false">IFERROR(H66/D66*1000,"")</f>
        <v>2.77147896195515</v>
      </c>
      <c r="N66" s="32" t="n">
        <v>847</v>
      </c>
      <c r="O66" s="33" t="n">
        <f aca="true">IFERROR(IF(OR(N66="",ISBLANK(INDIRECT("'"&amp;$Q$2&amp;"'!N"&amp;ROW()))),"",N66-INDIRECT("'"&amp;$Q$2&amp;"'!N"&amp;ROW())),"")</f>
        <v>-7</v>
      </c>
      <c r="P66" s="3"/>
      <c r="Q66" s="3"/>
      <c r="R66" s="3"/>
      <c r="S66" s="15" t="n">
        <f aca="true">IFERROR(IF(ISBLANK(INDIRECT("'"&amp;$Q$2&amp;"'!G"&amp;ROW())),"",INDIRECT("'"&amp;$Q$2&amp;"'!G"&amp;ROW())),"")</f>
        <v>0.180750501289029</v>
      </c>
      <c r="T66" s="16" t="n">
        <f aca="false">IF(OR($G66="",$S66=""),"",$G66-$S66)</f>
        <v>-0.21786840521916</v>
      </c>
      <c r="U66" s="15" t="n">
        <f aca="true">IFERROR(IF(ISBLANK(INDIRECT("'"&amp;$Q$2&amp;"'!K"&amp;ROW())),"",INDIRECT("'"&amp;$Q$2&amp;"'!K"&amp;ROW())),"")</f>
        <v>0.625</v>
      </c>
      <c r="V66" s="16" t="n">
        <f aca="false">IF(OR($K66="",$U66=""),"",$K66-$U66)</f>
        <v>-0.778846153846154</v>
      </c>
      <c r="W66" s="17" t="n">
        <f aca="true">IFERROR(IF(ISBLANK(INDIRECT("'"&amp;$Q$2&amp;"'!O"&amp;ROW())),"",INDIRECT("'"&amp;$Q$2&amp;"'!O"&amp;ROW())),"")</f>
        <v>1</v>
      </c>
      <c r="X66" s="17" t="n">
        <f aca="false">IF(OR($O66="",$W66=""),"",$O66-$W66)</f>
        <v>-8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58</v>
      </c>
      <c r="D67" s="32" t="n">
        <v>6617</v>
      </c>
      <c r="E67" s="32" t="n">
        <f aca="true">IF($D67="","",IFERROR(IF(ISBLANK(INDIRECT("'"&amp;$Q$2&amp;"'!D"&amp;ROW())),"",INDIRECT("'"&amp;$Q$2&amp;"'!D"&amp;ROW())),""))</f>
        <v>1940</v>
      </c>
      <c r="F67" s="33" t="n">
        <f aca="false">IF(OR(D67="",E67=""),"",D67-E67)</f>
        <v>4677</v>
      </c>
      <c r="G67" s="34" t="n">
        <f aca="false">IFERROR(F67/E67,"")</f>
        <v>2.41082474226804</v>
      </c>
      <c r="H67" s="32" t="n">
        <v>70</v>
      </c>
      <c r="I67" s="32" t="n">
        <f aca="true">IF($H67="","",IFERROR(IF(ISBLANK(INDIRECT("'"&amp;$Q$2&amp;"'!H"&amp;ROW())),"",INDIRECT("'"&amp;$Q$2&amp;"'!H"&amp;ROW())),""))</f>
        <v>21</v>
      </c>
      <c r="J67" s="33" t="n">
        <f aca="false">IF(OR(H67="",I67=""),"",H67-I67)</f>
        <v>49</v>
      </c>
      <c r="K67" s="34" t="n">
        <f aca="false">IFERROR(J67/I67,"")</f>
        <v>2.33333333333333</v>
      </c>
      <c r="L67" s="32" t="n">
        <f aca="false">IFERROR(D67/C67,"")</f>
        <v>114.086206896552</v>
      </c>
      <c r="M67" s="32" t="n">
        <f aca="false">IFERROR(H67/D67*1000,"")</f>
        <v>10.5788121505214</v>
      </c>
      <c r="N67" s="32" t="n">
        <v>1164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-0.488666315234581</v>
      </c>
      <c r="T67" s="16" t="n">
        <f aca="false">IF(OR($G67="",$S67=""),"",$G67-$S67)</f>
        <v>2.89949105750262</v>
      </c>
      <c r="U67" s="15" t="n">
        <f aca="true">IFERROR(IF(ISBLANK(INDIRECT("'"&amp;$Q$2&amp;"'!K"&amp;ROW())),"",INDIRECT("'"&amp;$Q$2&amp;"'!K"&amp;ROW())),"")</f>
        <v>0.235294117647059</v>
      </c>
      <c r="V67" s="16" t="n">
        <f aca="false">IF(OR($K67="",$U67=""),"",$K67-$U67)</f>
        <v>2.09803921568627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61</v>
      </c>
      <c r="D68" s="32" t="n">
        <v>19788</v>
      </c>
      <c r="E68" s="32" t="n">
        <f aca="true">IF($D68="","",IFERROR(IF(ISBLANK(INDIRECT("'"&amp;$Q$2&amp;"'!D"&amp;ROW())),"",INDIRECT("'"&amp;$Q$2&amp;"'!D"&amp;ROW())),""))</f>
        <v>21799</v>
      </c>
      <c r="F68" s="33" t="n">
        <f aca="false">IF(OR(D68="",E68=""),"",D68-E68)</f>
        <v>-2011</v>
      </c>
      <c r="G68" s="34" t="n">
        <f aca="false">IFERROR(F68/E68,"")</f>
        <v>-0.092251938162301</v>
      </c>
      <c r="H68" s="32" t="n">
        <v>84</v>
      </c>
      <c r="I68" s="32" t="n">
        <f aca="true">IF($H68="","",IFERROR(IF(ISBLANK(INDIRECT("'"&amp;$Q$2&amp;"'!H"&amp;ROW())),"",INDIRECT("'"&amp;$Q$2&amp;"'!H"&amp;ROW())),""))</f>
        <v>81</v>
      </c>
      <c r="J68" s="33" t="n">
        <f aca="false">IF(OR(H68="",I68=""),"",H68-I68)</f>
        <v>3</v>
      </c>
      <c r="K68" s="34" t="n">
        <f aca="false">IFERROR(J68/I68,"")</f>
        <v>0.037037037037037</v>
      </c>
      <c r="L68" s="32" t="n">
        <f aca="false">IFERROR(D68/C68,"")</f>
        <v>324.393442622951</v>
      </c>
      <c r="M68" s="32" t="n">
        <f aca="false">IFERROR(H68/D68*1000,"")</f>
        <v>4.24499696785931</v>
      </c>
      <c r="N68" s="32" t="n">
        <v>4401</v>
      </c>
      <c r="O68" s="33" t="n">
        <f aca="true">IFERROR(IF(OR(N68="",ISBLANK(INDIRECT("'"&amp;$Q$2&amp;"'!N"&amp;ROW()))),"",N68-INDIRECT("'"&amp;$Q$2&amp;"'!N"&amp;ROW())),"")</f>
        <v>-3</v>
      </c>
      <c r="P68" s="3"/>
      <c r="Q68" s="3"/>
      <c r="R68" s="3"/>
      <c r="S68" s="15" t="n">
        <f aca="true">IFERROR(IF(ISBLANK(INDIRECT("'"&amp;$Q$2&amp;"'!G"&amp;ROW())),"",INDIRECT("'"&amp;$Q$2&amp;"'!G"&amp;ROW())),"")</f>
        <v>0.228735696973113</v>
      </c>
      <c r="T68" s="16" t="n">
        <f aca="false">IF(OR($G68="",$S68=""),"",$G68-$S68)</f>
        <v>-0.320987635135414</v>
      </c>
      <c r="U68" s="15" t="n">
        <f aca="true">IFERROR(IF(ISBLANK(INDIRECT("'"&amp;$Q$2&amp;"'!K"&amp;ROW())),"",INDIRECT("'"&amp;$Q$2&amp;"'!K"&amp;ROW())),"")</f>
        <v>-0.173469387755102</v>
      </c>
      <c r="V68" s="16" t="n">
        <f aca="false">IF(OR($K68="",$U68=""),"",$K68-$U68)</f>
        <v>0.210506424792139</v>
      </c>
      <c r="W68" s="17" t="n">
        <f aca="true">IFERROR(IF(ISBLANK(INDIRECT("'"&amp;$Q$2&amp;"'!O"&amp;ROW())),"",INDIRECT("'"&amp;$Q$2&amp;"'!O"&amp;ROW())),"")</f>
        <v>-19</v>
      </c>
      <c r="X68" s="17" t="n">
        <f aca="false">IF(OR($O68="",$W68=""),"",$O68-$W68)</f>
        <v>16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92</v>
      </c>
      <c r="D69" s="32" t="n">
        <v>37154</v>
      </c>
      <c r="E69" s="32" t="n">
        <f aca="true">IF($D69="","",IFERROR(IF(ISBLANK(INDIRECT("'"&amp;$Q$2&amp;"'!D"&amp;ROW())),"",INDIRECT("'"&amp;$Q$2&amp;"'!D"&amp;ROW())),""))</f>
        <v>39117</v>
      </c>
      <c r="F69" s="33" t="n">
        <f aca="false">IF(OR(D69="",E69=""),"",D69-E69)</f>
        <v>-1963</v>
      </c>
      <c r="G69" s="34" t="n">
        <f aca="false">IFERROR(F69/E69,"")</f>
        <v>-0.0501827849783981</v>
      </c>
      <c r="H69" s="32" t="n">
        <v>218</v>
      </c>
      <c r="I69" s="32" t="n">
        <f aca="true">IF($H69="","",IFERROR(IF(ISBLANK(INDIRECT("'"&amp;$Q$2&amp;"'!H"&amp;ROW())),"",INDIRECT("'"&amp;$Q$2&amp;"'!H"&amp;ROW())),""))</f>
        <v>357</v>
      </c>
      <c r="J69" s="33" t="n">
        <f aca="false">IF(OR(H69="",I69=""),"",H69-I69)</f>
        <v>-139</v>
      </c>
      <c r="K69" s="34" t="n">
        <f aca="false">IFERROR(J69/I69,"")</f>
        <v>-0.389355742296919</v>
      </c>
      <c r="L69" s="32" t="n">
        <f aca="false">IFERROR(D69/C69,"")</f>
        <v>403.847826086957</v>
      </c>
      <c r="M69" s="32" t="n">
        <f aca="false">IFERROR(H69/D69*1000,"")</f>
        <v>5.86747052807235</v>
      </c>
      <c r="N69" s="32" t="n">
        <v>5487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0.440985780593826</v>
      </c>
      <c r="T69" s="16" t="n">
        <f aca="false">IF(OR($G69="",$S69=""),"",$G69-$S69)</f>
        <v>-0.491168565572224</v>
      </c>
      <c r="U69" s="15" t="n">
        <f aca="true">IFERROR(IF(ISBLANK(INDIRECT("'"&amp;$Q$2&amp;"'!K"&amp;ROW())),"",INDIRECT("'"&amp;$Q$2&amp;"'!K"&amp;ROW())),"")</f>
        <v>0.347169811320755</v>
      </c>
      <c r="V69" s="16" t="n">
        <f aca="false">IF(OR($K69="",$U69=""),"",$K69-$U69)</f>
        <v>-0.736525553617674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3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4025</v>
      </c>
      <c r="E70" s="32" t="n">
        <f aca="true">IF($D70="","",IFERROR(IF(ISBLANK(INDIRECT("'"&amp;$Q$2&amp;"'!D"&amp;ROW())),"",INDIRECT("'"&amp;$Q$2&amp;"'!D"&amp;ROW())),""))</f>
        <v>3972</v>
      </c>
      <c r="F70" s="33" t="n">
        <f aca="false">IF(OR(D70="",E70=""),"",D70-E70)</f>
        <v>53</v>
      </c>
      <c r="G70" s="34" t="n">
        <f aca="false">IFERROR(F70/E70,"")</f>
        <v>0.0133434038267875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17.5764192139738</v>
      </c>
      <c r="M70" s="32" t="n">
        <f aca="false">IFERROR(H70/D70*1000,"")</f>
        <v>0.496894409937888</v>
      </c>
      <c r="N70" s="32" t="n">
        <v>689</v>
      </c>
      <c r="O70" s="33" t="n">
        <f aca="true">IFERROR(IF(OR(N70="",ISBLANK(INDIRECT("'"&amp;$Q$2&amp;"'!N"&amp;ROW()))),"",N70-INDIRECT("'"&amp;$Q$2&amp;"'!N"&amp;ROW())),"")</f>
        <v>-3</v>
      </c>
      <c r="P70" s="3"/>
      <c r="Q70" s="3"/>
      <c r="R70" s="3"/>
      <c r="S70" s="15" t="n">
        <f aca="true">IFERROR(IF(ISBLANK(INDIRECT("'"&amp;$Q$2&amp;"'!G"&amp;ROW())),"",INDIRECT("'"&amp;$Q$2&amp;"'!G"&amp;ROW())),"")</f>
        <v>0.0099160945842868</v>
      </c>
      <c r="T70" s="16" t="n">
        <f aca="false">IF(OR($G70="",$S70=""),"",$G70-$S70)</f>
        <v>0.00342730924250071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0</v>
      </c>
      <c r="X70" s="17" t="n">
        <f aca="false">IF(OR($O70="",$W70=""),"",$O70-$W70)</f>
        <v>-3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22</v>
      </c>
      <c r="D71" s="32" t="n">
        <v>4176</v>
      </c>
      <c r="E71" s="32" t="n">
        <f aca="true">IF($D71="","",IFERROR(IF(ISBLANK(INDIRECT("'"&amp;$Q$2&amp;"'!D"&amp;ROW())),"",INDIRECT("'"&amp;$Q$2&amp;"'!D"&amp;ROW())),""))</f>
        <v>5095</v>
      </c>
      <c r="F71" s="33" t="n">
        <f aca="false">IF(OR(D71="",E71=""),"",D71-E71)</f>
        <v>-919</v>
      </c>
      <c r="G71" s="34" t="n">
        <f aca="false">IFERROR(F71/E71,"")</f>
        <v>-0.180372914622179</v>
      </c>
      <c r="H71" s="32" t="n">
        <v>449</v>
      </c>
      <c r="I71" s="32" t="n">
        <f aca="true">IF($H71="","",IFERROR(IF(ISBLANK(INDIRECT("'"&amp;$Q$2&amp;"'!H"&amp;ROW())),"",INDIRECT("'"&amp;$Q$2&amp;"'!H"&amp;ROW())),""))</f>
        <v>486</v>
      </c>
      <c r="J71" s="33" t="n">
        <f aca="false">IF(OR(H71="",I71=""),"",H71-I71)</f>
        <v>-37</v>
      </c>
      <c r="K71" s="34" t="n">
        <f aca="false">IFERROR(J71/I71,"")</f>
        <v>-0.0761316872427984</v>
      </c>
      <c r="L71" s="32" t="n">
        <f aca="false">IFERROR(D71/C71,"")</f>
        <v>189.818181818182</v>
      </c>
      <c r="M71" s="32" t="n">
        <f aca="false">IFERROR(H71/D71*1000,"")</f>
        <v>107.519157088123</v>
      </c>
      <c r="N71" s="32" t="n">
        <v>2481</v>
      </c>
      <c r="O71" s="33" t="n">
        <f aca="true">IFERROR(IF(OR(N71="",ISBLANK(INDIRECT("'"&amp;$Q$2&amp;"'!N"&amp;ROW()))),"",N71-INDIRECT("'"&amp;$Q$2&amp;"'!N"&amp;ROW())),"")</f>
        <v>-11</v>
      </c>
      <c r="P71" s="3"/>
      <c r="Q71" s="3"/>
      <c r="R71" s="3"/>
      <c r="S71" s="15" t="n">
        <f aca="true">IFERROR(IF(ISBLANK(INDIRECT("'"&amp;$Q$2&amp;"'!G"&amp;ROW())),"",INDIRECT("'"&amp;$Q$2&amp;"'!G"&amp;ROW())),"")</f>
        <v>-0.294809688581315</v>
      </c>
      <c r="T71" s="16" t="n">
        <f aca="false">IF(OR($G71="",$S71=""),"",$G71-$S71)</f>
        <v>0.114436773959136</v>
      </c>
      <c r="U71" s="15" t="n">
        <f aca="true">IFERROR(IF(ISBLANK(INDIRECT("'"&amp;$Q$2&amp;"'!K"&amp;ROW())),"",INDIRECT("'"&amp;$Q$2&amp;"'!K"&amp;ROW())),"")</f>
        <v>-0.183193277310924</v>
      </c>
      <c r="V71" s="16" t="n">
        <f aca="false">IF(OR($K71="",$U71=""),"",$K71-$U71)</f>
        <v>0.107061590068126</v>
      </c>
      <c r="W71" s="17" t="n">
        <f aca="true">IFERROR(IF(ISBLANK(INDIRECT("'"&amp;$Q$2&amp;"'!O"&amp;ROW())),"",INDIRECT("'"&amp;$Q$2&amp;"'!O"&amp;ROW())),"")</f>
        <v>-5</v>
      </c>
      <c r="X71" s="17" t="n">
        <f aca="false">IF(OR($O71="",$W71=""),"",$O71-$W71)</f>
        <v>-6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172</v>
      </c>
      <c r="E72" s="32" t="n">
        <f aca="true">IF($D72="","",IFERROR(IF(ISBLANK(INDIRECT("'"&amp;$Q$2&amp;"'!D"&amp;ROW())),"",INDIRECT("'"&amp;$Q$2&amp;"'!D"&amp;ROW())),""))</f>
        <v>303</v>
      </c>
      <c r="F72" s="33" t="n">
        <f aca="false">IF(OR(D72="",E72=""),"",D72-E72)</f>
        <v>-131</v>
      </c>
      <c r="G72" s="34" t="n">
        <f aca="false">IFERROR(F72/E72,"")</f>
        <v>-0.432343234323432</v>
      </c>
      <c r="H72" s="32" t="n">
        <v>27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7</v>
      </c>
      <c r="K72" s="34" t="n">
        <f aca="false">IFERROR(J72/I72,"")</f>
        <v>0.35</v>
      </c>
      <c r="L72" s="32" t="n">
        <f aca="false">IFERROR(D72/C72,"")</f>
        <v>24.5714285714286</v>
      </c>
      <c r="M72" s="32" t="n">
        <f aca="false">IFERROR(H72/D72*1000,"")</f>
        <v>156.976744186047</v>
      </c>
      <c r="N72" s="32" t="n">
        <v>173</v>
      </c>
      <c r="O72" s="33" t="n">
        <f aca="true">IFERROR(IF(OR(N72="",ISBLANK(INDIRECT("'"&amp;$Q$2&amp;"'!N"&amp;ROW()))),"",N72-INDIRECT("'"&amp;$Q$2&amp;"'!N"&amp;ROW())),"")</f>
        <v>-2</v>
      </c>
      <c r="P72" s="3"/>
      <c r="Q72" s="3"/>
      <c r="R72" s="3"/>
      <c r="S72" s="15" t="n">
        <f aca="true">IFERROR(IF(ISBLANK(INDIRECT("'"&amp;$Q$2&amp;"'!G"&amp;ROW())),"",INDIRECT("'"&amp;$Q$2&amp;"'!G"&amp;ROW())),"")</f>
        <v>-0.62125</v>
      </c>
      <c r="T72" s="16" t="n">
        <f aca="false">IF(OR($G72="",$S72=""),"",$G72-$S72)</f>
        <v>0.188906765676568</v>
      </c>
      <c r="U72" s="15" t="n">
        <f aca="true">IFERROR(IF(ISBLANK(INDIRECT("'"&amp;$Q$2&amp;"'!K"&amp;ROW())),"",INDIRECT("'"&amp;$Q$2&amp;"'!K"&amp;ROW())),"")</f>
        <v>-0.6</v>
      </c>
      <c r="V72" s="16" t="n">
        <f aca="false">IF(OR($K72="",$U72=""),"",$K72-$U72)</f>
        <v>0.95</v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-4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7</v>
      </c>
      <c r="D73" s="32" t="n">
        <v>1846</v>
      </c>
      <c r="E73" s="32" t="n">
        <f aca="true">IF($D73="","",IFERROR(IF(ISBLANK(INDIRECT("'"&amp;$Q$2&amp;"'!D"&amp;ROW())),"",INDIRECT("'"&amp;$Q$2&amp;"'!D"&amp;ROW())),""))</f>
        <v>826</v>
      </c>
      <c r="F73" s="33" t="n">
        <f aca="false">IF(OR(D73="",E73=""),"",D73-E73)</f>
        <v>1020</v>
      </c>
      <c r="G73" s="34" t="n">
        <f aca="false">IFERROR(F73/E73,"")</f>
        <v>1.23486682808717</v>
      </c>
      <c r="H73" s="32" t="n">
        <v>41</v>
      </c>
      <c r="I73" s="32" t="n">
        <f aca="true">IF($H73="","",IFERROR(IF(ISBLANK(INDIRECT("'"&amp;$Q$2&amp;"'!H"&amp;ROW())),"",INDIRECT("'"&amp;$Q$2&amp;"'!H"&amp;ROW())),""))</f>
        <v>14</v>
      </c>
      <c r="J73" s="33" t="n">
        <f aca="false">IF(OR(H73="",I73=""),"",H73-I73)</f>
        <v>27</v>
      </c>
      <c r="K73" s="34" t="n">
        <f aca="false">IFERROR(J73/I73,"")</f>
        <v>1.92857142857143</v>
      </c>
      <c r="L73" s="32" t="n">
        <f aca="false">IFERROR(D73/C73,"")</f>
        <v>263.714285714286</v>
      </c>
      <c r="M73" s="32" t="n">
        <f aca="false">IFERROR(H73/D73*1000,"")</f>
        <v>22.2101841820152</v>
      </c>
      <c r="N73" s="32" t="n">
        <v>57</v>
      </c>
      <c r="O73" s="33" t="n">
        <f aca="true">IFERROR(IF(OR(N73="",ISBLANK(INDIRECT("'"&amp;$Q$2&amp;"'!N"&amp;ROW()))),"",N73-INDIRECT("'"&amp;$Q$2&amp;"'!N"&amp;ROW())),"")</f>
        <v>3</v>
      </c>
      <c r="P73" s="3"/>
      <c r="Q73" s="3"/>
      <c r="R73" s="3"/>
      <c r="S73" s="15" t="n">
        <f aca="true">IFERROR(IF(ISBLANK(INDIRECT("'"&amp;$Q$2&amp;"'!G"&amp;ROW())),"",INDIRECT("'"&amp;$Q$2&amp;"'!G"&amp;ROW())),"")</f>
        <v>5.88333333333333</v>
      </c>
      <c r="T73" s="16" t="n">
        <f aca="false">IF(OR($G73="",$S73=""),"",$G73-$S73)</f>
        <v>-4.64846650524617</v>
      </c>
      <c r="U73" s="15" t="n">
        <f aca="true">IFERROR(IF(ISBLANK(INDIRECT("'"&amp;$Q$2&amp;"'!K"&amp;ROW())),"",INDIRECT("'"&amp;$Q$2&amp;"'!K"&amp;ROW())),"")</f>
        <v>-0.222222222222222</v>
      </c>
      <c r="V73" s="16" t="n">
        <f aca="false">IF(OR($K73="",$U73=""),"",$K73-$U73)</f>
        <v>2.15079365079365</v>
      </c>
      <c r="W73" s="17" t="n">
        <f aca="true">IFERROR(IF(ISBLANK(INDIRECT("'"&amp;$Q$2&amp;"'!O"&amp;ROW())),"",INDIRECT("'"&amp;$Q$2&amp;"'!O"&amp;ROW())),"")</f>
        <v>1</v>
      </c>
      <c r="X73" s="17" t="n">
        <f aca="false">IF(OR($O73="",$W73=""),"",$O73-$W73)</f>
        <v>2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1665</v>
      </c>
      <c r="D74" s="36" t="n">
        <f aca="false">SUM(D52:D73)</f>
        <v>419798</v>
      </c>
      <c r="E74" s="36" t="n">
        <f aca="false">SUM(E52:E73)</f>
        <v>485768</v>
      </c>
      <c r="F74" s="37" t="n">
        <f aca="false">SUM(F52:F73)</f>
        <v>-65970</v>
      </c>
      <c r="G74" s="38" t="n">
        <f aca="false">IF(C74=0,"",IFERROR(F74/E74,""))</f>
        <v>-0.135805569736994</v>
      </c>
      <c r="H74" s="36" t="n">
        <f aca="false">SUM(H52:H73)</f>
        <v>2673</v>
      </c>
      <c r="I74" s="36" t="n">
        <f aca="false">SUM(I52:I73)</f>
        <v>2618</v>
      </c>
      <c r="J74" s="37" t="n">
        <f aca="false">SUM(J52:J73)</f>
        <v>55</v>
      </c>
      <c r="K74" s="38" t="n">
        <f aca="false">IF(C74=0,"",IFERROR(J74/I74,""))</f>
        <v>0.0210084033613445</v>
      </c>
      <c r="L74" s="36" t="n">
        <f aca="false">IFERROR(D74/C74,"")</f>
        <v>252.130930930931</v>
      </c>
      <c r="M74" s="36" t="n">
        <f aca="false">IFERROR(H74/D74*1000,"")</f>
        <v>6.36734810551742</v>
      </c>
      <c r="N74" s="36" t="n">
        <f aca="false">SUM(N52:N73)</f>
        <v>98109</v>
      </c>
      <c r="O74" s="37" t="n">
        <f aca="false">SUM(O52:O73)</f>
        <v>-210</v>
      </c>
      <c r="P74" s="3"/>
      <c r="Q74" s="3"/>
      <c r="R74" s="3"/>
      <c r="S74" s="23" t="n">
        <f aca="true">IFERROR(IF(ISBLANK(INDIRECT("'"&amp;$Q$2&amp;"'!G"&amp;ROW())),"",INDIRECT("'"&amp;$Q$2&amp;"'!G"&amp;ROW())),"")</f>
        <v>0.018439198864506</v>
      </c>
      <c r="T74" s="24" t="n">
        <f aca="false">IF(OR($G74="",$S74=""),"",$G74-$S74)</f>
        <v>-0.1542447686015</v>
      </c>
      <c r="U74" s="23" t="n">
        <f aca="true">IFERROR(IF(ISBLANK(INDIRECT("'"&amp;$Q$2&amp;"'!K"&amp;ROW())),"",INDIRECT("'"&amp;$Q$2&amp;"'!K"&amp;ROW())),"")</f>
        <v>-0.180594679186228</v>
      </c>
      <c r="V74" s="24" t="n">
        <f aca="false">IF(OR($K74="",$U74=""),"",$K74-$U74)</f>
        <v>0.201603082547573</v>
      </c>
      <c r="W74" s="25" t="n">
        <f aca="true">IFERROR(IF(ISBLANK(INDIRECT("'"&amp;$Q$2&amp;"'!O"&amp;ROW())),"",INDIRECT("'"&amp;$Q$2&amp;"'!O"&amp;ROW())),"")</f>
        <v>-179</v>
      </c>
      <c r="X74" s="25" t="n">
        <f aca="false">IF(OR(C74=0,$O74="",$W74=""),"",$O74-$W74)</f>
        <v>-31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150</v>
      </c>
      <c r="D75" s="32" t="n">
        <v>157919</v>
      </c>
      <c r="E75" s="32" t="n">
        <f aca="true">IF($D75="","",IFERROR(IF(ISBLANK(INDIRECT("'"&amp;$Q$2&amp;"'!D"&amp;ROW())),"",INDIRECT("'"&amp;$Q$2&amp;"'!D"&amp;ROW())),""))</f>
        <v>166032</v>
      </c>
      <c r="F75" s="33" t="n">
        <f aca="false">IF(OR(D75="",E75=""),"",D75-E75)</f>
        <v>-8113</v>
      </c>
      <c r="G75" s="34" t="n">
        <f aca="false">IFERROR(F75/E75,"")</f>
        <v>-0.0488640743952973</v>
      </c>
      <c r="H75" s="32" t="n">
        <v>1522</v>
      </c>
      <c r="I75" s="32" t="n">
        <f aca="true">IF($H75="","",IFERROR(IF(ISBLANK(INDIRECT("'"&amp;$Q$2&amp;"'!H"&amp;ROW())),"",INDIRECT("'"&amp;$Q$2&amp;"'!H"&amp;ROW())),""))</f>
        <v>1755</v>
      </c>
      <c r="J75" s="33" t="n">
        <f aca="false">IF(OR(H75="",I75=""),"",H75-I75)</f>
        <v>-233</v>
      </c>
      <c r="K75" s="34" t="n">
        <f aca="false">IFERROR(J75/I75,"")</f>
        <v>-0.132763532763533</v>
      </c>
      <c r="L75" s="32" t="n">
        <f aca="false">IFERROR(D75/C75,"")</f>
        <v>1052.79333333333</v>
      </c>
      <c r="M75" s="32" t="n">
        <f aca="false">IFERROR(H75/D75*1000,"")</f>
        <v>9.637852316694</v>
      </c>
      <c r="N75" s="32" t="n">
        <v>4445</v>
      </c>
      <c r="O75" s="33" t="n">
        <f aca="true">IFERROR(IF(OR(N75="",ISBLANK(INDIRECT("'"&amp;$Q$2&amp;"'!N"&amp;ROW()))),"",N75-INDIRECT("'"&amp;$Q$2&amp;"'!N"&amp;ROW())),"")</f>
        <v>44</v>
      </c>
      <c r="P75" s="3"/>
      <c r="Q75" s="3"/>
      <c r="R75" s="3"/>
      <c r="S75" s="15" t="n">
        <f aca="true">IFERROR(IF(ISBLANK(INDIRECT("'"&amp;$Q$2&amp;"'!G"&amp;ROW())),"",INDIRECT("'"&amp;$Q$2&amp;"'!G"&amp;ROW())),"")</f>
        <v>0.11767675747723</v>
      </c>
      <c r="T75" s="16" t="n">
        <f aca="false">IF(OR($G75="",$S75=""),"",$G75-$S75)</f>
        <v>-0.166540831872527</v>
      </c>
      <c r="U75" s="15" t="n">
        <f aca="true">IFERROR(IF(ISBLANK(INDIRECT("'"&amp;$Q$2&amp;"'!K"&amp;ROW())),"",INDIRECT("'"&amp;$Q$2&amp;"'!K"&amp;ROW())),"")</f>
        <v>-0.0140449438202247</v>
      </c>
      <c r="V75" s="16" t="n">
        <f aca="false">IF(OR($K75="",$U75=""),"",$K75-$U75)</f>
        <v>-0.118718588943308</v>
      </c>
      <c r="W75" s="17" t="n">
        <f aca="true">IFERROR(IF(ISBLANK(INDIRECT("'"&amp;$Q$2&amp;"'!O"&amp;ROW())),"",INDIRECT("'"&amp;$Q$2&amp;"'!O"&amp;ROW())),"")</f>
        <v>120</v>
      </c>
      <c r="X75" s="17" t="n">
        <f aca="false">IF(OR($O75="",$W75=""),"",$O75-$W75)</f>
        <v>-76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147</v>
      </c>
      <c r="D76" s="32" t="n">
        <v>70495</v>
      </c>
      <c r="E76" s="32" t="n">
        <f aca="true">IF($D76="","",IFERROR(IF(ISBLANK(INDIRECT("'"&amp;$Q$2&amp;"'!D"&amp;ROW())),"",INDIRECT("'"&amp;$Q$2&amp;"'!D"&amp;ROW())),""))</f>
        <v>74136</v>
      </c>
      <c r="F76" s="33" t="n">
        <f aca="false">IF(OR(D76="",E76=""),"",D76-E76)</f>
        <v>-3641</v>
      </c>
      <c r="G76" s="34" t="n">
        <f aca="false">IFERROR(F76/E76,"")</f>
        <v>-0.0491124419984893</v>
      </c>
      <c r="H76" s="32" t="n">
        <v>338</v>
      </c>
      <c r="I76" s="32" t="n">
        <f aca="true">IF($H76="","",IFERROR(IF(ISBLANK(INDIRECT("'"&amp;$Q$2&amp;"'!H"&amp;ROW())),"",INDIRECT("'"&amp;$Q$2&amp;"'!H"&amp;ROW())),""))</f>
        <v>264</v>
      </c>
      <c r="J76" s="33" t="n">
        <f aca="false">IF(OR(H76="",I76=""),"",H76-I76)</f>
        <v>74</v>
      </c>
      <c r="K76" s="34" t="n">
        <f aca="false">IFERROR(J76/I76,"")</f>
        <v>0.28030303030303</v>
      </c>
      <c r="L76" s="32" t="n">
        <f aca="false">IFERROR(D76/C76,"")</f>
        <v>479.557823129252</v>
      </c>
      <c r="M76" s="32" t="n">
        <f aca="false">IFERROR(H76/D76*1000,"")</f>
        <v>4.79466628838925</v>
      </c>
      <c r="N76" s="32" t="n">
        <v>2247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n">
        <f aca="true">IFERROR(IF(ISBLANK(INDIRECT("'"&amp;$Q$2&amp;"'!G"&amp;ROW())),"",INDIRECT("'"&amp;$Q$2&amp;"'!G"&amp;ROW())),"")</f>
        <v>0.0583750910103216</v>
      </c>
      <c r="T76" s="16" t="n">
        <f aca="false">IF(OR($G76="",$S76=""),"",$G76-$S76)</f>
        <v>-0.107487533008811</v>
      </c>
      <c r="U76" s="15" t="n">
        <f aca="true">IFERROR(IF(ISBLANK(INDIRECT("'"&amp;$Q$2&amp;"'!K"&amp;ROW())),"",INDIRECT("'"&amp;$Q$2&amp;"'!K"&amp;ROW())),"")</f>
        <v>-0.105084745762712</v>
      </c>
      <c r="V76" s="16" t="n">
        <f aca="false">IF(OR($K76="",$U76=""),"",$K76-$U76)</f>
        <v>0.385387776065742</v>
      </c>
      <c r="W76" s="17" t="n">
        <f aca="true">IFERROR(IF(ISBLANK(INDIRECT("'"&amp;$Q$2&amp;"'!O"&amp;ROW())),"",INDIRECT("'"&amp;$Q$2&amp;"'!O"&amp;ROW())),"")</f>
        <v>18</v>
      </c>
      <c r="X76" s="17" t="n">
        <f aca="false">IF(OR($O76="",$W76=""),"",$O76-$W76)</f>
        <v>-10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6505</v>
      </c>
      <c r="E77" s="32" t="n">
        <f aca="true">IF($D77="","",IFERROR(IF(ISBLANK(INDIRECT("'"&amp;$Q$2&amp;"'!D"&amp;ROW())),"",INDIRECT("'"&amp;$Q$2&amp;"'!D"&amp;ROW())),""))</f>
        <v>7964</v>
      </c>
      <c r="F77" s="33" t="n">
        <f aca="false">IF(OR(D77="",E77=""),"",D77-E77)</f>
        <v>-1459</v>
      </c>
      <c r="G77" s="34" t="n">
        <f aca="false">IFERROR(F77/E77,"")</f>
        <v>-0.183199397287795</v>
      </c>
      <c r="H77" s="32" t="n">
        <v>20</v>
      </c>
      <c r="I77" s="32" t="n">
        <f aca="true">IF($H77="","",IFERROR(IF(ISBLANK(INDIRECT("'"&amp;$Q$2&amp;"'!H"&amp;ROW())),"",INDIRECT("'"&amp;$Q$2&amp;"'!H"&amp;ROW())),""))</f>
        <v>3</v>
      </c>
      <c r="J77" s="33" t="n">
        <f aca="false">IF(OR(H77="",I77=""),"",H77-I77)</f>
        <v>17</v>
      </c>
      <c r="K77" s="34" t="n">
        <f aca="false">IFERROR(J77/I77,"")</f>
        <v>5.66666666666667</v>
      </c>
      <c r="L77" s="32" t="n">
        <f aca="false">IFERROR(D77/C77,"")</f>
        <v>73.9204545454546</v>
      </c>
      <c r="M77" s="32" t="n">
        <f aca="false">IFERROR(H77/D77*1000,"")</f>
        <v>3.07455803228286</v>
      </c>
      <c r="N77" s="32" t="n">
        <v>273</v>
      </c>
      <c r="O77" s="33" t="n">
        <f aca="true">IFERROR(IF(OR(N77="",ISBLANK(INDIRECT("'"&amp;$Q$2&amp;"'!N"&amp;ROW()))),"",N77-INDIRECT("'"&amp;$Q$2&amp;"'!N"&amp;ROW())),"")</f>
        <v>0</v>
      </c>
      <c r="P77" s="3"/>
      <c r="Q77" s="3"/>
      <c r="R77" s="3"/>
      <c r="S77" s="15" t="n">
        <f aca="true">IFERROR(IF(ISBLANK(INDIRECT("'"&amp;$Q$2&amp;"'!G"&amp;ROW())),"",INDIRECT("'"&amp;$Q$2&amp;"'!G"&amp;ROW())),"")</f>
        <v>0.321606372386326</v>
      </c>
      <c r="T77" s="16" t="n">
        <f aca="false">IF(OR($G77="",$S77=""),"",$G77-$S77)</f>
        <v>-0.504805769674121</v>
      </c>
      <c r="U77" s="15" t="n">
        <f aca="true">IFERROR(IF(ISBLANK(INDIRECT("'"&amp;$Q$2&amp;"'!K"&amp;ROW())),"",INDIRECT("'"&amp;$Q$2&amp;"'!K"&amp;ROW())),"")</f>
        <v>-0.769230769230769</v>
      </c>
      <c r="V77" s="16" t="n">
        <f aca="false">IF(OR($K77="",$U77=""),"",$K77-$U77)</f>
        <v>6.43589743589744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-3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826</v>
      </c>
      <c r="E78" s="32" t="n">
        <f aca="true">IF($D78="","",IFERROR(IF(ISBLANK(INDIRECT("'"&amp;$Q$2&amp;"'!D"&amp;ROW())),"",INDIRECT("'"&amp;$Q$2&amp;"'!D"&amp;ROW())),""))</f>
        <v>1186</v>
      </c>
      <c r="F78" s="33" t="n">
        <f aca="false">IF(OR(D78="",E78=""),"",D78-E78)</f>
        <v>-360</v>
      </c>
      <c r="G78" s="34" t="n">
        <f aca="false">IFERROR(F78/E78,"")</f>
        <v>-0.3035413153457</v>
      </c>
      <c r="H78" s="32" t="n">
        <v>37</v>
      </c>
      <c r="I78" s="32" t="n">
        <f aca="true">IF($H78="","",IFERROR(IF(ISBLANK(INDIRECT("'"&amp;$Q$2&amp;"'!H"&amp;ROW())),"",INDIRECT("'"&amp;$Q$2&amp;"'!H"&amp;ROW())),""))</f>
        <v>26</v>
      </c>
      <c r="J78" s="33" t="n">
        <f aca="false">IF(OR(H78="",I78=""),"",H78-I78)</f>
        <v>11</v>
      </c>
      <c r="K78" s="34" t="n">
        <f aca="false">IFERROR(J78/I78,"")</f>
        <v>0.423076923076923</v>
      </c>
      <c r="L78" s="32" t="n">
        <f aca="false">IFERROR(D78/C78,"")</f>
        <v>118</v>
      </c>
      <c r="M78" s="32" t="n">
        <f aca="false">IFERROR(H78/D78*1000,"")</f>
        <v>44.7941888619855</v>
      </c>
      <c r="N78" s="32" t="n">
        <v>212</v>
      </c>
      <c r="O78" s="33" t="n">
        <f aca="true">IFERROR(IF(OR(N78="",ISBLANK(INDIRECT("'"&amp;$Q$2&amp;"'!N"&amp;ROW()))),"",N78-INDIRECT("'"&amp;$Q$2&amp;"'!N"&amp;ROW())),"")</f>
        <v>4</v>
      </c>
      <c r="P78" s="3"/>
      <c r="Q78" s="3"/>
      <c r="R78" s="3"/>
      <c r="S78" s="15" t="n">
        <f aca="true">IFERROR(IF(ISBLANK(INDIRECT("'"&amp;$Q$2&amp;"'!G"&amp;ROW())),"",INDIRECT("'"&amp;$Q$2&amp;"'!G"&amp;ROW())),"")</f>
        <v>-0.825485579752796</v>
      </c>
      <c r="T78" s="16" t="n">
        <f aca="false">IF(OR($G78="",$S78=""),"",$G78-$S78)</f>
        <v>0.521944264407096</v>
      </c>
      <c r="U78" s="15" t="n">
        <f aca="true">IFERROR(IF(ISBLANK(INDIRECT("'"&amp;$Q$2&amp;"'!K"&amp;ROW())),"",INDIRECT("'"&amp;$Q$2&amp;"'!K"&amp;ROW())),"")</f>
        <v>0.3</v>
      </c>
      <c r="V78" s="16" t="n">
        <f aca="false">IF(OR($K78="",$U78=""),"",$K78-$U78)</f>
        <v>0.123076923076923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85</v>
      </c>
      <c r="E79" s="32" t="n">
        <f aca="true">IF($D79="","",IFERROR(IF(ISBLANK(INDIRECT("'"&amp;$Q$2&amp;"'!D"&amp;ROW())),"",INDIRECT("'"&amp;$Q$2&amp;"'!D"&amp;ROW())),""))</f>
        <v>170</v>
      </c>
      <c r="F79" s="33" t="n">
        <f aca="false">IF(OR(D79="",E79=""),"",D79-E79)</f>
        <v>-85</v>
      </c>
      <c r="G79" s="34" t="n">
        <f aca="false">IFERROR(F79/E79,"")</f>
        <v>-0.5</v>
      </c>
      <c r="H79" s="32" t="n">
        <v>1</v>
      </c>
      <c r="I79" s="32" t="n">
        <f aca="true">IF($H79="","",IFERROR(IF(ISBLANK(INDIRECT("'"&amp;$Q$2&amp;"'!H"&amp;ROW())),"",INDIRECT("'"&amp;$Q$2&amp;"'!H"&amp;ROW())),""))</f>
        <v>2</v>
      </c>
      <c r="J79" s="33" t="n">
        <f aca="false">IF(OR(H79="",I79=""),"",H79-I79)</f>
        <v>-1</v>
      </c>
      <c r="K79" s="34" t="n">
        <f aca="false">IFERROR(J79/I79,"")</f>
        <v>-0.5</v>
      </c>
      <c r="L79" s="32" t="n">
        <f aca="false">IFERROR(D79/C79,"")</f>
        <v>21.25</v>
      </c>
      <c r="M79" s="32" t="n">
        <f aca="false">IFERROR(H79/D79*1000,"")</f>
        <v>11.7647058823529</v>
      </c>
      <c r="N79" s="32" t="n">
        <v>37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n">
        <f aca="true">IFERROR(IF(ISBLANK(INDIRECT("'"&amp;$Q$2&amp;"'!G"&amp;ROW())),"",INDIRECT("'"&amp;$Q$2&amp;"'!G"&amp;ROW())),"")</f>
        <v>1.61538461538462</v>
      </c>
      <c r="T79" s="16" t="n">
        <f aca="false">IF(OR($G79="",$S79=""),"",$G79-$S79)</f>
        <v>-2.11538461538462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99</v>
      </c>
      <c r="D80" s="32" t="n">
        <v>165080</v>
      </c>
      <c r="E80" s="32" t="n">
        <f aca="true">IF($D80="","",IFERROR(IF(ISBLANK(INDIRECT("'"&amp;$Q$2&amp;"'!D"&amp;ROW())),"",INDIRECT("'"&amp;$Q$2&amp;"'!D"&amp;ROW())),""))</f>
        <v>208151</v>
      </c>
      <c r="F80" s="33" t="n">
        <f aca="false">IF(OR(D80="",E80=""),"",D80-E80)</f>
        <v>-43071</v>
      </c>
      <c r="G80" s="34" t="n">
        <f aca="false">IFERROR(F80/E80,"")</f>
        <v>-0.206921898045169</v>
      </c>
      <c r="H80" s="32" t="n">
        <v>1556</v>
      </c>
      <c r="I80" s="32" t="n">
        <f aca="true">IF($H80="","",IFERROR(IF(ISBLANK(INDIRECT("'"&amp;$Q$2&amp;"'!H"&amp;ROW())),"",INDIRECT("'"&amp;$Q$2&amp;"'!H"&amp;ROW())),""))</f>
        <v>1845</v>
      </c>
      <c r="J80" s="33" t="n">
        <f aca="false">IF(OR(H80="",I80=""),"",H80-I80)</f>
        <v>-289</v>
      </c>
      <c r="K80" s="34" t="n">
        <f aca="false">IFERROR(J80/I80,"")</f>
        <v>-0.156639566395664</v>
      </c>
      <c r="L80" s="32" t="n">
        <f aca="false">IFERROR(D80/C80,"")</f>
        <v>1667.47474747475</v>
      </c>
      <c r="M80" s="32" t="n">
        <f aca="false">IFERROR(H80/D80*1000,"")</f>
        <v>9.42573297795009</v>
      </c>
      <c r="N80" s="32" t="n">
        <v>4351</v>
      </c>
      <c r="O80" s="33" t="n">
        <f aca="true">IFERROR(IF(OR(N80="",ISBLANK(INDIRECT("'"&amp;$Q$2&amp;"'!N"&amp;ROW()))),"",N80-INDIRECT("'"&amp;$Q$2&amp;"'!N"&amp;ROW())),"")</f>
        <v>0</v>
      </c>
      <c r="P80" s="3"/>
      <c r="Q80" s="3"/>
      <c r="R80" s="3"/>
      <c r="S80" s="15" t="n">
        <f aca="true">IFERROR(IF(ISBLANK(INDIRECT("'"&amp;$Q$2&amp;"'!G"&amp;ROW())),"",INDIRECT("'"&amp;$Q$2&amp;"'!G"&amp;ROW())),"")</f>
        <v>0.197143892381221</v>
      </c>
      <c r="T80" s="16" t="n">
        <f aca="false">IF(OR($G80="",$S80=""),"",$G80-$S80)</f>
        <v>-0.40406579042639</v>
      </c>
      <c r="U80" s="15" t="n">
        <f aca="true">IFERROR(IF(ISBLANK(INDIRECT("'"&amp;$Q$2&amp;"'!K"&amp;ROW())),"",INDIRECT("'"&amp;$Q$2&amp;"'!K"&amp;ROW())),"")</f>
        <v>-0.0567484662576687</v>
      </c>
      <c r="V80" s="16" t="n">
        <f aca="false">IF(OR($K80="",$U80=""),"",$K80-$U80)</f>
        <v>-0.0998911001379952</v>
      </c>
      <c r="W80" s="17" t="n">
        <f aca="true">IFERROR(IF(ISBLANK(INDIRECT("'"&amp;$Q$2&amp;"'!O"&amp;ROW())),"",INDIRECT("'"&amp;$Q$2&amp;"'!O"&amp;ROW())),"")</f>
        <v>37</v>
      </c>
      <c r="X80" s="17" t="n">
        <f aca="false">IF(OR($O80="",$W80=""),"",$O80-$W80)</f>
        <v>-37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89</v>
      </c>
      <c r="D81" s="32" t="n">
        <v>80151</v>
      </c>
      <c r="E81" s="32" t="n">
        <f aca="true">IF($D81="","",IFERROR(IF(ISBLANK(INDIRECT("'"&amp;$Q$2&amp;"'!D"&amp;ROW())),"",INDIRECT("'"&amp;$Q$2&amp;"'!D"&amp;ROW())),""))</f>
        <v>99097</v>
      </c>
      <c r="F81" s="33" t="n">
        <f aca="false">IF(OR(D81="",E81=""),"",D81-E81)</f>
        <v>-18946</v>
      </c>
      <c r="G81" s="34" t="n">
        <f aca="false">IFERROR(F81/E81,"")</f>
        <v>-0.191186413312209</v>
      </c>
      <c r="H81" s="32" t="n">
        <v>1699</v>
      </c>
      <c r="I81" s="32" t="n">
        <f aca="true">IF($H81="","",IFERROR(IF(ISBLANK(INDIRECT("'"&amp;$Q$2&amp;"'!H"&amp;ROW())),"",INDIRECT("'"&amp;$Q$2&amp;"'!H"&amp;ROW())),""))</f>
        <v>1986</v>
      </c>
      <c r="J81" s="33" t="n">
        <f aca="false">IF(OR(H81="",I81=""),"",H81-I81)</f>
        <v>-287</v>
      </c>
      <c r="K81" s="34" t="n">
        <f aca="false">IFERROR(J81/I81,"")</f>
        <v>-0.144511581067472</v>
      </c>
      <c r="L81" s="32" t="n">
        <f aca="false">IFERROR(D81/C81,"")</f>
        <v>900.573033707865</v>
      </c>
      <c r="M81" s="32" t="n">
        <f aca="false">IFERROR(H81/D81*1000,"")</f>
        <v>21.1974897381193</v>
      </c>
      <c r="N81" s="32" t="n">
        <v>2513</v>
      </c>
      <c r="O81" s="33" t="n">
        <f aca="true">IFERROR(IF(OR(N81="",ISBLANK(INDIRECT("'"&amp;$Q$2&amp;"'!N"&amp;ROW()))),"",N81-INDIRECT("'"&amp;$Q$2&amp;"'!N"&amp;ROW())),"")</f>
        <v>9</v>
      </c>
      <c r="P81" s="3"/>
      <c r="Q81" s="3"/>
      <c r="R81" s="3"/>
      <c r="S81" s="15" t="n">
        <f aca="true">IFERROR(IF(ISBLANK(INDIRECT("'"&amp;$Q$2&amp;"'!G"&amp;ROW())),"",INDIRECT("'"&amp;$Q$2&amp;"'!G"&amp;ROW())),"")</f>
        <v>0.224538467241678</v>
      </c>
      <c r="T81" s="16" t="n">
        <f aca="false">IF(OR($G81="",$S81=""),"",$G81-$S81)</f>
        <v>-0.415724880553887</v>
      </c>
      <c r="U81" s="15" t="n">
        <f aca="true">IFERROR(IF(ISBLANK(INDIRECT("'"&amp;$Q$2&amp;"'!K"&amp;ROW())),"",INDIRECT("'"&amp;$Q$2&amp;"'!K"&amp;ROW())),"")</f>
        <v>-0.0202269363591515</v>
      </c>
      <c r="V81" s="16" t="n">
        <f aca="false">IF(OR($K81="",$U81=""),"",$K81-$U81)</f>
        <v>-0.124284644708321</v>
      </c>
      <c r="W81" s="17" t="n">
        <f aca="true">IFERROR(IF(ISBLANK(INDIRECT("'"&amp;$Q$2&amp;"'!O"&amp;ROW())),"",INDIRECT("'"&amp;$Q$2&amp;"'!O"&amp;ROW())),"")</f>
        <v>73</v>
      </c>
      <c r="X81" s="17" t="n">
        <f aca="false">IF(OR($O81="",$W81=""),"",$O81-$W81)</f>
        <v>-64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95</v>
      </c>
      <c r="D82" s="32" t="n">
        <v>154133</v>
      </c>
      <c r="E82" s="32" t="n">
        <f aca="true">IF($D82="","",IFERROR(IF(ISBLANK(INDIRECT("'"&amp;$Q$2&amp;"'!D"&amp;ROW())),"",INDIRECT("'"&amp;$Q$2&amp;"'!D"&amp;ROW())),""))</f>
        <v>193342</v>
      </c>
      <c r="F82" s="33" t="n">
        <f aca="false">IF(OR(D82="",E82=""),"",D82-E82)</f>
        <v>-39209</v>
      </c>
      <c r="G82" s="34" t="n">
        <f aca="false">IFERROR(F82/E82,"")</f>
        <v>-0.202796081554965</v>
      </c>
      <c r="H82" s="32" t="n">
        <v>3296</v>
      </c>
      <c r="I82" s="32" t="n">
        <f aca="true">IF($H82="","",IFERROR(IF(ISBLANK(INDIRECT("'"&amp;$Q$2&amp;"'!H"&amp;ROW())),"",INDIRECT("'"&amp;$Q$2&amp;"'!H"&amp;ROW())),""))</f>
        <v>3704</v>
      </c>
      <c r="J82" s="33" t="n">
        <f aca="false">IF(OR(H82="",I82=""),"",H82-I82)</f>
        <v>-408</v>
      </c>
      <c r="K82" s="34" t="n">
        <f aca="false">IFERROR(J82/I82,"")</f>
        <v>-0.110151187904968</v>
      </c>
      <c r="L82" s="32" t="n">
        <f aca="false">IFERROR(D82/C82,"")</f>
        <v>1622.45263157895</v>
      </c>
      <c r="M82" s="32" t="n">
        <f aca="false">IFERROR(H82/D82*1000,"")</f>
        <v>21.384129290937</v>
      </c>
      <c r="N82" s="32" t="n">
        <v>3764</v>
      </c>
      <c r="O82" s="33" t="n">
        <f aca="true">IFERROR(IF(OR(N82="",ISBLANK(INDIRECT("'"&amp;$Q$2&amp;"'!N"&amp;ROW()))),"",N82-INDIRECT("'"&amp;$Q$2&amp;"'!N"&amp;ROW())),"")</f>
        <v>52</v>
      </c>
      <c r="P82" s="3"/>
      <c r="Q82" s="3"/>
      <c r="R82" s="3"/>
      <c r="S82" s="15" t="n">
        <f aca="true">IFERROR(IF(ISBLANK(INDIRECT("'"&amp;$Q$2&amp;"'!G"&amp;ROW())),"",INDIRECT("'"&amp;$Q$2&amp;"'!G"&amp;ROW())),"")</f>
        <v>0.168766321694555</v>
      </c>
      <c r="T82" s="16" t="n">
        <f aca="false">IF(OR($G82="",$S82=""),"",$G82-$S82)</f>
        <v>-0.371562403249519</v>
      </c>
      <c r="U82" s="15" t="n">
        <f aca="true">IFERROR(IF(ISBLANK(INDIRECT("'"&amp;$Q$2&amp;"'!K"&amp;ROW())),"",INDIRECT("'"&amp;$Q$2&amp;"'!K"&amp;ROW())),"")</f>
        <v>0.0948861956843039</v>
      </c>
      <c r="V82" s="16" t="n">
        <f aca="false">IF(OR($K82="",$U82=""),"",$K82-$U82)</f>
        <v>-0.205037383589271</v>
      </c>
      <c r="W82" s="17" t="n">
        <f aca="true">IFERROR(IF(ISBLANK(INDIRECT("'"&amp;$Q$2&amp;"'!O"&amp;ROW())),"",INDIRECT("'"&amp;$Q$2&amp;"'!O"&amp;ROW())),"")</f>
        <v>54</v>
      </c>
      <c r="X82" s="17" t="n">
        <f aca="false">IF(OR($O82="",$W82=""),"",$O82-$W82)</f>
        <v>-2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141</v>
      </c>
      <c r="D83" s="32" t="n">
        <v>85318</v>
      </c>
      <c r="E83" s="32" t="n">
        <f aca="true">IF($D83="","",IFERROR(IF(ISBLANK(INDIRECT("'"&amp;$Q$2&amp;"'!D"&amp;ROW())),"",INDIRECT("'"&amp;$Q$2&amp;"'!D"&amp;ROW())),""))</f>
        <v>97576</v>
      </c>
      <c r="F83" s="33" t="n">
        <f aca="false">IF(OR(D83="",E83=""),"",D83-E83)</f>
        <v>-12258</v>
      </c>
      <c r="G83" s="34" t="n">
        <f aca="false">IFERROR(F83/E83,"")</f>
        <v>-0.125625153726326</v>
      </c>
      <c r="H83" s="32" t="n">
        <v>546</v>
      </c>
      <c r="I83" s="32" t="n">
        <f aca="true">IF($H83="","",IFERROR(IF(ISBLANK(INDIRECT("'"&amp;$Q$2&amp;"'!H"&amp;ROW())),"",INDIRECT("'"&amp;$Q$2&amp;"'!H"&amp;ROW())),""))</f>
        <v>648</v>
      </c>
      <c r="J83" s="33" t="n">
        <f aca="false">IF(OR(H83="",I83=""),"",H83-I83)</f>
        <v>-102</v>
      </c>
      <c r="K83" s="34" t="n">
        <f aca="false">IFERROR(J83/I83,"")</f>
        <v>-0.157407407407407</v>
      </c>
      <c r="L83" s="32" t="n">
        <f aca="false">IFERROR(D83/C83,"")</f>
        <v>605.09219858156</v>
      </c>
      <c r="M83" s="32" t="n">
        <f aca="false">IFERROR(H83/D83*1000,"")</f>
        <v>6.39958742586559</v>
      </c>
      <c r="N83" s="32" t="n">
        <v>1797</v>
      </c>
      <c r="O83" s="33" t="n">
        <f aca="true">IFERROR(IF(OR(N83="",ISBLANK(INDIRECT("'"&amp;$Q$2&amp;"'!N"&amp;ROW()))),"",N83-INDIRECT("'"&amp;$Q$2&amp;"'!N"&amp;ROW())),"")</f>
        <v>0</v>
      </c>
      <c r="P83" s="3"/>
      <c r="Q83" s="3"/>
      <c r="R83" s="3"/>
      <c r="S83" s="15" t="n">
        <f aca="true">IFERROR(IF(ISBLANK(INDIRECT("'"&amp;$Q$2&amp;"'!G"&amp;ROW())),"",INDIRECT("'"&amp;$Q$2&amp;"'!G"&amp;ROW())),"")</f>
        <v>-0.00193320718048381</v>
      </c>
      <c r="T83" s="16" t="n">
        <f aca="false">IF(OR($G83="",$S83=""),"",$G83-$S83)</f>
        <v>-0.123691946545842</v>
      </c>
      <c r="U83" s="15" t="n">
        <f aca="true">IFERROR(IF(ISBLANK(INDIRECT("'"&amp;$Q$2&amp;"'!K"&amp;ROW())),"",INDIRECT("'"&amp;$Q$2&amp;"'!K"&amp;ROW())),"")</f>
        <v>-0.151832460732984</v>
      </c>
      <c r="V83" s="16" t="n">
        <f aca="false">IF(OR($K83="",$U83=""),"",$K83-$U83)</f>
        <v>-0.00557494667442313</v>
      </c>
      <c r="W83" s="17" t="n">
        <f aca="true">IFERROR(IF(ISBLANK(INDIRECT("'"&amp;$Q$2&amp;"'!O"&amp;ROW())),"",INDIRECT("'"&amp;$Q$2&amp;"'!O"&amp;ROW())),"")</f>
        <v>15</v>
      </c>
      <c r="X83" s="17" t="n">
        <f aca="false">IF(OR($O83="",$W83=""),"",$O83-$W83)</f>
        <v>-15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106</v>
      </c>
      <c r="D84" s="32" t="n">
        <v>27813</v>
      </c>
      <c r="E84" s="32" t="n">
        <f aca="true">IF($D84="","",IFERROR(IF(ISBLANK(INDIRECT("'"&amp;$Q$2&amp;"'!D"&amp;ROW())),"",INDIRECT("'"&amp;$Q$2&amp;"'!D"&amp;ROW())),""))</f>
        <v>38457</v>
      </c>
      <c r="F84" s="33" t="n">
        <f aca="false">IF(OR(D84="",E84=""),"",D84-E84)</f>
        <v>-10644</v>
      </c>
      <c r="G84" s="34" t="n">
        <f aca="false">IFERROR(F84/E84,"")</f>
        <v>-0.276776659645838</v>
      </c>
      <c r="H84" s="32" t="n">
        <v>400</v>
      </c>
      <c r="I84" s="32" t="n">
        <f aca="true">IF($H84="","",IFERROR(IF(ISBLANK(INDIRECT("'"&amp;$Q$2&amp;"'!H"&amp;ROW())),"",INDIRECT("'"&amp;$Q$2&amp;"'!H"&amp;ROW())),""))</f>
        <v>460</v>
      </c>
      <c r="J84" s="33" t="n">
        <f aca="false">IF(OR(H84="",I84=""),"",H84-I84)</f>
        <v>-60</v>
      </c>
      <c r="K84" s="34" t="n">
        <f aca="false">IFERROR(J84/I84,"")</f>
        <v>-0.130434782608696</v>
      </c>
      <c r="L84" s="32" t="n">
        <f aca="false">IFERROR(D84/C84,"")</f>
        <v>262.38679245283</v>
      </c>
      <c r="M84" s="32" t="n">
        <f aca="false">IFERROR(H84/D84*1000,"")</f>
        <v>14.3817639233452</v>
      </c>
      <c r="N84" s="32" t="n">
        <v>760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0.548749546937296</v>
      </c>
      <c r="T84" s="16" t="n">
        <f aca="false">IF(OR($G84="",$S84=""),"",$G84-$S84)</f>
        <v>-0.825526206583134</v>
      </c>
      <c r="U84" s="15" t="n">
        <f aca="true">IFERROR(IF(ISBLANK(INDIRECT("'"&amp;$Q$2&amp;"'!K"&amp;ROW())),"",INDIRECT("'"&amp;$Q$2&amp;"'!K"&amp;ROW())),"")</f>
        <v>0.735849056603774</v>
      </c>
      <c r="V84" s="16" t="n">
        <f aca="false">IF(OR($K84="",$U84=""),"",$K84-$U84)</f>
        <v>-0.866283839212469</v>
      </c>
      <c r="W84" s="17" t="n">
        <f aca="true">IFERROR(IF(ISBLANK(INDIRECT("'"&amp;$Q$2&amp;"'!O"&amp;ROW())),"",INDIRECT("'"&amp;$Q$2&amp;"'!O"&amp;ROW())),"")</f>
        <v>20</v>
      </c>
      <c r="X84" s="17" t="n">
        <f aca="false">IF(OR($O84="",$W84=""),"",$O84-$W84)</f>
        <v>-15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66</v>
      </c>
      <c r="D85" s="32" t="n">
        <v>8781</v>
      </c>
      <c r="E85" s="32" t="n">
        <f aca="true">IF($D85="","",IFERROR(IF(ISBLANK(INDIRECT("'"&amp;$Q$2&amp;"'!D"&amp;ROW())),"",INDIRECT("'"&amp;$Q$2&amp;"'!D"&amp;ROW())),""))</f>
        <v>12861</v>
      </c>
      <c r="F85" s="33" t="n">
        <f aca="false">IF(OR(D85="",E85=""),"",D85-E85)</f>
        <v>-4080</v>
      </c>
      <c r="G85" s="34" t="n">
        <f aca="false">IFERROR(F85/E85,"")</f>
        <v>-0.317238161884768</v>
      </c>
      <c r="H85" s="32" t="n">
        <v>612</v>
      </c>
      <c r="I85" s="32" t="n">
        <f aca="true">IF($H85="","",IFERROR(IF(ISBLANK(INDIRECT("'"&amp;$Q$2&amp;"'!H"&amp;ROW())),"",INDIRECT("'"&amp;$Q$2&amp;"'!H"&amp;ROW())),""))</f>
        <v>1019</v>
      </c>
      <c r="J85" s="33" t="n">
        <f aca="false">IF(OR(H85="",I85=""),"",H85-I85)</f>
        <v>-407</v>
      </c>
      <c r="K85" s="34" t="n">
        <f aca="false">IFERROR(J85/I85,"")</f>
        <v>-0.399411187438665</v>
      </c>
      <c r="L85" s="32" t="n">
        <f aca="false">IFERROR(D85/C85,"")</f>
        <v>133.045454545455</v>
      </c>
      <c r="M85" s="32" t="n">
        <f aca="false">IFERROR(H85/D85*1000,"")</f>
        <v>69.6959344038264</v>
      </c>
      <c r="N85" s="32" t="n">
        <v>307</v>
      </c>
      <c r="O85" s="33" t="n">
        <f aca="true">IFERROR(IF(OR(N85="",ISBLANK(INDIRECT("'"&amp;$Q$2&amp;"'!N"&amp;ROW()))),"",N85-INDIRECT("'"&amp;$Q$2&amp;"'!N"&amp;ROW())),"")</f>
        <v>8</v>
      </c>
      <c r="P85" s="3"/>
      <c r="Q85" s="3"/>
      <c r="R85" s="3"/>
      <c r="S85" s="15" t="n">
        <f aca="true">IFERROR(IF(ISBLANK(INDIRECT("'"&amp;$Q$2&amp;"'!G"&amp;ROW())),"",INDIRECT("'"&amp;$Q$2&amp;"'!G"&amp;ROW())),"")</f>
        <v>0.201625712417079</v>
      </c>
      <c r="T85" s="16" t="n">
        <f aca="false">IF(OR($G85="",$S85=""),"",$G85-$S85)</f>
        <v>-0.518863874301847</v>
      </c>
      <c r="U85" s="15" t="n">
        <f aca="true">IFERROR(IF(ISBLANK(INDIRECT("'"&amp;$Q$2&amp;"'!K"&amp;ROW())),"",INDIRECT("'"&amp;$Q$2&amp;"'!K"&amp;ROW())),"")</f>
        <v>0.171264367816092</v>
      </c>
      <c r="V85" s="16" t="n">
        <f aca="false">IF(OR($K85="",$U85=""),"",$K85-$U85)</f>
        <v>-0.570675555254757</v>
      </c>
      <c r="W85" s="17" t="n">
        <f aca="true">IFERROR(IF(ISBLANK(INDIRECT("'"&amp;$Q$2&amp;"'!O"&amp;ROW())),"",INDIRECT("'"&amp;$Q$2&amp;"'!O"&amp;ROW())),"")</f>
        <v>17</v>
      </c>
      <c r="X85" s="17" t="n">
        <f aca="false">IF(OR($O85="",$W85=""),"",$O85-$W85)</f>
        <v>-9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62</v>
      </c>
      <c r="D86" s="32" t="n">
        <v>46599</v>
      </c>
      <c r="E86" s="32" t="n">
        <f aca="true">IF($D86="","",IFERROR(IF(ISBLANK(INDIRECT("'"&amp;$Q$2&amp;"'!D"&amp;ROW())),"",INDIRECT("'"&amp;$Q$2&amp;"'!D"&amp;ROW())),""))</f>
        <v>70605</v>
      </c>
      <c r="F86" s="33" t="n">
        <f aca="false">IF(OR(D86="",E86=""),"",D86-E86)</f>
        <v>-24006</v>
      </c>
      <c r="G86" s="34" t="n">
        <f aca="false">IFERROR(F86/E86,"")</f>
        <v>-0.340004248990865</v>
      </c>
      <c r="H86" s="32" t="n">
        <v>423</v>
      </c>
      <c r="I86" s="32" t="n">
        <f aca="true">IF($H86="","",IFERROR(IF(ISBLANK(INDIRECT("'"&amp;$Q$2&amp;"'!H"&amp;ROW())),"",INDIRECT("'"&amp;$Q$2&amp;"'!H"&amp;ROW())),""))</f>
        <v>523</v>
      </c>
      <c r="J86" s="33" t="n">
        <f aca="false">IF(OR(H86="",I86=""),"",H86-I86)</f>
        <v>-100</v>
      </c>
      <c r="K86" s="34" t="n">
        <f aca="false">IFERROR(J86/I86,"")</f>
        <v>-0.191204588910134</v>
      </c>
      <c r="L86" s="32" t="n">
        <f aca="false">IFERROR(D86/C86,"")</f>
        <v>751.596774193548</v>
      </c>
      <c r="M86" s="32" t="n">
        <f aca="false">IFERROR(H86/D86*1000,"")</f>
        <v>9.07744801390588</v>
      </c>
      <c r="N86" s="32" t="n">
        <v>1917</v>
      </c>
      <c r="O86" s="33" t="n">
        <f aca="true">IFERROR(IF(OR(N86="",ISBLANK(INDIRECT("'"&amp;$Q$2&amp;"'!N"&amp;ROW()))),"",N86-INDIRECT("'"&amp;$Q$2&amp;"'!N"&amp;ROW())),"")</f>
        <v>10</v>
      </c>
      <c r="P86" s="3"/>
      <c r="Q86" s="3"/>
      <c r="R86" s="3"/>
      <c r="S86" s="15" t="n">
        <f aca="true">IFERROR(IF(ISBLANK(INDIRECT("'"&amp;$Q$2&amp;"'!G"&amp;ROW())),"",INDIRECT("'"&amp;$Q$2&amp;"'!G"&amp;ROW())),"")</f>
        <v>0.399837424164321</v>
      </c>
      <c r="T86" s="16" t="n">
        <f aca="false">IF(OR($G86="",$S86=""),"",$G86-$S86)</f>
        <v>-0.739841673155185</v>
      </c>
      <c r="U86" s="15" t="n">
        <f aca="true">IFERROR(IF(ISBLANK(INDIRECT("'"&amp;$Q$2&amp;"'!K"&amp;ROW())),"",INDIRECT("'"&amp;$Q$2&amp;"'!K"&amp;ROW())),"")</f>
        <v>-0.0314814814814815</v>
      </c>
      <c r="V86" s="16" t="n">
        <f aca="false">IF(OR($K86="",$U86=""),"",$K86-$U86)</f>
        <v>-0.159723107428652</v>
      </c>
      <c r="W86" s="17" t="n">
        <f aca="true">IFERROR(IF(ISBLANK(INDIRECT("'"&amp;$Q$2&amp;"'!O"&amp;ROW())),"",INDIRECT("'"&amp;$Q$2&amp;"'!O"&amp;ROW())),"")</f>
        <v>17</v>
      </c>
      <c r="X86" s="17" t="n">
        <f aca="false">IF(OR($O86="",$W86=""),"",$O86-$W86)</f>
        <v>-7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57</v>
      </c>
      <c r="D87" s="32" t="n">
        <v>14339</v>
      </c>
      <c r="E87" s="32" t="n">
        <f aca="true">IF($D87="","",IFERROR(IF(ISBLANK(INDIRECT("'"&amp;$Q$2&amp;"'!D"&amp;ROW())),"",INDIRECT("'"&amp;$Q$2&amp;"'!D"&amp;ROW())),""))</f>
        <v>20112</v>
      </c>
      <c r="F87" s="33" t="n">
        <f aca="false">IF(OR(D87="",E87=""),"",D87-E87)</f>
        <v>-5773</v>
      </c>
      <c r="G87" s="34" t="n">
        <f aca="false">IFERROR(F87/E87,"")</f>
        <v>-0.287042561654734</v>
      </c>
      <c r="H87" s="32" t="n">
        <v>70</v>
      </c>
      <c r="I87" s="32" t="n">
        <f aca="true">IF($H87="","",IFERROR(IF(ISBLANK(INDIRECT("'"&amp;$Q$2&amp;"'!H"&amp;ROW())),"",INDIRECT("'"&amp;$Q$2&amp;"'!H"&amp;ROW())),""))</f>
        <v>93</v>
      </c>
      <c r="J87" s="33" t="n">
        <f aca="false">IF(OR(H87="",I87=""),"",H87-I87)</f>
        <v>-23</v>
      </c>
      <c r="K87" s="34" t="n">
        <f aca="false">IFERROR(J87/I87,"")</f>
        <v>-0.247311827956989</v>
      </c>
      <c r="L87" s="32" t="n">
        <f aca="false">IFERROR(D87/C87,"")</f>
        <v>251.561403508772</v>
      </c>
      <c r="M87" s="32" t="n">
        <f aca="false">IFERROR(H87/D87*1000,"")</f>
        <v>4.88179091986889</v>
      </c>
      <c r="N87" s="32" t="n">
        <v>527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0.457919536063791</v>
      </c>
      <c r="T87" s="16" t="n">
        <f aca="false">IF(OR($G87="",$S87=""),"",$G87-$S87)</f>
        <v>-0.744962097718525</v>
      </c>
      <c r="U87" s="15" t="n">
        <f aca="true">IFERROR(IF(ISBLANK(INDIRECT("'"&amp;$Q$2&amp;"'!K"&amp;ROW())),"",INDIRECT("'"&amp;$Q$2&amp;"'!K"&amp;ROW())),"")</f>
        <v>0.309859154929577</v>
      </c>
      <c r="V87" s="16" t="n">
        <f aca="false">IF(OR($K87="",$U87=""),"",$K87-$U87)</f>
        <v>-0.557170982886567</v>
      </c>
      <c r="W87" s="17" t="n">
        <f aca="true">IFERROR(IF(ISBLANK(INDIRECT("'"&amp;$Q$2&amp;"'!O"&amp;ROW())),"",INDIRECT("'"&amp;$Q$2&amp;"'!O"&amp;ROW())),"")</f>
        <v>23</v>
      </c>
      <c r="X87" s="17" t="n">
        <f aca="false">IF(OR($O87="",$W87=""),"",$O87-$W87)</f>
        <v>-13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31</v>
      </c>
      <c r="D88" s="32" t="n">
        <v>7067</v>
      </c>
      <c r="E88" s="32" t="n">
        <f aca="true">IF($D88="","",IFERROR(IF(ISBLANK(INDIRECT("'"&amp;$Q$2&amp;"'!D"&amp;ROW())),"",INDIRECT("'"&amp;$Q$2&amp;"'!D"&amp;ROW())),""))</f>
        <v>9959</v>
      </c>
      <c r="F88" s="33" t="n">
        <f aca="false">IF(OR(D88="",E88=""),"",D88-E88)</f>
        <v>-2892</v>
      </c>
      <c r="G88" s="34" t="n">
        <f aca="false">IFERROR(F88/E88,"")</f>
        <v>-0.290390601466011</v>
      </c>
      <c r="H88" s="32" t="n">
        <v>69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-4</v>
      </c>
      <c r="K88" s="34" t="n">
        <f aca="false">IFERROR(J88/I88,"")</f>
        <v>-0.0547945205479452</v>
      </c>
      <c r="L88" s="32" t="n">
        <f aca="false">IFERROR(D88/C88,"")</f>
        <v>227.967741935484</v>
      </c>
      <c r="M88" s="32" t="n">
        <f aca="false">IFERROR(H88/D88*1000,"")</f>
        <v>9.76369039196264</v>
      </c>
      <c r="N88" s="32" t="n">
        <v>440</v>
      </c>
      <c r="O88" s="33" t="n">
        <f aca="true">IFERROR(IF(OR(N88="",ISBLANK(INDIRECT("'"&amp;$Q$2&amp;"'!N"&amp;ROW()))),"",N88-INDIRECT("'"&amp;$Q$2&amp;"'!N"&amp;ROW())),"")</f>
        <v>10</v>
      </c>
      <c r="P88" s="3"/>
      <c r="Q88" s="3"/>
      <c r="R88" s="3"/>
      <c r="S88" s="15" t="n">
        <f aca="true">IFERROR(IF(ISBLANK(INDIRECT("'"&amp;$Q$2&amp;"'!G"&amp;ROW())),"",INDIRECT("'"&amp;$Q$2&amp;"'!G"&amp;ROW())),"")</f>
        <v>0.458553016988869</v>
      </c>
      <c r="T88" s="16" t="n">
        <f aca="false">IF(OR($G88="",$S88=""),"",$G88-$S88)</f>
        <v>-0.74894361845488</v>
      </c>
      <c r="U88" s="15" t="n">
        <f aca="true">IFERROR(IF(ISBLANK(INDIRECT("'"&amp;$Q$2&amp;"'!K"&amp;ROW())),"",INDIRECT("'"&amp;$Q$2&amp;"'!K"&amp;ROW())),"")</f>
        <v>0</v>
      </c>
      <c r="V88" s="16" t="n">
        <f aca="false">IF(OR($K88="",$U88=""),"",$K88-$U88)</f>
        <v>-0.0547945205479452</v>
      </c>
      <c r="W88" s="17" t="n">
        <f aca="true">IFERROR(IF(ISBLANK(INDIRECT("'"&amp;$Q$2&amp;"'!O"&amp;ROW())),"",INDIRECT("'"&amp;$Q$2&amp;"'!O"&amp;ROW())),"")</f>
        <v>8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50</v>
      </c>
      <c r="D89" s="32" t="n">
        <v>8708</v>
      </c>
      <c r="E89" s="32" t="n">
        <f aca="true">IF($D89="","",IFERROR(IF(ISBLANK(INDIRECT("'"&amp;$Q$2&amp;"'!D"&amp;ROW())),"",INDIRECT("'"&amp;$Q$2&amp;"'!D"&amp;ROW())),""))</f>
        <v>13123</v>
      </c>
      <c r="F89" s="33" t="n">
        <f aca="false">IF(OR(D89="",E89=""),"",D89-E89)</f>
        <v>-4415</v>
      </c>
      <c r="G89" s="34" t="n">
        <f aca="false">IFERROR(F89/E89,"")</f>
        <v>-0.33643221824278</v>
      </c>
      <c r="H89" s="32" t="n">
        <v>138</v>
      </c>
      <c r="I89" s="32" t="n">
        <f aca="true">IF($H89="","",IFERROR(IF(ISBLANK(INDIRECT("'"&amp;$Q$2&amp;"'!H"&amp;ROW())),"",INDIRECT("'"&amp;$Q$2&amp;"'!H"&amp;ROW())),""))</f>
        <v>212</v>
      </c>
      <c r="J89" s="33" t="n">
        <f aca="false">IF(OR(H89="",I89=""),"",H89-I89)</f>
        <v>-74</v>
      </c>
      <c r="K89" s="34" t="n">
        <f aca="false">IFERROR(J89/I89,"")</f>
        <v>-0.349056603773585</v>
      </c>
      <c r="L89" s="32" t="n">
        <f aca="false">IFERROR(D89/C89,"")</f>
        <v>174.16</v>
      </c>
      <c r="M89" s="32" t="n">
        <f aca="false">IFERROR(H89/D89*1000,"")</f>
        <v>15.8474965548921</v>
      </c>
      <c r="N89" s="32" t="n">
        <v>450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n">
        <f aca="true">IFERROR(IF(ISBLANK(INDIRECT("'"&amp;$Q$2&amp;"'!G"&amp;ROW())),"",INDIRECT("'"&amp;$Q$2&amp;"'!G"&amp;ROW())),"")</f>
        <v>0.302789635659684</v>
      </c>
      <c r="T89" s="16" t="n">
        <f aca="false">IF(OR($G89="",$S89=""),"",$G89-$S89)</f>
        <v>-0.639221853902464</v>
      </c>
      <c r="U89" s="15" t="n">
        <f aca="true">IFERROR(IF(ISBLANK(INDIRECT("'"&amp;$Q$2&amp;"'!K"&amp;ROW())),"",INDIRECT("'"&amp;$Q$2&amp;"'!K"&amp;ROW())),"")</f>
        <v>-0.0319634703196347</v>
      </c>
      <c r="V89" s="16" t="n">
        <f aca="false">IF(OR($K89="",$U89=""),"",$K89-$U89)</f>
        <v>-0.31709313345395</v>
      </c>
      <c r="W89" s="17" t="n">
        <f aca="true">IFERROR(IF(ISBLANK(INDIRECT("'"&amp;$Q$2&amp;"'!O"&amp;ROW())),"",INDIRECT("'"&amp;$Q$2&amp;"'!O"&amp;ROW())),"")</f>
        <v>7</v>
      </c>
      <c r="X89" s="17" t="n">
        <f aca="false">IF(OR($O89="",$W89=""),"",$O89-$W89)</f>
        <v>-6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59</v>
      </c>
      <c r="D90" s="32" t="n">
        <v>33281</v>
      </c>
      <c r="E90" s="32" t="n">
        <f aca="true">IF($D90="","",IFERROR(IF(ISBLANK(INDIRECT("'"&amp;$Q$2&amp;"'!D"&amp;ROW())),"",INDIRECT("'"&amp;$Q$2&amp;"'!D"&amp;ROW())),""))</f>
        <v>40691</v>
      </c>
      <c r="F90" s="33" t="n">
        <f aca="false">IF(OR(D90="",E90=""),"",D90-E90)</f>
        <v>-7410</v>
      </c>
      <c r="G90" s="34" t="n">
        <f aca="false">IFERROR(F90/E90,"")</f>
        <v>-0.182104150795016</v>
      </c>
      <c r="H90" s="32" t="n">
        <v>711</v>
      </c>
      <c r="I90" s="32" t="n">
        <f aca="true">IF($H90="","",IFERROR(IF(ISBLANK(INDIRECT("'"&amp;$Q$2&amp;"'!H"&amp;ROW())),"",INDIRECT("'"&amp;$Q$2&amp;"'!H"&amp;ROW())),""))</f>
        <v>950</v>
      </c>
      <c r="J90" s="33" t="n">
        <f aca="false">IF(OR(H90="",I90=""),"",H90-I90)</f>
        <v>-239</v>
      </c>
      <c r="K90" s="34" t="n">
        <f aca="false">IFERROR(J90/I90,"")</f>
        <v>-0.251578947368421</v>
      </c>
      <c r="L90" s="32" t="n">
        <f aca="false">IFERROR(D90/C90,"")</f>
        <v>564.084745762712</v>
      </c>
      <c r="M90" s="32" t="n">
        <f aca="false">IFERROR(H90/D90*1000,"")</f>
        <v>21.3635407589916</v>
      </c>
      <c r="N90" s="32" t="n">
        <v>1492</v>
      </c>
      <c r="O90" s="33" t="n">
        <f aca="true">IFERROR(IF(OR(N90="",ISBLANK(INDIRECT("'"&amp;$Q$2&amp;"'!N"&amp;ROW()))),"",N90-INDIRECT("'"&amp;$Q$2&amp;"'!N"&amp;ROW())),"")</f>
        <v>7</v>
      </c>
      <c r="P90" s="3"/>
      <c r="Q90" s="3"/>
      <c r="R90" s="3"/>
      <c r="S90" s="15" t="n">
        <f aca="true">IFERROR(IF(ISBLANK(INDIRECT("'"&amp;$Q$2&amp;"'!G"&amp;ROW())),"",INDIRECT("'"&amp;$Q$2&amp;"'!G"&amp;ROW())),"")</f>
        <v>0.0081762097073908</v>
      </c>
      <c r="T90" s="16" t="n">
        <f aca="false">IF(OR($G90="",$S90=""),"",$G90-$S90)</f>
        <v>-0.190280360502407</v>
      </c>
      <c r="U90" s="15" t="n">
        <f aca="true">IFERROR(IF(ISBLANK(INDIRECT("'"&amp;$Q$2&amp;"'!K"&amp;ROW())),"",INDIRECT("'"&amp;$Q$2&amp;"'!K"&amp;ROW())),"")</f>
        <v>-0.069539666993144</v>
      </c>
      <c r="V90" s="16" t="n">
        <f aca="false">IF(OR($K90="",$U90=""),"",$K90-$U90)</f>
        <v>-0.182039280375277</v>
      </c>
      <c r="W90" s="17" t="n">
        <f aca="true">IFERROR(IF(ISBLANK(INDIRECT("'"&amp;$Q$2&amp;"'!O"&amp;ROW())),"",INDIRECT("'"&amp;$Q$2&amp;"'!O"&amp;ROW())),"")</f>
        <v>14</v>
      </c>
      <c r="X90" s="17" t="n">
        <f aca="false">IF(OR($O90="",$W90=""),"",$O90-$W90)</f>
        <v>-7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81701</v>
      </c>
      <c r="E91" s="32" t="n">
        <f aca="true">IF($D91="","",IFERROR(IF(ISBLANK(INDIRECT("'"&amp;$Q$2&amp;"'!D"&amp;ROW())),"",INDIRECT("'"&amp;$Q$2&amp;"'!D"&amp;ROW())),""))</f>
        <v>111978</v>
      </c>
      <c r="F91" s="33" t="n">
        <f aca="false">IF(OR(D91="",E91=""),"",D91-E91)</f>
        <v>-30277</v>
      </c>
      <c r="G91" s="34" t="n">
        <f aca="false">IFERROR(F91/E91,"")</f>
        <v>-0.27038346818125</v>
      </c>
      <c r="H91" s="32" t="n">
        <v>1051</v>
      </c>
      <c r="I91" s="32" t="n">
        <f aca="true">IF($H91="","",IFERROR(IF(ISBLANK(INDIRECT("'"&amp;$Q$2&amp;"'!H"&amp;ROW())),"",INDIRECT("'"&amp;$Q$2&amp;"'!H"&amp;ROW())),""))</f>
        <v>1157</v>
      </c>
      <c r="J91" s="33" t="n">
        <f aca="false">IF(OR(H91="",I91=""),"",H91-I91)</f>
        <v>-106</v>
      </c>
      <c r="K91" s="34" t="n">
        <f aca="false">IFERROR(J91/I91,"")</f>
        <v>-0.0916162489196197</v>
      </c>
      <c r="L91" s="32" t="n">
        <f aca="false">IFERROR(D91/C91,"")</f>
        <v>1276.578125</v>
      </c>
      <c r="M91" s="32" t="n">
        <f aca="false">IFERROR(H91/D91*1000,"")</f>
        <v>12.8639796330522</v>
      </c>
      <c r="N91" s="32" t="n">
        <v>2635</v>
      </c>
      <c r="O91" s="33" t="n">
        <f aca="true">IFERROR(IF(OR(N91="",ISBLANK(INDIRECT("'"&amp;$Q$2&amp;"'!N"&amp;ROW()))),"",N91-INDIRECT("'"&amp;$Q$2&amp;"'!N"&amp;ROW())),"")</f>
        <v>52</v>
      </c>
      <c r="P91" s="3"/>
      <c r="Q91" s="3"/>
      <c r="R91" s="3"/>
      <c r="S91" s="15" t="n">
        <f aca="true">IFERROR(IF(ISBLANK(INDIRECT("'"&amp;$Q$2&amp;"'!G"&amp;ROW())),"",INDIRECT("'"&amp;$Q$2&amp;"'!G"&amp;ROW())),"")</f>
        <v>0.4344567849045</v>
      </c>
      <c r="T91" s="16" t="n">
        <f aca="false">IF(OR($G91="",$S91=""),"",$G91-$S91)</f>
        <v>-0.70484025308575</v>
      </c>
      <c r="U91" s="15" t="n">
        <f aca="true">IFERROR(IF(ISBLANK(INDIRECT("'"&amp;$Q$2&amp;"'!K"&amp;ROW())),"",INDIRECT("'"&amp;$Q$2&amp;"'!K"&amp;ROW())),"")</f>
        <v>0.223044397463002</v>
      </c>
      <c r="V91" s="16" t="n">
        <f aca="false">IF(OR($K91="",$U91=""),"",$K91-$U91)</f>
        <v>-0.314660646382622</v>
      </c>
      <c r="W91" s="17" t="n">
        <f aca="true">IFERROR(IF(ISBLANK(INDIRECT("'"&amp;$Q$2&amp;"'!O"&amp;ROW())),"",INDIRECT("'"&amp;$Q$2&amp;"'!O"&amp;ROW())),"")</f>
        <v>101</v>
      </c>
      <c r="X91" s="17" t="n">
        <f aca="false">IF(OR($O91="",$W91=""),"",$O91-$W91)</f>
        <v>-49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78</v>
      </c>
      <c r="D92" s="32" t="n">
        <v>41251</v>
      </c>
      <c r="E92" s="32" t="n">
        <f aca="true">IF($D92="","",IFERROR(IF(ISBLANK(INDIRECT("'"&amp;$Q$2&amp;"'!D"&amp;ROW())),"",INDIRECT("'"&amp;$Q$2&amp;"'!D"&amp;ROW())),""))</f>
        <v>58955</v>
      </c>
      <c r="F92" s="33" t="n">
        <f aca="false">IF(OR(D92="",E92=""),"",D92-E92)</f>
        <v>-17704</v>
      </c>
      <c r="G92" s="34" t="n">
        <f aca="false">IFERROR(F92/E92,"")</f>
        <v>-0.300296836570265</v>
      </c>
      <c r="H92" s="32" t="n">
        <v>557</v>
      </c>
      <c r="I92" s="32" t="n">
        <f aca="true">IF($H92="","",IFERROR(IF(ISBLANK(INDIRECT("'"&amp;$Q$2&amp;"'!H"&amp;ROW())),"",INDIRECT("'"&amp;$Q$2&amp;"'!H"&amp;ROW())),""))</f>
        <v>642</v>
      </c>
      <c r="J92" s="33" t="n">
        <f aca="false">IF(OR(H92="",I92=""),"",H92-I92)</f>
        <v>-85</v>
      </c>
      <c r="K92" s="34" t="n">
        <f aca="false">IFERROR(J92/I92,"")</f>
        <v>-0.132398753894081</v>
      </c>
      <c r="L92" s="32" t="n">
        <f aca="false">IFERROR(D92/C92,"")</f>
        <v>528.858974358974</v>
      </c>
      <c r="M92" s="32" t="n">
        <f aca="false">IFERROR(H92/D92*1000,"")</f>
        <v>13.5027029647766</v>
      </c>
      <c r="N92" s="32" t="n">
        <v>1212</v>
      </c>
      <c r="O92" s="33" t="n">
        <f aca="true">IFERROR(IF(OR(N92="",ISBLANK(INDIRECT("'"&amp;$Q$2&amp;"'!N"&amp;ROW()))),"",N92-INDIRECT("'"&amp;$Q$2&amp;"'!N"&amp;ROW())),"")</f>
        <v>1</v>
      </c>
      <c r="P92" s="3"/>
      <c r="Q92" s="3"/>
      <c r="R92" s="3"/>
      <c r="S92" s="15" t="n">
        <f aca="true">IFERROR(IF(ISBLANK(INDIRECT("'"&amp;$Q$2&amp;"'!G"&amp;ROW())),"",INDIRECT("'"&amp;$Q$2&amp;"'!G"&amp;ROW())),"")</f>
        <v>0.518206633704162</v>
      </c>
      <c r="T92" s="16" t="n">
        <f aca="false">IF(OR($G92="",$S92=""),"",$G92-$S92)</f>
        <v>-0.818503470274427</v>
      </c>
      <c r="U92" s="15" t="n">
        <f aca="true">IFERROR(IF(ISBLANK(INDIRECT("'"&amp;$Q$2&amp;"'!K"&amp;ROW())),"",INDIRECT("'"&amp;$Q$2&amp;"'!K"&amp;ROW())),"")</f>
        <v>0.232245681381958</v>
      </c>
      <c r="V92" s="16" t="n">
        <f aca="false">IF(OR($K92="",$U92=""),"",$K92-$U92)</f>
        <v>-0.364644435276039</v>
      </c>
      <c r="W92" s="17" t="n">
        <f aca="true">IFERROR(IF(ISBLANK(INDIRECT("'"&amp;$Q$2&amp;"'!O"&amp;ROW())),"",INDIRECT("'"&amp;$Q$2&amp;"'!O"&amp;ROW())),"")</f>
        <v>17</v>
      </c>
      <c r="X92" s="17" t="n">
        <f aca="false">IF(OR($O92="",$W92=""),"",$O92-$W92)</f>
        <v>-16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8577</v>
      </c>
      <c r="E93" s="32" t="n">
        <f aca="true">IF($D93="","",IFERROR(IF(ISBLANK(INDIRECT("'"&amp;$Q$2&amp;"'!D"&amp;ROW())),"",INDIRECT("'"&amp;$Q$2&amp;"'!D"&amp;ROW())),""))</f>
        <v>11036</v>
      </c>
      <c r="F93" s="33" t="n">
        <f aca="false">IF(OR(D93="",E93=""),"",D93-E93)</f>
        <v>-2459</v>
      </c>
      <c r="G93" s="34" t="n">
        <f aca="false">IFERROR(F93/E93,"")</f>
        <v>-0.222816237767307</v>
      </c>
      <c r="H93" s="32" t="n">
        <v>702</v>
      </c>
      <c r="I93" s="32" t="n">
        <f aca="true">IF($H93="","",IFERROR(IF(ISBLANK(INDIRECT("'"&amp;$Q$2&amp;"'!H"&amp;ROW())),"",INDIRECT("'"&amp;$Q$2&amp;"'!H"&amp;ROW())),""))</f>
        <v>771</v>
      </c>
      <c r="J93" s="33" t="n">
        <f aca="false">IF(OR(H93="",I93=""),"",H93-I93)</f>
        <v>-69</v>
      </c>
      <c r="K93" s="34" t="n">
        <f aca="false">IFERROR(J93/I93,"")</f>
        <v>-0.0894941634241245</v>
      </c>
      <c r="L93" s="32" t="n">
        <f aca="false">IFERROR(D93/C93,"")</f>
        <v>408.428571428571</v>
      </c>
      <c r="M93" s="32" t="n">
        <f aca="false">IFERROR(H93/D93*1000,"")</f>
        <v>81.8467995802728</v>
      </c>
      <c r="N93" s="32" t="n">
        <v>1355</v>
      </c>
      <c r="O93" s="33" t="n">
        <f aca="true">IFERROR(IF(OR(N93="",ISBLANK(INDIRECT("'"&amp;$Q$2&amp;"'!N"&amp;ROW()))),"",N93-INDIRECT("'"&amp;$Q$2&amp;"'!N"&amp;ROW())),"")</f>
        <v>-2</v>
      </c>
      <c r="P93" s="3"/>
      <c r="Q93" s="3"/>
      <c r="R93" s="3"/>
      <c r="S93" s="15" t="n">
        <f aca="true">IFERROR(IF(ISBLANK(INDIRECT("'"&amp;$Q$2&amp;"'!G"&amp;ROW())),"",INDIRECT("'"&amp;$Q$2&amp;"'!G"&amp;ROW())),"")</f>
        <v>-0.216582664868318</v>
      </c>
      <c r="T93" s="16" t="n">
        <f aca="false">IF(OR($G93="",$S93=""),"",$G93-$S93)</f>
        <v>-0.00623357289898868</v>
      </c>
      <c r="U93" s="15" t="n">
        <f aca="true">IFERROR(IF(ISBLANK(INDIRECT("'"&amp;$Q$2&amp;"'!K"&amp;ROW())),"",INDIRECT("'"&amp;$Q$2&amp;"'!K"&amp;ROW())),"")</f>
        <v>-0.165584415584416</v>
      </c>
      <c r="V93" s="16" t="n">
        <f aca="false">IF(OR($K93="",$U93=""),"",$K93-$U93)</f>
        <v>0.0760902521602911</v>
      </c>
      <c r="W93" s="17" t="n">
        <f aca="true">IFERROR(IF(ISBLANK(INDIRECT("'"&amp;$Q$2&amp;"'!O"&amp;ROW())),"",INDIRECT("'"&amp;$Q$2&amp;"'!O"&amp;ROW())),"")</f>
        <v>2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764</v>
      </c>
      <c r="E94" s="32" t="n">
        <f aca="true">IF($D94="","",IFERROR(IF(ISBLANK(INDIRECT("'"&amp;$Q$2&amp;"'!D"&amp;ROW())),"",INDIRECT("'"&amp;$Q$2&amp;"'!D"&amp;ROW())),""))</f>
        <v>895</v>
      </c>
      <c r="F94" s="33" t="n">
        <f aca="false">IF(OR(D94="",E94=""),"",D94-E94)</f>
        <v>-131</v>
      </c>
      <c r="G94" s="34" t="n">
        <f aca="false">IFERROR(F94/E94,"")</f>
        <v>-0.146368715083799</v>
      </c>
      <c r="H94" s="32" t="n">
        <v>21</v>
      </c>
      <c r="I94" s="32" t="n">
        <f aca="true">IF($H94="","",IFERROR(IF(ISBLANK(INDIRECT("'"&amp;$Q$2&amp;"'!H"&amp;ROW())),"",INDIRECT("'"&amp;$Q$2&amp;"'!H"&amp;ROW())),""))</f>
        <v>41</v>
      </c>
      <c r="J94" s="33" t="n">
        <f aca="false">IF(OR(H94="",I94=""),"",H94-I94)</f>
        <v>-20</v>
      </c>
      <c r="K94" s="34" t="n">
        <f aca="false">IFERROR(J94/I94,"")</f>
        <v>-0.487804878048781</v>
      </c>
      <c r="L94" s="32" t="n">
        <f aca="false">IFERROR(D94/C94,"")</f>
        <v>109.142857142857</v>
      </c>
      <c r="M94" s="32" t="n">
        <f aca="false">IFERROR(H94/D94*1000,"")</f>
        <v>27.4869109947644</v>
      </c>
      <c r="N94" s="32" t="n">
        <v>230</v>
      </c>
      <c r="O94" s="33" t="n">
        <f aca="true">IFERROR(IF(OR(N94="",ISBLANK(INDIRECT("'"&amp;$Q$2&amp;"'!N"&amp;ROW()))),"",N94-INDIRECT("'"&amp;$Q$2&amp;"'!N"&amp;ROW())),"")</f>
        <v>-4</v>
      </c>
      <c r="P94" s="3"/>
      <c r="Q94" s="3"/>
      <c r="R94" s="3"/>
      <c r="S94" s="15" t="n">
        <f aca="true">IFERROR(IF(ISBLANK(INDIRECT("'"&amp;$Q$2&amp;"'!G"&amp;ROW())),"",INDIRECT("'"&amp;$Q$2&amp;"'!G"&amp;ROW())),"")</f>
        <v>-0.513851167843563</v>
      </c>
      <c r="T94" s="16" t="n">
        <f aca="false">IF(OR($G94="",$S94=""),"",$G94-$S94)</f>
        <v>0.367482452759764</v>
      </c>
      <c r="U94" s="15" t="n">
        <f aca="true">IFERROR(IF(ISBLANK(INDIRECT("'"&amp;$Q$2&amp;"'!K"&amp;ROW())),"",INDIRECT("'"&amp;$Q$2&amp;"'!K"&amp;ROW())),"")</f>
        <v>-0.293103448275862</v>
      </c>
      <c r="V94" s="16" t="n">
        <f aca="false">IF(OR($K94="",$U94=""),"",$K94-$U94)</f>
        <v>-0.194701429772918</v>
      </c>
      <c r="W94" s="17" t="n">
        <f aca="true">IFERROR(IF(ISBLANK(INDIRECT("'"&amp;$Q$2&amp;"'!O"&amp;ROW())),"",INDIRECT("'"&amp;$Q$2&amp;"'!O"&amp;ROW())),"")</f>
        <v>0</v>
      </c>
      <c r="X94" s="17" t="n">
        <f aca="false">IF(OR($O94="",$W94=""),"",$O94-$W94)</f>
        <v>-4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7</v>
      </c>
      <c r="D95" s="32" t="n">
        <v>4119</v>
      </c>
      <c r="E95" s="32" t="n">
        <f aca="true">IF($D95="","",IFERROR(IF(ISBLANK(INDIRECT("'"&amp;$Q$2&amp;"'!D"&amp;ROW())),"",INDIRECT("'"&amp;$Q$2&amp;"'!D"&amp;ROW())),""))</f>
        <v>2103</v>
      </c>
      <c r="F95" s="33" t="n">
        <f aca="false">IF(OR(D95="",E95=""),"",D95-E95)</f>
        <v>2016</v>
      </c>
      <c r="G95" s="34" t="n">
        <f aca="false">IFERROR(F95/E95,"")</f>
        <v>0.958630527817404</v>
      </c>
      <c r="H95" s="32" t="n">
        <v>95</v>
      </c>
      <c r="I95" s="32" t="n">
        <f aca="true">IF($H95="","",IFERROR(IF(ISBLANK(INDIRECT("'"&amp;$Q$2&amp;"'!H"&amp;ROW())),"",INDIRECT("'"&amp;$Q$2&amp;"'!H"&amp;ROW())),""))</f>
        <v>57</v>
      </c>
      <c r="J95" s="33" t="n">
        <f aca="false">IF(OR(H95="",I95=""),"",H95-I95)</f>
        <v>38</v>
      </c>
      <c r="K95" s="34" t="n">
        <f aca="false">IFERROR(J95/I95,"")</f>
        <v>0.666666666666667</v>
      </c>
      <c r="L95" s="32" t="n">
        <f aca="false">IFERROR(D95/C95,"")</f>
        <v>588.428571428571</v>
      </c>
      <c r="M95" s="32" t="n">
        <f aca="false">IFERROR(H95/D95*1000,"")</f>
        <v>23.0638504491381</v>
      </c>
      <c r="N95" s="32" t="n">
        <v>334</v>
      </c>
      <c r="O95" s="33" t="n">
        <f aca="true">IFERROR(IF(OR(N95="",ISBLANK(INDIRECT("'"&amp;$Q$2&amp;"'!N"&amp;ROW()))),"",N95-INDIRECT("'"&amp;$Q$2&amp;"'!N"&amp;ROW())),"")</f>
        <v>26</v>
      </c>
      <c r="P95" s="3"/>
      <c r="Q95" s="3"/>
      <c r="R95" s="3"/>
      <c r="S95" s="15" t="n">
        <f aca="true">IFERROR(IF(ISBLANK(INDIRECT("'"&amp;$Q$2&amp;"'!G"&amp;ROW())),"",INDIRECT("'"&amp;$Q$2&amp;"'!G"&amp;ROW())),"")</f>
        <v>1.15030674846626</v>
      </c>
      <c r="T95" s="16" t="n">
        <f aca="false">IF(OR($G95="",$S95=""),"",$G95-$S95)</f>
        <v>-0.191676220648854</v>
      </c>
      <c r="U95" s="15" t="n">
        <f aca="true">IFERROR(IF(ISBLANK(INDIRECT("'"&amp;$Q$2&amp;"'!K"&amp;ROW())),"",INDIRECT("'"&amp;$Q$2&amp;"'!K"&amp;ROW())),"")</f>
        <v>0.0555555555555556</v>
      </c>
      <c r="V95" s="16" t="n">
        <f aca="false">IF(OR($K95="",$U95=""),"",$K95-$U95)</f>
        <v>0.611111111111111</v>
      </c>
      <c r="W95" s="17" t="n">
        <f aca="true">IFERROR(IF(ISBLANK(INDIRECT("'"&amp;$Q$2&amp;"'!O"&amp;ROW())),"",INDIRECT("'"&amp;$Q$2&amp;"'!O"&amp;ROW())),"")</f>
        <v>13</v>
      </c>
      <c r="X95" s="17" t="n">
        <f aca="false">IF(OR($O95="",$W95=""),"",$O95-$W95)</f>
        <v>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1428</v>
      </c>
      <c r="D96" s="36" t="n">
        <f aca="false">SUM(D75:D95)</f>
        <v>1003512</v>
      </c>
      <c r="E96" s="36" t="n">
        <f aca="false">SUM(E75:E95)</f>
        <v>1238429</v>
      </c>
      <c r="F96" s="37" t="n">
        <f aca="false">SUM(F75:F95)</f>
        <v>-234917</v>
      </c>
      <c r="G96" s="38" t="n">
        <f aca="false">IF(C96=0,"",IFERROR(F96/E96,""))</f>
        <v>-0.18968951792957</v>
      </c>
      <c r="H96" s="36" t="n">
        <f aca="false">SUM(H75:H95)</f>
        <v>13864</v>
      </c>
      <c r="I96" s="36" t="n">
        <f aca="false">SUM(I75:I95)</f>
        <v>16231</v>
      </c>
      <c r="J96" s="37" t="n">
        <f aca="false">SUM(J75:J95)</f>
        <v>-2367</v>
      </c>
      <c r="K96" s="38" t="n">
        <f aca="false">IF(C96=0,"",IFERROR(J96/I96,""))</f>
        <v>-0.145832049781283</v>
      </c>
      <c r="L96" s="36" t="n">
        <f aca="false">IFERROR(D96/C96,"")</f>
        <v>702.739495798319</v>
      </c>
      <c r="M96" s="36" t="n">
        <f aca="false">IFERROR(H96/D96*1000,"")</f>
        <v>13.8154800341202</v>
      </c>
      <c r="N96" s="36" t="n">
        <f aca="false">SUM(N75:N95)</f>
        <v>31298</v>
      </c>
      <c r="O96" s="37" t="n">
        <f aca="false">SUM(O75:O95)</f>
        <v>242</v>
      </c>
      <c r="P96" s="3"/>
      <c r="Q96" s="3"/>
      <c r="R96" s="3"/>
      <c r="S96" s="23" t="n">
        <f aca="true">IFERROR(IF(ISBLANK(INDIRECT("'"&amp;$Q$2&amp;"'!G"&amp;ROW())),"",INDIRECT("'"&amp;$Q$2&amp;"'!G"&amp;ROW())),"")</f>
        <v>0.19045028227353</v>
      </c>
      <c r="T96" s="24" t="n">
        <f aca="false">IF(OR($G96="",$S96=""),"",$G96-$S96)</f>
        <v>-0.3801398002031</v>
      </c>
      <c r="U96" s="23" t="n">
        <f aca="true">IFERROR(IF(ISBLANK(INDIRECT("'"&amp;$Q$2&amp;"'!K"&amp;ROW())),"",INDIRECT("'"&amp;$Q$2&amp;"'!K"&amp;ROW())),"")</f>
        <v>0.0272784810126582</v>
      </c>
      <c r="V96" s="24" t="n">
        <f aca="false">IF(OR($K96="",$U96=""),"",$K96-$U96)</f>
        <v>-0.173110530793941</v>
      </c>
      <c r="W96" s="25" t="n">
        <f aca="true">IFERROR(IF(ISBLANK(INDIRECT("'"&amp;$Q$2&amp;"'!O"&amp;ROW())),"",INDIRECT("'"&amp;$Q$2&amp;"'!O"&amp;ROW())),"")</f>
        <v>560</v>
      </c>
      <c r="X96" s="25" t="n">
        <f aca="false">IF(OR(C96=0,$O96="",$W96=""),"",$O96-$W96)</f>
        <v>-318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6166</v>
      </c>
      <c r="D97" s="40" t="n">
        <f aca="false">D30+D51+D74+D96</f>
        <v>5874642</v>
      </c>
      <c r="E97" s="40" t="n">
        <f aca="false">E30+E51+E74+E96</f>
        <v>5628268</v>
      </c>
      <c r="F97" s="41" t="n">
        <f aca="false">F30+F51+F74+F96</f>
        <v>246374</v>
      </c>
      <c r="G97" s="42" t="n">
        <f aca="false">IF(OR(C30=0,C51=0,C74=0,C96=0),"",IFERROR(F97/E97,""))</f>
        <v>0.0437743902742371</v>
      </c>
      <c r="H97" s="40" t="n">
        <f aca="false">H30+H51+H74+H96</f>
        <v>47610</v>
      </c>
      <c r="I97" s="40" t="n">
        <f aca="false">I30+I51+I74+I96</f>
        <v>53732</v>
      </c>
      <c r="J97" s="41" t="n">
        <f aca="false">J30+J51+J74+J96</f>
        <v>-6122</v>
      </c>
      <c r="K97" s="42" t="n">
        <f aca="false">IF(OR(C30=0,C51=0,C74=0,C96=0),"",IFERROR(J97/I97,""))</f>
        <v>-0.113935829673193</v>
      </c>
      <c r="L97" s="40" t="n">
        <f aca="false">IFERROR(D97/C97,"")</f>
        <v>952.747648394421</v>
      </c>
      <c r="M97" s="40" t="n">
        <f aca="false">IFERROR(H97/D97*1000,"")</f>
        <v>8.10432363367844</v>
      </c>
      <c r="N97" s="40" t="n">
        <f aca="false">N30+N51+N74+N96</f>
        <v>684206</v>
      </c>
      <c r="O97" s="41" t="n">
        <f aca="false">O30+O51+O74+O96</f>
        <v>774</v>
      </c>
      <c r="P97" s="3"/>
      <c r="Q97" s="3"/>
      <c r="R97" s="3"/>
      <c r="S97" s="23" t="n">
        <f aca="true">IFERROR(IF(ISBLANK(INDIRECT("'"&amp;$Q$2&amp;"'!G"&amp;ROW())),"",INDIRECT("'"&amp;$Q$2&amp;"'!G"&amp;ROW())),"")</f>
        <v>0.125252814561644</v>
      </c>
      <c r="T97" s="24" t="n">
        <f aca="false">IF(OR($G97="",$S97=""),"",$G97-$S97)</f>
        <v>-0.0814784242874069</v>
      </c>
      <c r="U97" s="23" t="n">
        <f aca="true">IFERROR(IF(ISBLANK(INDIRECT("'"&amp;$Q$2&amp;"'!K"&amp;ROW())),"",INDIRECT("'"&amp;$Q$2&amp;"'!K"&amp;ROW())),"")</f>
        <v>-0.000672397186835554</v>
      </c>
      <c r="V97" s="24" t="n">
        <f aca="false">IF(OR($K97="",$U97=""),"",$K97-$U97)</f>
        <v>-0.113263432486357</v>
      </c>
      <c r="W97" s="25" t="n">
        <f aca="true">IFERROR(IF(ISBLANK(INDIRECT("'"&amp;$Q$2&amp;"'!O"&amp;ROW())),"",INDIRECT("'"&amp;$Q$2&amp;"'!O"&amp;ROW())),"")</f>
        <v>3507</v>
      </c>
      <c r="X97" s="25" t="n">
        <f aca="false">IF(OR(C30=0,C51=0,C74=0,C96=0),"",$O97-$W97)</f>
        <v>-2733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78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516875</v>
      </c>
      <c r="E3" s="32" t="n">
        <f aca="true">IF($D3="","",IFERROR(IF(ISBLANK(INDIRECT("'"&amp;$Q$2&amp;"'!D"&amp;ROW())),"",INDIRECT("'"&amp;$Q$2&amp;"'!D"&amp;ROW())),""))</f>
        <v>367169</v>
      </c>
      <c r="F3" s="33" t="n">
        <f aca="false">IF(OR(D3="",E3=""),"",D3-E3)</f>
        <v>149706</v>
      </c>
      <c r="G3" s="34" t="n">
        <f aca="false">IFERROR(F3/E3,"")</f>
        <v>0.407730500123921</v>
      </c>
      <c r="H3" s="32" t="n">
        <v>1943</v>
      </c>
      <c r="I3" s="32" t="n">
        <f aca="true">IF($H3="","",IFERROR(IF(ISBLANK(INDIRECT("'"&amp;$Q$2&amp;"'!H"&amp;ROW())),"",INDIRECT("'"&amp;$Q$2&amp;"'!H"&amp;ROW())),""))</f>
        <v>1463</v>
      </c>
      <c r="J3" s="33" t="n">
        <f aca="false">IF(OR(H3="",I3=""),"",H3-I3)</f>
        <v>480</v>
      </c>
      <c r="K3" s="34" t="n">
        <f aca="false">IFERROR(J3/I3,"")</f>
        <v>0.328092959671907</v>
      </c>
      <c r="L3" s="32" t="n">
        <f aca="false">IFERROR(D3/C3,"")</f>
        <v>4202.23577235772</v>
      </c>
      <c r="M3" s="32" t="n">
        <f aca="false">IFERROR(H3/D3*1000,"")</f>
        <v>3.75912938331318</v>
      </c>
      <c r="N3" s="32" t="n">
        <v>89076</v>
      </c>
      <c r="O3" s="33" t="n">
        <f aca="true">IFERROR(IF(OR(N3="",ISBLANK(INDIRECT("'"&amp;$Q$2&amp;"'!N"&amp;ROW()))),"",N3-INDIRECT("'"&amp;$Q$2&amp;"'!N"&amp;ROW())),"")</f>
        <v>1085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-0.0835941516789713</v>
      </c>
      <c r="T3" s="16" t="n">
        <f aca="false">IF(OR($G3="",$S3=""),"",$G3-$S3)</f>
        <v>0.491324651802892</v>
      </c>
      <c r="U3" s="15" t="n">
        <f aca="true">IFERROR(IF(ISBLANK(INDIRECT("'"&amp;$Q$2&amp;"'!K"&amp;ROW())),"",INDIRECT("'"&amp;$Q$2&amp;"'!K"&amp;ROW())),"")</f>
        <v>-0.244708311822406</v>
      </c>
      <c r="V3" s="16" t="n">
        <f aca="false">IF(OR($K3="",$U3=""),"",$K3-$U3)</f>
        <v>0.572801271494313</v>
      </c>
      <c r="W3" s="17" t="n">
        <f aca="true">IFERROR(IF(ISBLANK(INDIRECT("'"&amp;$Q$2&amp;"'!O"&amp;ROW())),"",INDIRECT("'"&amp;$Q$2&amp;"'!O"&amp;ROW())),"")</f>
        <v>193</v>
      </c>
      <c r="X3" s="17" t="n">
        <f aca="false">IF(OR($O3="",$W3=""),"",$O3-$W3)</f>
        <v>892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144</v>
      </c>
      <c r="D4" s="32" t="n">
        <v>216205</v>
      </c>
      <c r="E4" s="32" t="n">
        <f aca="true">IF($D4="","",IFERROR(IF(ISBLANK(INDIRECT("'"&amp;$Q$2&amp;"'!D"&amp;ROW())),"",INDIRECT("'"&amp;$Q$2&amp;"'!D"&amp;ROW())),""))</f>
        <v>131208</v>
      </c>
      <c r="F4" s="33" t="n">
        <f aca="false">IF(OR(D4="",E4=""),"",D4-E4)</f>
        <v>84997</v>
      </c>
      <c r="G4" s="34" t="n">
        <f aca="false">IFERROR(F4/E4,"")</f>
        <v>0.64780348759222</v>
      </c>
      <c r="H4" s="32" t="n">
        <v>695</v>
      </c>
      <c r="I4" s="32" t="n">
        <f aca="true">IF($H4="","",IFERROR(IF(ISBLANK(INDIRECT("'"&amp;$Q$2&amp;"'!H"&amp;ROW())),"",INDIRECT("'"&amp;$Q$2&amp;"'!H"&amp;ROW())),""))</f>
        <v>570</v>
      </c>
      <c r="J4" s="33" t="n">
        <f aca="false">IF(OR(H4="",I4=""),"",H4-I4)</f>
        <v>125</v>
      </c>
      <c r="K4" s="34" t="n">
        <f aca="false">IFERROR(J4/I4,"")</f>
        <v>0.219298245614035</v>
      </c>
      <c r="L4" s="32" t="n">
        <f aca="false">IFERROR(D4/C4,"")</f>
        <v>1501.42361111111</v>
      </c>
      <c r="M4" s="32" t="n">
        <f aca="false">IFERROR(H4/D4*1000,"")</f>
        <v>3.21454175435351</v>
      </c>
      <c r="N4" s="32" t="n">
        <v>26249</v>
      </c>
      <c r="O4" s="33" t="n">
        <f aca="true">IFERROR(IF(OR(N4="",ISBLANK(INDIRECT("'"&amp;$Q$2&amp;"'!N"&amp;ROW()))),"",N4-INDIRECT("'"&amp;$Q$2&amp;"'!N"&amp;ROW())),"")</f>
        <v>25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0.322821309029318</v>
      </c>
      <c r="T4" s="16" t="n">
        <f aca="false">IF(OR($G4="",$S4=""),"",$G4-$S4)</f>
        <v>0.324982178562902</v>
      </c>
      <c r="U4" s="15" t="n">
        <f aca="true">IFERROR(IF(ISBLANK(INDIRECT("'"&amp;$Q$2&amp;"'!K"&amp;ROW())),"",INDIRECT("'"&amp;$Q$2&amp;"'!K"&amp;ROW())),"")</f>
        <v>0.215351812366738</v>
      </c>
      <c r="V4" s="16" t="n">
        <f aca="false">IF(OR($K4="",$U4=""),"",$K4-$U4)</f>
        <v>0.00394643324729735</v>
      </c>
      <c r="W4" s="17" t="n">
        <f aca="true">IFERROR(IF(ISBLANK(INDIRECT("'"&amp;$Q$2&amp;"'!O"&amp;ROW())),"",INDIRECT("'"&amp;$Q$2&amp;"'!O"&amp;ROW())),"")</f>
        <v>21</v>
      </c>
      <c r="X4" s="17" t="n">
        <f aca="false">IF(OR($O4="",$W4=""),"",$O4-$W4)</f>
        <v>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245</v>
      </c>
      <c r="D5" s="32" t="n">
        <v>4223</v>
      </c>
      <c r="E5" s="32" t="n">
        <f aca="true">IF($D5="","",IFERROR(IF(ISBLANK(INDIRECT("'"&amp;$Q$2&amp;"'!D"&amp;ROW())),"",INDIRECT("'"&amp;$Q$2&amp;"'!D"&amp;ROW())),""))</f>
        <v>6090</v>
      </c>
      <c r="F5" s="33" t="n">
        <f aca="false">IF(OR(D5="",E5=""),"",D5-E5)</f>
        <v>-1867</v>
      </c>
      <c r="G5" s="34" t="n">
        <f aca="false">IFERROR(F5/E5,"")</f>
        <v>-0.306568144499179</v>
      </c>
      <c r="H5" s="32" t="n">
        <v>10</v>
      </c>
      <c r="I5" s="32" t="n">
        <f aca="true">IF($H5="","",IFERROR(IF(ISBLANK(INDIRECT("'"&amp;$Q$2&amp;"'!H"&amp;ROW())),"",INDIRECT("'"&amp;$Q$2&amp;"'!H"&amp;ROW())),""))</f>
        <v>14</v>
      </c>
      <c r="J5" s="33" t="n">
        <f aca="false">IF(OR(H5="",I5=""),"",H5-I5)</f>
        <v>-4</v>
      </c>
      <c r="K5" s="34" t="n">
        <f aca="false">IFERROR(J5/I5,"")</f>
        <v>-0.285714285714286</v>
      </c>
      <c r="L5" s="32" t="n">
        <f aca="false">IFERROR(D5/C5,"")</f>
        <v>17.2367346938776</v>
      </c>
      <c r="M5" s="32" t="n">
        <f aca="false">IFERROR(H5/D5*1000,"")</f>
        <v>2.36798484489699</v>
      </c>
      <c r="N5" s="32" t="n">
        <v>3501</v>
      </c>
      <c r="O5" s="33" t="n">
        <f aca="true">IFERROR(IF(OR(N5="",ISBLANK(INDIRECT("'"&amp;$Q$2&amp;"'!N"&amp;ROW()))),"",N5-INDIRECT("'"&amp;$Q$2&amp;"'!N"&amp;ROW())),"")</f>
        <v>-2</v>
      </c>
      <c r="P5" s="3"/>
      <c r="Q5" s="3"/>
      <c r="R5" s="3"/>
      <c r="S5" s="15" t="n">
        <f aca="true">IFERROR(IF(ISBLANK(INDIRECT("'"&amp;$Q$2&amp;"'!G"&amp;ROW())),"",INDIRECT("'"&amp;$Q$2&amp;"'!G"&amp;ROW())),"")</f>
        <v>0.166443210113005</v>
      </c>
      <c r="T5" s="16" t="n">
        <f aca="false">IF(OR($G5="",$S5=""),"",$G5-$S5)</f>
        <v>-0.473011354612184</v>
      </c>
      <c r="U5" s="15" t="n">
        <f aca="true">IFERROR(IF(ISBLANK(INDIRECT("'"&amp;$Q$2&amp;"'!K"&amp;ROW())),"",INDIRECT("'"&amp;$Q$2&amp;"'!K"&amp;ROW())),"")</f>
        <v>0.0769230769230769</v>
      </c>
      <c r="V5" s="16" t="n">
        <f aca="false">IF(OR($K5="",$U5=""),"",$K5-$U5)</f>
        <v>-0.362637362637363</v>
      </c>
      <c r="W5" s="17" t="n">
        <f aca="true">IFERROR(IF(ISBLANK(INDIRECT("'"&amp;$Q$2&amp;"'!O"&amp;ROW())),"",INDIRECT("'"&amp;$Q$2&amp;"'!O"&amp;ROW())),"")</f>
        <v>2</v>
      </c>
      <c r="X5" s="17" t="n">
        <f aca="false">IF(OR($O5="",$W5=""),"",$O5-$W5)</f>
        <v>-4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96</v>
      </c>
      <c r="D6" s="32" t="n">
        <v>52347</v>
      </c>
      <c r="E6" s="32" t="n">
        <f aca="true">IF($D6="","",IFERROR(IF(ISBLANK(INDIRECT("'"&amp;$Q$2&amp;"'!D"&amp;ROW())),"",INDIRECT("'"&amp;$Q$2&amp;"'!D"&amp;ROW())),""))</f>
        <v>56436</v>
      </c>
      <c r="F6" s="33" t="n">
        <f aca="false">IF(OR(D6="",E6=""),"",D6-E6)</f>
        <v>-4089</v>
      </c>
      <c r="G6" s="34" t="n">
        <f aca="false">IFERROR(F6/E6,"")</f>
        <v>-0.0724537529236658</v>
      </c>
      <c r="H6" s="32" t="n">
        <v>291</v>
      </c>
      <c r="I6" s="32" t="n">
        <f aca="true">IF($H6="","",IFERROR(IF(ISBLANK(INDIRECT("'"&amp;$Q$2&amp;"'!H"&amp;ROW())),"",INDIRECT("'"&amp;$Q$2&amp;"'!H"&amp;ROW())),""))</f>
        <v>269</v>
      </c>
      <c r="J6" s="33" t="n">
        <f aca="false">IF(OR(H6="",I6=""),"",H6-I6)</f>
        <v>22</v>
      </c>
      <c r="K6" s="34" t="n">
        <f aca="false">IFERROR(J6/I6,"")</f>
        <v>0.0817843866171004</v>
      </c>
      <c r="L6" s="32" t="n">
        <f aca="false">IFERROR(D6/C6,"")</f>
        <v>545.28125</v>
      </c>
      <c r="M6" s="32" t="n">
        <f aca="false">IFERROR(H6/D6*1000,"")</f>
        <v>5.55905782566336</v>
      </c>
      <c r="N6" s="32" t="n">
        <v>22931</v>
      </c>
      <c r="O6" s="33" t="n">
        <f aca="true">IFERROR(IF(OR(N6="",ISBLANK(INDIRECT("'"&amp;$Q$2&amp;"'!N"&amp;ROW()))),"",N6-INDIRECT("'"&amp;$Q$2&amp;"'!N"&amp;ROW())),"")</f>
        <v>-4</v>
      </c>
      <c r="P6" s="3"/>
      <c r="Q6" s="3"/>
      <c r="R6" s="3"/>
      <c r="S6" s="15" t="n">
        <f aca="true">IFERROR(IF(ISBLANK(INDIRECT("'"&amp;$Q$2&amp;"'!G"&amp;ROW())),"",INDIRECT("'"&amp;$Q$2&amp;"'!G"&amp;ROW())),"")</f>
        <v>-0.149804157878879</v>
      </c>
      <c r="T6" s="16" t="n">
        <f aca="false">IF(OR($G6="",$S6=""),"",$G6-$S6)</f>
        <v>0.0773504049552134</v>
      </c>
      <c r="U6" s="15" t="n">
        <f aca="true">IFERROR(IF(ISBLANK(INDIRECT("'"&amp;$Q$2&amp;"'!K"&amp;ROW())),"",INDIRECT("'"&amp;$Q$2&amp;"'!K"&amp;ROW())),"")</f>
        <v>-0.0850340136054422</v>
      </c>
      <c r="V6" s="16" t="n">
        <f aca="false">IF(OR($K6="",$U6=""),"",$K6-$U6)</f>
        <v>0.166818400222543</v>
      </c>
      <c r="W6" s="17" t="n">
        <f aca="true">IFERROR(IF(ISBLANK(INDIRECT("'"&amp;$Q$2&amp;"'!O"&amp;ROW())),"",INDIRECT("'"&amp;$Q$2&amp;"'!O"&amp;ROW())),"")</f>
        <v>11</v>
      </c>
      <c r="X6" s="17" t="n">
        <f aca="false">IF(OR($O6="",$W6=""),"",$O6-$W6)</f>
        <v>-15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108141</v>
      </c>
      <c r="E7" s="32" t="n">
        <f aca="true">IF($D7="","",IFERROR(IF(ISBLANK(INDIRECT("'"&amp;$Q$2&amp;"'!D"&amp;ROW())),"",INDIRECT("'"&amp;$Q$2&amp;"'!D"&amp;ROW())),""))</f>
        <v>105221</v>
      </c>
      <c r="F7" s="33" t="n">
        <f aca="false">IF(OR(D7="",E7=""),"",D7-E7)</f>
        <v>2920</v>
      </c>
      <c r="G7" s="34" t="n">
        <f aca="false">IFERROR(F7/E7,"")</f>
        <v>0.0277511143212857</v>
      </c>
      <c r="H7" s="32" t="n">
        <v>1025</v>
      </c>
      <c r="I7" s="32" t="n">
        <f aca="true">IF($H7="","",IFERROR(IF(ISBLANK(INDIRECT("'"&amp;$Q$2&amp;"'!H"&amp;ROW())),"",INDIRECT("'"&amp;$Q$2&amp;"'!H"&amp;ROW())),""))</f>
        <v>1220</v>
      </c>
      <c r="J7" s="33" t="n">
        <f aca="false">IF(OR(H7="",I7=""),"",H7-I7)</f>
        <v>-195</v>
      </c>
      <c r="K7" s="34" t="n">
        <f aca="false">IFERROR(J7/I7,"")</f>
        <v>-0.159836065573771</v>
      </c>
      <c r="L7" s="32" t="n">
        <f aca="false">IFERROR(D7/C7,"")</f>
        <v>865.128</v>
      </c>
      <c r="M7" s="32" t="n">
        <f aca="false">IFERROR(H7/D7*1000,"")</f>
        <v>9.4783662070815</v>
      </c>
      <c r="N7" s="32" t="n">
        <v>24832</v>
      </c>
      <c r="O7" s="33" t="n">
        <f aca="true">IFERROR(IF(OR(N7="",ISBLANK(INDIRECT("'"&amp;$Q$2&amp;"'!N"&amp;ROW()))),"",N7-INDIRECT("'"&amp;$Q$2&amp;"'!N"&amp;ROW())),"")</f>
        <v>317</v>
      </c>
      <c r="P7" s="3"/>
      <c r="Q7" s="3"/>
      <c r="R7" s="3"/>
      <c r="S7" s="15" t="n">
        <f aca="true">IFERROR(IF(ISBLANK(INDIRECT("'"&amp;$Q$2&amp;"'!G"&amp;ROW())),"",INDIRECT("'"&amp;$Q$2&amp;"'!G"&amp;ROW())),"")</f>
        <v>-0.475128448146855</v>
      </c>
      <c r="T7" s="16" t="n">
        <f aca="false">IF(OR($G7="",$S7=""),"",$G7-$S7)</f>
        <v>0.502879562468141</v>
      </c>
      <c r="U7" s="15" t="n">
        <f aca="true">IFERROR(IF(ISBLANK(INDIRECT("'"&amp;$Q$2&amp;"'!K"&amp;ROW())),"",INDIRECT("'"&amp;$Q$2&amp;"'!K"&amp;ROW())),"")</f>
        <v>-0.449706811005864</v>
      </c>
      <c r="V7" s="16" t="n">
        <f aca="false">IF(OR($K7="",$U7=""),"",$K7-$U7)</f>
        <v>0.289870745432093</v>
      </c>
      <c r="W7" s="17" t="n">
        <f aca="true">IFERROR(IF(ISBLANK(INDIRECT("'"&amp;$Q$2&amp;"'!O"&amp;ROW())),"",INDIRECT("'"&amp;$Q$2&amp;"'!O"&amp;ROW())),"")</f>
        <v>73</v>
      </c>
      <c r="X7" s="17" t="n">
        <f aca="false">IF(OR($O7="",$W7=""),"",$O7-$W7)</f>
        <v>244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117</v>
      </c>
      <c r="D8" s="32" t="n">
        <v>347976</v>
      </c>
      <c r="E8" s="32" t="n">
        <f aca="true">IF($D8="","",IFERROR(IF(ISBLANK(INDIRECT("'"&amp;$Q$2&amp;"'!D"&amp;ROW())),"",INDIRECT("'"&amp;$Q$2&amp;"'!D"&amp;ROW())),""))</f>
        <v>272210</v>
      </c>
      <c r="F8" s="33" t="n">
        <f aca="false">IF(OR(D8="",E8=""),"",D8-E8)</f>
        <v>75766</v>
      </c>
      <c r="G8" s="34" t="n">
        <f aca="false">IFERROR(F8/E8,"")</f>
        <v>0.278336578376988</v>
      </c>
      <c r="H8" s="32" t="n">
        <v>3740</v>
      </c>
      <c r="I8" s="32" t="n">
        <f aca="true">IF($H8="","",IFERROR(IF(ISBLANK(INDIRECT("'"&amp;$Q$2&amp;"'!H"&amp;ROW())),"",INDIRECT("'"&amp;$Q$2&amp;"'!H"&amp;ROW())),""))</f>
        <v>4342</v>
      </c>
      <c r="J8" s="33" t="n">
        <f aca="false">IF(OR(H8="",I8=""),"",H8-I8)</f>
        <v>-602</v>
      </c>
      <c r="K8" s="34" t="n">
        <f aca="false">IFERROR(J8/I8,"")</f>
        <v>-0.138645785352372</v>
      </c>
      <c r="L8" s="32" t="n">
        <f aca="false">IFERROR(D8/C8,"")</f>
        <v>2974.15384615385</v>
      </c>
      <c r="M8" s="32" t="n">
        <f aca="false">IFERROR(H8/D8*1000,"")</f>
        <v>10.7478676690346</v>
      </c>
      <c r="N8" s="32" t="n">
        <v>21715</v>
      </c>
      <c r="O8" s="33" t="n">
        <f aca="true">IFERROR(IF(OR(N8="",ISBLANK(INDIRECT("'"&amp;$Q$2&amp;"'!N"&amp;ROW()))),"",N8-INDIRECT("'"&amp;$Q$2&amp;"'!N"&amp;ROW())),"")</f>
        <v>218</v>
      </c>
      <c r="P8" s="3"/>
      <c r="Q8" s="3"/>
      <c r="R8" s="3"/>
      <c r="S8" s="15" t="n">
        <f aca="true">IFERROR(IF(ISBLANK(INDIRECT("'"&amp;$Q$2&amp;"'!G"&amp;ROW())),"",INDIRECT("'"&amp;$Q$2&amp;"'!G"&amp;ROW())),"")</f>
        <v>-0.268248754025559</v>
      </c>
      <c r="T8" s="16" t="n">
        <f aca="false">IF(OR($G8="",$S8=""),"",$G8-$S8)</f>
        <v>0.546585332402548</v>
      </c>
      <c r="U8" s="15" t="n">
        <f aca="true">IFERROR(IF(ISBLANK(INDIRECT("'"&amp;$Q$2&amp;"'!K"&amp;ROW())),"",INDIRECT("'"&amp;$Q$2&amp;"'!K"&amp;ROW())),"")</f>
        <v>-0.290870488322718</v>
      </c>
      <c r="V8" s="16" t="n">
        <f aca="false">IF(OR($K8="",$U8=""),"",$K8-$U8)</f>
        <v>0.152224702970345</v>
      </c>
      <c r="W8" s="17" t="n">
        <f aca="true">IFERROR(IF(ISBLANK(INDIRECT("'"&amp;$Q$2&amp;"'!O"&amp;ROW())),"",INDIRECT("'"&amp;$Q$2&amp;"'!O"&amp;ROW())),"")</f>
        <v>60</v>
      </c>
      <c r="X8" s="17" t="n">
        <f aca="false">IF(OR($O8="",$W8=""),"",$O8-$W8)</f>
        <v>158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119</v>
      </c>
      <c r="D9" s="32" t="n">
        <v>424827</v>
      </c>
      <c r="E9" s="32" t="n">
        <f aca="true">IF($D9="","",IFERROR(IF(ISBLANK(INDIRECT("'"&amp;$Q$2&amp;"'!D"&amp;ROW())),"",INDIRECT("'"&amp;$Q$2&amp;"'!D"&amp;ROW())),""))</f>
        <v>319358</v>
      </c>
      <c r="F9" s="33" t="n">
        <f aca="false">IF(OR(D9="",E9=""),"",D9-E9)</f>
        <v>105469</v>
      </c>
      <c r="G9" s="34" t="n">
        <f aca="false">IFERROR(F9/E9,"")</f>
        <v>0.330253195473419</v>
      </c>
      <c r="H9" s="32" t="n">
        <v>4187</v>
      </c>
      <c r="I9" s="32" t="n">
        <f aca="true">IF($H9="","",IFERROR(IF(ISBLANK(INDIRECT("'"&amp;$Q$2&amp;"'!H"&amp;ROW())),"",INDIRECT("'"&amp;$Q$2&amp;"'!H"&amp;ROW())),""))</f>
        <v>4035</v>
      </c>
      <c r="J9" s="33" t="n">
        <f aca="false">IF(OR(H9="",I9=""),"",H9-I9)</f>
        <v>152</v>
      </c>
      <c r="K9" s="34" t="n">
        <f aca="false">IFERROR(J9/I9,"")</f>
        <v>0.0376703841387856</v>
      </c>
      <c r="L9" s="32" t="n">
        <f aca="false">IFERROR(D9/C9,"")</f>
        <v>3569.97478991597</v>
      </c>
      <c r="M9" s="32" t="n">
        <f aca="false">IFERROR(H9/D9*1000,"")</f>
        <v>9.85577658670471</v>
      </c>
      <c r="N9" s="32" t="n">
        <v>31301</v>
      </c>
      <c r="O9" s="33" t="n">
        <f aca="true">IFERROR(IF(OR(N9="",ISBLANK(INDIRECT("'"&amp;$Q$2&amp;"'!N"&amp;ROW()))),"",N9-INDIRECT("'"&amp;$Q$2&amp;"'!N"&amp;ROW())),"")</f>
        <v>271</v>
      </c>
      <c r="P9" s="3"/>
      <c r="Q9" s="3"/>
      <c r="R9" s="3"/>
      <c r="S9" s="15" t="n">
        <f aca="true">IFERROR(IF(ISBLANK(INDIRECT("'"&amp;$Q$2&amp;"'!G"&amp;ROW())),"",INDIRECT("'"&amp;$Q$2&amp;"'!G"&amp;ROW())),"")</f>
        <v>-0.322020872784708</v>
      </c>
      <c r="T9" s="16" t="n">
        <f aca="false">IF(OR($G9="",$S9=""),"",$G9-$S9)</f>
        <v>0.652274068258127</v>
      </c>
      <c r="U9" s="15" t="n">
        <f aca="true">IFERROR(IF(ISBLANK(INDIRECT("'"&amp;$Q$2&amp;"'!K"&amp;ROW())),"",INDIRECT("'"&amp;$Q$2&amp;"'!K"&amp;ROW())),"")</f>
        <v>-0.400712906579534</v>
      </c>
      <c r="V9" s="16" t="n">
        <f aca="false">IF(OR($K9="",$U9=""),"",$K9-$U9)</f>
        <v>0.438383290718319</v>
      </c>
      <c r="W9" s="17" t="n">
        <f aca="true">IFERROR(IF(ISBLANK(INDIRECT("'"&amp;$Q$2&amp;"'!O"&amp;ROW())),"",INDIRECT("'"&amp;$Q$2&amp;"'!O"&amp;ROW())),"")</f>
        <v>47</v>
      </c>
      <c r="X9" s="17" t="n">
        <f aca="false">IF(OR($O9="",$W9=""),"",$O9-$W9)</f>
        <v>224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154</v>
      </c>
      <c r="D10" s="32" t="n">
        <v>202830</v>
      </c>
      <c r="E10" s="32" t="n">
        <f aca="true">IF($D10="","",IFERROR(IF(ISBLANK(INDIRECT("'"&amp;$Q$2&amp;"'!D"&amp;ROW())),"",INDIRECT("'"&amp;$Q$2&amp;"'!D"&amp;ROW())),""))</f>
        <v>197749</v>
      </c>
      <c r="F10" s="33" t="n">
        <f aca="false">IF(OR(D10="",E10=""),"",D10-E10)</f>
        <v>5081</v>
      </c>
      <c r="G10" s="34" t="n">
        <f aca="false">IFERROR(F10/E10,"")</f>
        <v>0.0256941880869183</v>
      </c>
      <c r="H10" s="32" t="n">
        <v>1305</v>
      </c>
      <c r="I10" s="32" t="n">
        <f aca="true">IF($H10="","",IFERROR(IF(ISBLANK(INDIRECT("'"&amp;$Q$2&amp;"'!H"&amp;ROW())),"",INDIRECT("'"&amp;$Q$2&amp;"'!H"&amp;ROW())),""))</f>
        <v>1527</v>
      </c>
      <c r="J10" s="33" t="n">
        <f aca="false">IF(OR(H10="",I10=""),"",H10-I10)</f>
        <v>-222</v>
      </c>
      <c r="K10" s="34" t="n">
        <f aca="false">IFERROR(J10/I10,"")</f>
        <v>-0.145383104125737</v>
      </c>
      <c r="L10" s="32" t="n">
        <f aca="false">IFERROR(D10/C10,"")</f>
        <v>1317.07792207792</v>
      </c>
      <c r="M10" s="32" t="n">
        <f aca="false">IFERROR(H10/D10*1000,"")</f>
        <v>6.43395947345067</v>
      </c>
      <c r="N10" s="32" t="n">
        <v>21574</v>
      </c>
      <c r="O10" s="33" t="n">
        <f aca="true">IFERROR(IF(OR(N10="",ISBLANK(INDIRECT("'"&amp;$Q$2&amp;"'!N"&amp;ROW()))),"",N10-INDIRECT("'"&amp;$Q$2&amp;"'!N"&amp;ROW())),"")</f>
        <v>199</v>
      </c>
      <c r="P10" s="3"/>
      <c r="Q10" s="3"/>
      <c r="R10" s="3"/>
      <c r="S10" s="15" t="n">
        <f aca="true">IFERROR(IF(ISBLANK(INDIRECT("'"&amp;$Q$2&amp;"'!G"&amp;ROW())),"",INDIRECT("'"&amp;$Q$2&amp;"'!G"&amp;ROW())),"")</f>
        <v>0.264177720952533</v>
      </c>
      <c r="T10" s="16" t="n">
        <f aca="false">IF(OR($G10="",$S10=""),"",$G10-$S10)</f>
        <v>-0.238483532865615</v>
      </c>
      <c r="U10" s="15" t="n">
        <f aca="true">IFERROR(IF(ISBLANK(INDIRECT("'"&amp;$Q$2&amp;"'!K"&amp;ROW())),"",INDIRECT("'"&amp;$Q$2&amp;"'!K"&amp;ROW())),"")</f>
        <v>0.520916334661355</v>
      </c>
      <c r="V10" s="16" t="n">
        <f aca="false">IF(OR($K10="",$U10=""),"",$K10-$U10)</f>
        <v>-0.666299438787091</v>
      </c>
      <c r="W10" s="17" t="n">
        <f aca="true">IFERROR(IF(ISBLANK(INDIRECT("'"&amp;$Q$2&amp;"'!O"&amp;ROW())),"",INDIRECT("'"&amp;$Q$2&amp;"'!O"&amp;ROW())),"")</f>
        <v>96</v>
      </c>
      <c r="X10" s="17" t="n">
        <f aca="false">IF(OR($O10="",$W10=""),"",$O10-$W10)</f>
        <v>103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145</v>
      </c>
      <c r="D11" s="32" t="n">
        <v>572378</v>
      </c>
      <c r="E11" s="32" t="n">
        <f aca="true">IF($D11="","",IFERROR(IF(ISBLANK(INDIRECT("'"&amp;$Q$2&amp;"'!D"&amp;ROW())),"",INDIRECT("'"&amp;$Q$2&amp;"'!D"&amp;ROW())),""))</f>
        <v>383862</v>
      </c>
      <c r="F11" s="33" t="n">
        <f aca="false">IF(OR(D11="",E11=""),"",D11-E11)</f>
        <v>188516</v>
      </c>
      <c r="G11" s="34" t="n">
        <f aca="false">IFERROR(F11/E11,"")</f>
        <v>0.491103573680125</v>
      </c>
      <c r="H11" s="32" t="n">
        <v>4467</v>
      </c>
      <c r="I11" s="32" t="n">
        <f aca="true">IF($H11="","",IFERROR(IF(ISBLANK(INDIRECT("'"&amp;$Q$2&amp;"'!H"&amp;ROW())),"",INDIRECT("'"&amp;$Q$2&amp;"'!H"&amp;ROW())),""))</f>
        <v>3494</v>
      </c>
      <c r="J11" s="33" t="n">
        <f aca="false">IF(OR(H11="",I11=""),"",H11-I11)</f>
        <v>973</v>
      </c>
      <c r="K11" s="34" t="n">
        <f aca="false">IFERROR(J11/I11,"")</f>
        <v>0.278477389811105</v>
      </c>
      <c r="L11" s="32" t="n">
        <f aca="false">IFERROR(D11/C11,"")</f>
        <v>3947.43448275862</v>
      </c>
      <c r="M11" s="32" t="n">
        <f aca="false">IFERROR(H11/D11*1000,"")</f>
        <v>7.80428318349063</v>
      </c>
      <c r="N11" s="32" t="n">
        <v>20774</v>
      </c>
      <c r="O11" s="33" t="n">
        <f aca="true">IFERROR(IF(OR(N11="",ISBLANK(INDIRECT("'"&amp;$Q$2&amp;"'!N"&amp;ROW()))),"",N11-INDIRECT("'"&amp;$Q$2&amp;"'!N"&amp;ROW())),"")</f>
        <v>138</v>
      </c>
      <c r="P11" s="3"/>
      <c r="Q11" s="3"/>
      <c r="R11" s="3"/>
      <c r="S11" s="15" t="n">
        <f aca="true">IFERROR(IF(ISBLANK(INDIRECT("'"&amp;$Q$2&amp;"'!G"&amp;ROW())),"",INDIRECT("'"&amp;$Q$2&amp;"'!G"&amp;ROW())),"")</f>
        <v>-0.144740154848772</v>
      </c>
      <c r="T11" s="16" t="n">
        <f aca="false">IF(OR($G11="",$S11=""),"",$G11-$S11)</f>
        <v>0.635843728528897</v>
      </c>
      <c r="U11" s="15" t="n">
        <f aca="true">IFERROR(IF(ISBLANK(INDIRECT("'"&amp;$Q$2&amp;"'!K"&amp;ROW())),"",INDIRECT("'"&amp;$Q$2&amp;"'!K"&amp;ROW())),"")</f>
        <v>-0.195857307249712</v>
      </c>
      <c r="V11" s="16" t="n">
        <f aca="false">IF(OR($K11="",$U11=""),"",$K11-$U11)</f>
        <v>0.474334697060817</v>
      </c>
      <c r="W11" s="17" t="n">
        <f aca="true">IFERROR(IF(ISBLANK(INDIRECT("'"&amp;$Q$2&amp;"'!O"&amp;ROW())),"",INDIRECT("'"&amp;$Q$2&amp;"'!O"&amp;ROW())),"")</f>
        <v>46</v>
      </c>
      <c r="X11" s="17" t="n">
        <f aca="false">IF(OR($O11="",$W11=""),"",$O11-$W11)</f>
        <v>92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97</v>
      </c>
      <c r="D12" s="32" t="n">
        <v>151998</v>
      </c>
      <c r="E12" s="32" t="n">
        <f aca="true">IF($D12="","",IFERROR(IF(ISBLANK(INDIRECT("'"&amp;$Q$2&amp;"'!D"&amp;ROW())),"",INDIRECT("'"&amp;$Q$2&amp;"'!D"&amp;ROW())),""))</f>
        <v>150944</v>
      </c>
      <c r="F12" s="33" t="n">
        <f aca="false">IF(OR(D12="",E12=""),"",D12-E12)</f>
        <v>1054</v>
      </c>
      <c r="G12" s="34" t="n">
        <f aca="false">IFERROR(F12/E12,"")</f>
        <v>0.00698272206911172</v>
      </c>
      <c r="H12" s="32" t="n">
        <v>2359</v>
      </c>
      <c r="I12" s="32" t="n">
        <f aca="true">IF($H12="","",IFERROR(IF(ISBLANK(INDIRECT("'"&amp;$Q$2&amp;"'!H"&amp;ROW())),"",INDIRECT("'"&amp;$Q$2&amp;"'!H"&amp;ROW())),""))</f>
        <v>2726</v>
      </c>
      <c r="J12" s="33" t="n">
        <f aca="false">IF(OR(H12="",I12=""),"",H12-I12)</f>
        <v>-367</v>
      </c>
      <c r="K12" s="34" t="n">
        <f aca="false">IFERROR(J12/I12,"")</f>
        <v>-0.134629493763756</v>
      </c>
      <c r="L12" s="32" t="n">
        <f aca="false">IFERROR(D12/C12,"")</f>
        <v>1566.98969072165</v>
      </c>
      <c r="M12" s="32" t="n">
        <f aca="false">IFERROR(H12/D12*1000,"")</f>
        <v>15.5199410518559</v>
      </c>
      <c r="N12" s="32" t="n">
        <v>15454</v>
      </c>
      <c r="O12" s="33" t="n">
        <f aca="true">IFERROR(IF(OR(N12="",ISBLANK(INDIRECT("'"&amp;$Q$2&amp;"'!N"&amp;ROW()))),"",N12-INDIRECT("'"&amp;$Q$2&amp;"'!N"&amp;ROW())),"")</f>
        <v>76</v>
      </c>
      <c r="P12" s="3"/>
      <c r="Q12" s="3"/>
      <c r="R12" s="3"/>
      <c r="S12" s="15" t="n">
        <f aca="true">IFERROR(IF(ISBLANK(INDIRECT("'"&amp;$Q$2&amp;"'!G"&amp;ROW())),"",INDIRECT("'"&amp;$Q$2&amp;"'!G"&amp;ROW())),"")</f>
        <v>0.654162694107462</v>
      </c>
      <c r="T12" s="16" t="n">
        <f aca="false">IF(OR($G12="",$S12=""),"",$G12-$S12)</f>
        <v>-0.64717997203835</v>
      </c>
      <c r="U12" s="15" t="n">
        <f aca="true">IFERROR(IF(ISBLANK(INDIRECT("'"&amp;$Q$2&amp;"'!K"&amp;ROW())),"",INDIRECT("'"&amp;$Q$2&amp;"'!K"&amp;ROW())),"")</f>
        <v>0.654126213592233</v>
      </c>
      <c r="V12" s="16" t="n">
        <f aca="false">IF(OR($K12="",$U12=""),"",$K12-$U12)</f>
        <v>-0.788755707355989</v>
      </c>
      <c r="W12" s="17" t="n">
        <f aca="true">IFERROR(IF(ISBLANK(INDIRECT("'"&amp;$Q$2&amp;"'!O"&amp;ROW())),"",INDIRECT("'"&amp;$Q$2&amp;"'!O"&amp;ROW())),"")</f>
        <v>59</v>
      </c>
      <c r="X12" s="17" t="n">
        <f aca="false">IF(OR($O12="",$W12=""),"",$O12-$W12)</f>
        <v>17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85</v>
      </c>
      <c r="D13" s="32" t="n">
        <v>48629</v>
      </c>
      <c r="E13" s="32" t="n">
        <f aca="true">IF($D13="","",IFERROR(IF(ISBLANK(INDIRECT("'"&amp;$Q$2&amp;"'!D"&amp;ROW())),"",INDIRECT("'"&amp;$Q$2&amp;"'!D"&amp;ROW())),""))</f>
        <v>29162</v>
      </c>
      <c r="F13" s="33" t="n">
        <f aca="false">IF(OR(D13="",E13=""),"",D13-E13)</f>
        <v>19467</v>
      </c>
      <c r="G13" s="34" t="n">
        <f aca="false">IFERROR(F13/E13,"")</f>
        <v>0.667546807489198</v>
      </c>
      <c r="H13" s="32" t="n">
        <v>706</v>
      </c>
      <c r="I13" s="32" t="n">
        <f aca="true">IF($H13="","",IFERROR(IF(ISBLANK(INDIRECT("'"&amp;$Q$2&amp;"'!H"&amp;ROW())),"",INDIRECT("'"&amp;$Q$2&amp;"'!H"&amp;ROW())),""))</f>
        <v>487</v>
      </c>
      <c r="J13" s="33" t="n">
        <f aca="false">IF(OR(H13="",I13=""),"",H13-I13)</f>
        <v>219</v>
      </c>
      <c r="K13" s="34" t="n">
        <f aca="false">IFERROR(J13/I13,"")</f>
        <v>0.449691991786448</v>
      </c>
      <c r="L13" s="32" t="n">
        <f aca="false">IFERROR(D13/C13,"")</f>
        <v>572.105882352941</v>
      </c>
      <c r="M13" s="32" t="n">
        <f aca="false">IFERROR(H13/D13*1000,"")</f>
        <v>14.5180859158116</v>
      </c>
      <c r="N13" s="32" t="n">
        <v>16447</v>
      </c>
      <c r="O13" s="33" t="n">
        <f aca="true">IFERROR(IF(OR(N13="",ISBLANK(INDIRECT("'"&amp;$Q$2&amp;"'!N"&amp;ROW()))),"",N13-INDIRECT("'"&amp;$Q$2&amp;"'!N"&amp;ROW())),"")</f>
        <v>101</v>
      </c>
      <c r="P13" s="3"/>
      <c r="Q13" s="3"/>
      <c r="R13" s="3"/>
      <c r="S13" s="15" t="n">
        <f aca="true">IFERROR(IF(ISBLANK(INDIRECT("'"&amp;$Q$2&amp;"'!G"&amp;ROW())),"",INDIRECT("'"&amp;$Q$2&amp;"'!G"&amp;ROW())),"")</f>
        <v>-0.55768909920978</v>
      </c>
      <c r="T13" s="16" t="n">
        <f aca="false">IF(OR($G13="",$S13=""),"",$G13-$S13)</f>
        <v>1.22523590669898</v>
      </c>
      <c r="U13" s="15" t="n">
        <f aca="true">IFERROR(IF(ISBLANK(INDIRECT("'"&amp;$Q$2&amp;"'!K"&amp;ROW())),"",INDIRECT("'"&amp;$Q$2&amp;"'!K"&amp;ROW())),"")</f>
        <v>-0.538825757575758</v>
      </c>
      <c r="V13" s="16" t="n">
        <f aca="false">IF(OR($K13="",$U13=""),"",$K13-$U13)</f>
        <v>0.988517749362205</v>
      </c>
      <c r="W13" s="17" t="n">
        <f aca="true">IFERROR(IF(ISBLANK(INDIRECT("'"&amp;$Q$2&amp;"'!O"&amp;ROW())),"",INDIRECT("'"&amp;$Q$2&amp;"'!O"&amp;ROW())),"")</f>
        <v>4</v>
      </c>
      <c r="X13" s="17" t="n">
        <f aca="false">IF(OR($O13="",$W13=""),"",$O13-$W13)</f>
        <v>97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78</v>
      </c>
      <c r="D14" s="32" t="n">
        <v>82265</v>
      </c>
      <c r="E14" s="32" t="n">
        <f aca="true">IF($D14="","",IFERROR(IF(ISBLANK(INDIRECT("'"&amp;$Q$2&amp;"'!D"&amp;ROW())),"",INDIRECT("'"&amp;$Q$2&amp;"'!D"&amp;ROW())),""))</f>
        <v>52435</v>
      </c>
      <c r="F14" s="33" t="n">
        <f aca="false">IF(OR(D14="",E14=""),"",D14-E14)</f>
        <v>29830</v>
      </c>
      <c r="G14" s="34" t="n">
        <f aca="false">IFERROR(F14/E14,"")</f>
        <v>0.568894822160771</v>
      </c>
      <c r="H14" s="32" t="n">
        <v>787</v>
      </c>
      <c r="I14" s="32" t="n">
        <f aca="true">IF($H14="","",IFERROR(IF(ISBLANK(INDIRECT("'"&amp;$Q$2&amp;"'!H"&amp;ROW())),"",INDIRECT("'"&amp;$Q$2&amp;"'!H"&amp;ROW())),""))</f>
        <v>477</v>
      </c>
      <c r="J14" s="33" t="n">
        <f aca="false">IF(OR(H14="",I14=""),"",H14-I14)</f>
        <v>310</v>
      </c>
      <c r="K14" s="34" t="n">
        <f aca="false">IFERROR(J14/I14,"")</f>
        <v>0.649895178197065</v>
      </c>
      <c r="L14" s="32" t="n">
        <f aca="false">IFERROR(D14/C14,"")</f>
        <v>1054.67948717949</v>
      </c>
      <c r="M14" s="32" t="n">
        <f aca="false">IFERROR(H14/D14*1000,"")</f>
        <v>9.56664438096396</v>
      </c>
      <c r="N14" s="32" t="n">
        <v>6402</v>
      </c>
      <c r="O14" s="33" t="n">
        <f aca="true">IFERROR(IF(OR(N14="",ISBLANK(INDIRECT("'"&amp;$Q$2&amp;"'!N"&amp;ROW()))),"",N14-INDIRECT("'"&amp;$Q$2&amp;"'!N"&amp;ROW())),"")</f>
        <v>74</v>
      </c>
      <c r="P14" s="3"/>
      <c r="Q14" s="3"/>
      <c r="R14" s="3"/>
      <c r="S14" s="15" t="n">
        <f aca="true">IFERROR(IF(ISBLANK(INDIRECT("'"&amp;$Q$2&amp;"'!G"&amp;ROW())),"",INDIRECT("'"&amp;$Q$2&amp;"'!G"&amp;ROW())),"")</f>
        <v>0.385959347659451</v>
      </c>
      <c r="T14" s="16" t="n">
        <f aca="false">IF(OR($G14="",$S14=""),"",$G14-$S14)</f>
        <v>0.18293547450132</v>
      </c>
      <c r="U14" s="15" t="n">
        <f aca="true">IFERROR(IF(ISBLANK(INDIRECT("'"&amp;$Q$2&amp;"'!K"&amp;ROW())),"",INDIRECT("'"&amp;$Q$2&amp;"'!K"&amp;ROW())),"")</f>
        <v>0.149397590361446</v>
      </c>
      <c r="V14" s="16" t="n">
        <f aca="false">IF(OR($K14="",$U14=""),"",$K14-$U14)</f>
        <v>0.500497587835619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45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44</v>
      </c>
      <c r="D15" s="32" t="n">
        <v>43212</v>
      </c>
      <c r="E15" s="32" t="n">
        <f aca="true">IF($D15="","",IFERROR(IF(ISBLANK(INDIRECT("'"&amp;$Q$2&amp;"'!D"&amp;ROW())),"",INDIRECT("'"&amp;$Q$2&amp;"'!D"&amp;ROW())),""))</f>
        <v>31393</v>
      </c>
      <c r="F15" s="33" t="n">
        <f aca="false">IF(OR(D15="",E15=""),"",D15-E15)</f>
        <v>11819</v>
      </c>
      <c r="G15" s="34" t="n">
        <f aca="false">IFERROR(F15/E15,"")</f>
        <v>0.376485203707833</v>
      </c>
      <c r="H15" s="32" t="n">
        <v>348</v>
      </c>
      <c r="I15" s="32" t="n">
        <f aca="true">IF($H15="","",IFERROR(IF(ISBLANK(INDIRECT("'"&amp;$Q$2&amp;"'!H"&amp;ROW())),"",INDIRECT("'"&amp;$Q$2&amp;"'!H"&amp;ROW())),""))</f>
        <v>543</v>
      </c>
      <c r="J15" s="33" t="n">
        <f aca="false">IF(OR(H15="",I15=""),"",H15-I15)</f>
        <v>-195</v>
      </c>
      <c r="K15" s="34" t="n">
        <f aca="false">IFERROR(J15/I15,"")</f>
        <v>-0.359116022099448</v>
      </c>
      <c r="L15" s="32" t="n">
        <f aca="false">IFERROR(D15/C15,"")</f>
        <v>982.090909090909</v>
      </c>
      <c r="M15" s="32" t="n">
        <f aca="false">IFERROR(H15/D15*1000,"")</f>
        <v>8.0533185226326</v>
      </c>
      <c r="N15" s="32" t="n">
        <v>3679</v>
      </c>
      <c r="O15" s="33" t="n">
        <f aca="true">IFERROR(IF(OR(N15="",ISBLANK(INDIRECT("'"&amp;$Q$2&amp;"'!N"&amp;ROW()))),"",N15-INDIRECT("'"&amp;$Q$2&amp;"'!N"&amp;ROW())),"")</f>
        <v>24</v>
      </c>
      <c r="P15" s="3"/>
      <c r="Q15" s="3"/>
      <c r="R15" s="3"/>
      <c r="S15" s="15" t="n">
        <f aca="true">IFERROR(IF(ISBLANK(INDIRECT("'"&amp;$Q$2&amp;"'!G"&amp;ROW())),"",INDIRECT("'"&amp;$Q$2&amp;"'!G"&amp;ROW())),"")</f>
        <v>-0.20433405145102</v>
      </c>
      <c r="T15" s="16" t="n">
        <f aca="false">IF(OR($G15="",$S15=""),"",$G15-$S15)</f>
        <v>0.580819255158853</v>
      </c>
      <c r="U15" s="15" t="n">
        <f aca="true">IFERROR(IF(ISBLANK(INDIRECT("'"&amp;$Q$2&amp;"'!K"&amp;ROW())),"",INDIRECT("'"&amp;$Q$2&amp;"'!K"&amp;ROW())),"")</f>
        <v>0.112704918032787</v>
      </c>
      <c r="V15" s="16" t="n">
        <f aca="false">IF(OR($K15="",$U15=""),"",$K15-$U15)</f>
        <v>-0.471820940132234</v>
      </c>
      <c r="W15" s="17" t="n">
        <f aca="true">IFERROR(IF(ISBLANK(INDIRECT("'"&amp;$Q$2&amp;"'!O"&amp;ROW())),"",INDIRECT("'"&amp;$Q$2&amp;"'!O"&amp;ROW())),"")</f>
        <v>7</v>
      </c>
      <c r="X15" s="17" t="n">
        <f aca="false">IF(OR($O15="",$W15=""),"",$O15-$W15)</f>
        <v>17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73</v>
      </c>
      <c r="D16" s="32" t="n">
        <v>158474</v>
      </c>
      <c r="E16" s="32" t="n">
        <f aca="true">IF($D16="","",IFERROR(IF(ISBLANK(INDIRECT("'"&amp;$Q$2&amp;"'!D"&amp;ROW())),"",INDIRECT("'"&amp;$Q$2&amp;"'!D"&amp;ROW())),""))</f>
        <v>136318</v>
      </c>
      <c r="F16" s="33" t="n">
        <f aca="false">IF(OR(D16="",E16=""),"",D16-E16)</f>
        <v>22156</v>
      </c>
      <c r="G16" s="34" t="n">
        <f aca="false">IFERROR(F16/E16,"")</f>
        <v>0.162531727284731</v>
      </c>
      <c r="H16" s="32" t="n">
        <v>1498</v>
      </c>
      <c r="I16" s="32" t="n">
        <f aca="true">IF($H16="","",IFERROR(IF(ISBLANK(INDIRECT("'"&amp;$Q$2&amp;"'!H"&amp;ROW())),"",INDIRECT("'"&amp;$Q$2&amp;"'!H"&amp;ROW())),""))</f>
        <v>1960</v>
      </c>
      <c r="J16" s="33" t="n">
        <f aca="false">IF(OR(H16="",I16=""),"",H16-I16)</f>
        <v>-462</v>
      </c>
      <c r="K16" s="34" t="n">
        <f aca="false">IFERROR(J16/I16,"")</f>
        <v>-0.235714285714286</v>
      </c>
      <c r="L16" s="32" t="n">
        <f aca="false">IFERROR(D16/C16,"")</f>
        <v>2170.87671232877</v>
      </c>
      <c r="M16" s="32" t="n">
        <f aca="false">IFERROR(H16/D16*1000,"")</f>
        <v>9.45265469414541</v>
      </c>
      <c r="N16" s="32" t="n">
        <v>12733</v>
      </c>
      <c r="O16" s="33" t="n">
        <f aca="true">IFERROR(IF(OR(N16="",ISBLANK(INDIRECT("'"&amp;$Q$2&amp;"'!N"&amp;ROW()))),"",N16-INDIRECT("'"&amp;$Q$2&amp;"'!N"&amp;ROW())),"")</f>
        <v>268</v>
      </c>
      <c r="P16" s="3"/>
      <c r="Q16" s="3"/>
      <c r="R16" s="3"/>
      <c r="S16" s="15" t="n">
        <f aca="true">IFERROR(IF(ISBLANK(INDIRECT("'"&amp;$Q$2&amp;"'!G"&amp;ROW())),"",INDIRECT("'"&amp;$Q$2&amp;"'!G"&amp;ROW())),"")</f>
        <v>0.350565716210593</v>
      </c>
      <c r="T16" s="16" t="n">
        <f aca="false">IF(OR($G16="",$S16=""),"",$G16-$S16)</f>
        <v>-0.188033988925862</v>
      </c>
      <c r="U16" s="15" t="n">
        <f aca="true">IFERROR(IF(ISBLANK(INDIRECT("'"&amp;$Q$2&amp;"'!K"&amp;ROW())),"",INDIRECT("'"&amp;$Q$2&amp;"'!K"&amp;ROW())),"")</f>
        <v>1.05235602094241</v>
      </c>
      <c r="V16" s="16" t="n">
        <f aca="false">IF(OR($K16="",$U16=""),"",$K16-$U16)</f>
        <v>-1.28807030665669</v>
      </c>
      <c r="W16" s="17" t="n">
        <f aca="true">IFERROR(IF(ISBLANK(INDIRECT("'"&amp;$Q$2&amp;"'!O"&amp;ROW())),"",INDIRECT("'"&amp;$Q$2&amp;"'!O"&amp;ROW())),"")</f>
        <v>180</v>
      </c>
      <c r="X16" s="17" t="n">
        <f aca="false">IF(OR($O16="",$W16=""),"",$O16-$W16)</f>
        <v>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205869</v>
      </c>
      <c r="E17" s="32" t="n">
        <f aca="true">IF($D17="","",IFERROR(IF(ISBLANK(INDIRECT("'"&amp;$Q$2&amp;"'!D"&amp;ROW())),"",INDIRECT("'"&amp;$Q$2&amp;"'!D"&amp;ROW())),""))</f>
        <v>243443</v>
      </c>
      <c r="F17" s="33" t="n">
        <f aca="false">IF(OR(D17="",E17=""),"",D17-E17)</f>
        <v>-37574</v>
      </c>
      <c r="G17" s="34" t="n">
        <f aca="false">IFERROR(F17/E17,"")</f>
        <v>-0.15434413805285</v>
      </c>
      <c r="H17" s="32" t="n">
        <v>2433</v>
      </c>
      <c r="I17" s="32" t="n">
        <f aca="true">IF($H17="","",IFERROR(IF(ISBLANK(INDIRECT("'"&amp;$Q$2&amp;"'!H"&amp;ROW())),"",INDIRECT("'"&amp;$Q$2&amp;"'!H"&amp;ROW())),""))</f>
        <v>3376</v>
      </c>
      <c r="J17" s="33" t="n">
        <f aca="false">IF(OR(H17="",I17=""),"",H17-I17)</f>
        <v>-943</v>
      </c>
      <c r="K17" s="34" t="n">
        <f aca="false">IFERROR(J17/I17,"")</f>
        <v>-0.279324644549763</v>
      </c>
      <c r="L17" s="32" t="n">
        <f aca="false">IFERROR(D17/C17,"")</f>
        <v>3072.67164179104</v>
      </c>
      <c r="M17" s="32" t="n">
        <f aca="false">IFERROR(H17/D17*1000,"")</f>
        <v>11.8181950657943</v>
      </c>
      <c r="N17" s="32" t="n">
        <v>7814</v>
      </c>
      <c r="O17" s="33" t="n">
        <f aca="true">IFERROR(IF(OR(N17="",ISBLANK(INDIRECT("'"&amp;$Q$2&amp;"'!N"&amp;ROW()))),"",N17-INDIRECT("'"&amp;$Q$2&amp;"'!N"&amp;ROW())),"")</f>
        <v>35</v>
      </c>
      <c r="P17" s="3"/>
      <c r="Q17" s="3"/>
      <c r="R17" s="3"/>
      <c r="S17" s="15" t="n">
        <f aca="true">IFERROR(IF(ISBLANK(INDIRECT("'"&amp;$Q$2&amp;"'!G"&amp;ROW())),"",INDIRECT("'"&amp;$Q$2&amp;"'!G"&amp;ROW())),"")</f>
        <v>0.938857916533928</v>
      </c>
      <c r="T17" s="16" t="n">
        <f aca="false">IF(OR($G17="",$S17=""),"",$G17-$S17)</f>
        <v>-1.09320205458678</v>
      </c>
      <c r="U17" s="15" t="n">
        <f aca="true">IFERROR(IF(ISBLANK(INDIRECT("'"&amp;$Q$2&amp;"'!K"&amp;ROW())),"",INDIRECT("'"&amp;$Q$2&amp;"'!K"&amp;ROW())),"")</f>
        <v>1.06356968215159</v>
      </c>
      <c r="V17" s="16" t="n">
        <f aca="false">IF(OR($K17="",$U17=""),"",$K17-$U17)</f>
        <v>-1.34289432670135</v>
      </c>
      <c r="W17" s="17" t="n">
        <f aca="true">IFERROR(IF(ISBLANK(INDIRECT("'"&amp;$Q$2&amp;"'!O"&amp;ROW())),"",INDIRECT("'"&amp;$Q$2&amp;"'!O"&amp;ROW())),"")</f>
        <v>17</v>
      </c>
      <c r="X17" s="17" t="n">
        <f aca="false">IF(OR($O17="",$W17=""),"",$O17-$W17)</f>
        <v>18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95</v>
      </c>
      <c r="D18" s="32" t="n">
        <v>196933</v>
      </c>
      <c r="E18" s="32" t="n">
        <f aca="true">IF($D18="","",IFERROR(IF(ISBLANK(INDIRECT("'"&amp;$Q$2&amp;"'!D"&amp;ROW())),"",INDIRECT("'"&amp;$Q$2&amp;"'!D"&amp;ROW())),""))</f>
        <v>131060</v>
      </c>
      <c r="F18" s="33" t="n">
        <f aca="false">IF(OR(D18="",E18=""),"",D18-E18)</f>
        <v>65873</v>
      </c>
      <c r="G18" s="34" t="n">
        <f aca="false">IFERROR(F18/E18,"")</f>
        <v>0.502617121928888</v>
      </c>
      <c r="H18" s="32" t="n">
        <v>2149</v>
      </c>
      <c r="I18" s="32" t="n">
        <f aca="true">IF($H18="","",IFERROR(IF(ISBLANK(INDIRECT("'"&amp;$Q$2&amp;"'!H"&amp;ROW())),"",INDIRECT("'"&amp;$Q$2&amp;"'!H"&amp;ROW())),""))</f>
        <v>1519</v>
      </c>
      <c r="J18" s="33" t="n">
        <f aca="false">IF(OR(H18="",I18=""),"",H18-I18)</f>
        <v>630</v>
      </c>
      <c r="K18" s="34" t="n">
        <f aca="false">IFERROR(J18/I18,"")</f>
        <v>0.414746543778802</v>
      </c>
      <c r="L18" s="32" t="n">
        <f aca="false">IFERROR(D18/C18,"")</f>
        <v>2072.97894736842</v>
      </c>
      <c r="M18" s="32" t="n">
        <f aca="false">IFERROR(H18/D18*1000,"")</f>
        <v>10.9123407453296</v>
      </c>
      <c r="N18" s="32" t="n">
        <v>18217</v>
      </c>
      <c r="O18" s="33" t="n">
        <f aca="true">IFERROR(IF(OR(N18="",ISBLANK(INDIRECT("'"&amp;$Q$2&amp;"'!N"&amp;ROW()))),"",N18-INDIRECT("'"&amp;$Q$2&amp;"'!N"&amp;ROW())),"")</f>
        <v>52</v>
      </c>
      <c r="P18" s="3"/>
      <c r="Q18" s="3"/>
      <c r="R18" s="3"/>
      <c r="S18" s="15" t="n">
        <f aca="true">IFERROR(IF(ISBLANK(INDIRECT("'"&amp;$Q$2&amp;"'!G"&amp;ROW())),"",INDIRECT("'"&amp;$Q$2&amp;"'!G"&amp;ROW())),"")</f>
        <v>-0.474228954716133</v>
      </c>
      <c r="T18" s="16" t="n">
        <f aca="false">IF(OR($G18="",$S18=""),"",$G18-$S18)</f>
        <v>0.976846076645021</v>
      </c>
      <c r="U18" s="15" t="n">
        <f aca="true">IFERROR(IF(ISBLANK(INDIRECT("'"&amp;$Q$2&amp;"'!K"&amp;ROW())),"",INDIRECT("'"&amp;$Q$2&amp;"'!K"&amp;ROW())),"")</f>
        <v>-0.382520325203252</v>
      </c>
      <c r="V18" s="16" t="n">
        <f aca="false">IF(OR($K18="",$U18=""),"",$K18-$U18)</f>
        <v>0.797266868982054</v>
      </c>
      <c r="W18" s="17" t="n">
        <f aca="true">IFERROR(IF(ISBLANK(INDIRECT("'"&amp;$Q$2&amp;"'!O"&amp;ROW())),"",INDIRECT("'"&amp;$Q$2&amp;"'!O"&amp;ROW())),"")</f>
        <v>14</v>
      </c>
      <c r="X18" s="17" t="n">
        <f aca="false">IF(OR($O18="",$W18=""),"",$O18-$W18)</f>
        <v>38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106</v>
      </c>
      <c r="D19" s="32" t="n">
        <v>172329</v>
      </c>
      <c r="E19" s="32" t="n">
        <f aca="true">IF($D19="","",IFERROR(IF(ISBLANK(INDIRECT("'"&amp;$Q$2&amp;"'!D"&amp;ROW())),"",INDIRECT("'"&amp;$Q$2&amp;"'!D"&amp;ROW())),""))</f>
        <v>95175</v>
      </c>
      <c r="F19" s="33" t="n">
        <f aca="false">IF(OR(D19="",E19=""),"",D19-E19)</f>
        <v>77154</v>
      </c>
      <c r="G19" s="34" t="n">
        <f aca="false">IFERROR(F19/E19,"")</f>
        <v>0.810654058313633</v>
      </c>
      <c r="H19" s="32" t="n">
        <v>2107</v>
      </c>
      <c r="I19" s="32" t="n">
        <f aca="true">IF($H19="","",IFERROR(IF(ISBLANK(INDIRECT("'"&amp;$Q$2&amp;"'!H"&amp;ROW())),"",INDIRECT("'"&amp;$Q$2&amp;"'!H"&amp;ROW())),""))</f>
        <v>856</v>
      </c>
      <c r="J19" s="33" t="n">
        <f aca="false">IF(OR(H19="",I19=""),"",H19-I19)</f>
        <v>1251</v>
      </c>
      <c r="K19" s="34" t="n">
        <f aca="false">IFERROR(J19/I19,"")</f>
        <v>1.46144859813084</v>
      </c>
      <c r="L19" s="32" t="n">
        <f aca="false">IFERROR(D19/C19,"")</f>
        <v>1625.74528301887</v>
      </c>
      <c r="M19" s="32" t="n">
        <f aca="false">IFERROR(H19/D19*1000,"")</f>
        <v>12.2266130482972</v>
      </c>
      <c r="N19" s="32" t="n">
        <v>19019</v>
      </c>
      <c r="O19" s="33" t="n">
        <f aca="true">IFERROR(IF(OR(N19="",ISBLANK(INDIRECT("'"&amp;$Q$2&amp;"'!N"&amp;ROW()))),"",N19-INDIRECT("'"&amp;$Q$2&amp;"'!N"&amp;ROW())),"")</f>
        <v>63</v>
      </c>
      <c r="P19" s="3"/>
      <c r="Q19" s="3"/>
      <c r="R19" s="3"/>
      <c r="S19" s="15" t="n">
        <f aca="true">IFERROR(IF(ISBLANK(INDIRECT("'"&amp;$Q$2&amp;"'!G"&amp;ROW())),"",INDIRECT("'"&amp;$Q$2&amp;"'!G"&amp;ROW())),"")</f>
        <v>-0.30796917036283</v>
      </c>
      <c r="T19" s="16" t="n">
        <f aca="false">IF(OR($G19="",$S19=""),"",$G19-$S19)</f>
        <v>1.11862322867646</v>
      </c>
      <c r="U19" s="15" t="n">
        <f aca="true">IFERROR(IF(ISBLANK(INDIRECT("'"&amp;$Q$2&amp;"'!K"&amp;ROW())),"",INDIRECT("'"&amp;$Q$2&amp;"'!K"&amp;ROW())),"")</f>
        <v>-0.409655172413793</v>
      </c>
      <c r="V19" s="16" t="n">
        <f aca="false">IF(OR($K19="",$U19=""),"",$K19-$U19)</f>
        <v>1.87110377054463</v>
      </c>
      <c r="W19" s="17" t="n">
        <f aca="true">IFERROR(IF(ISBLANK(INDIRECT("'"&amp;$Q$2&amp;"'!O"&amp;ROW())),"",INDIRECT("'"&amp;$Q$2&amp;"'!O"&amp;ROW())),"")</f>
        <v>26</v>
      </c>
      <c r="X19" s="17" t="n">
        <f aca="false">IF(OR($O19="",$W19=""),"",$O19-$W19)</f>
        <v>37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24</v>
      </c>
      <c r="D20" s="32" t="n">
        <v>12837</v>
      </c>
      <c r="E20" s="32" t="n">
        <f aca="true">IF($D20="","",IFERROR(IF(ISBLANK(INDIRECT("'"&amp;$Q$2&amp;"'!D"&amp;ROW())),"",INDIRECT("'"&amp;$Q$2&amp;"'!D"&amp;ROW())),""))</f>
        <v>72937</v>
      </c>
      <c r="F20" s="33" t="n">
        <f aca="false">IF(OR(D20="",E20=""),"",D20-E20)</f>
        <v>-60100</v>
      </c>
      <c r="G20" s="34" t="n">
        <f aca="false">IFERROR(F20/E20,"")</f>
        <v>-0.823998793479304</v>
      </c>
      <c r="H20" s="32" t="n">
        <v>1764</v>
      </c>
      <c r="I20" s="32" t="n">
        <f aca="true">IF($H20="","",IFERROR(IF(ISBLANK(INDIRECT("'"&amp;$Q$2&amp;"'!H"&amp;ROW())),"",INDIRECT("'"&amp;$Q$2&amp;"'!H"&amp;ROW())),""))</f>
        <v>1638</v>
      </c>
      <c r="J20" s="33" t="n">
        <f aca="false">IF(OR(H20="",I20=""),"",H20-I20)</f>
        <v>126</v>
      </c>
      <c r="K20" s="34" t="n">
        <f aca="false">IFERROR(J20/I20,"")</f>
        <v>0.0769230769230769</v>
      </c>
      <c r="L20" s="32" t="n">
        <f aca="false">IFERROR(D20/C20,"")</f>
        <v>534.875</v>
      </c>
      <c r="M20" s="32" t="n">
        <f aca="false">IFERROR(H20/D20*1000,"")</f>
        <v>137.415283944847</v>
      </c>
      <c r="N20" s="32" t="n">
        <v>14561</v>
      </c>
      <c r="O20" s="33" t="n">
        <f aca="true">IFERROR(IF(OR(N20="",ISBLANK(INDIRECT("'"&amp;$Q$2&amp;"'!N"&amp;ROW()))),"",N20-INDIRECT("'"&amp;$Q$2&amp;"'!N"&amp;ROW())),"")</f>
        <v>55</v>
      </c>
      <c r="P20" s="3"/>
      <c r="Q20" s="3"/>
      <c r="R20" s="3"/>
      <c r="S20" s="15" t="n">
        <f aca="true">IFERROR(IF(ISBLANK(INDIRECT("'"&amp;$Q$2&amp;"'!G"&amp;ROW())),"",INDIRECT("'"&amp;$Q$2&amp;"'!G"&amp;ROW())),"")</f>
        <v>-0.226247560044131</v>
      </c>
      <c r="T20" s="16" t="n">
        <f aca="false">IF(OR($G20="",$S20=""),"",$G20-$S20)</f>
        <v>-0.597751233435173</v>
      </c>
      <c r="U20" s="15" t="n">
        <f aca="true">IFERROR(IF(ISBLANK(INDIRECT("'"&amp;$Q$2&amp;"'!K"&amp;ROW())),"",INDIRECT("'"&amp;$Q$2&amp;"'!K"&amp;ROW())),"")</f>
        <v>0.166666666666667</v>
      </c>
      <c r="V20" s="16" t="n">
        <f aca="false">IF(OR($K20="",$U20=""),"",$K20-$U20)</f>
        <v>-0.0897435897435897</v>
      </c>
      <c r="W20" s="17" t="n">
        <f aca="true">IFERROR(IF(ISBLANK(INDIRECT("'"&amp;$Q$2&amp;"'!O"&amp;ROW())),"",INDIRECT("'"&amp;$Q$2&amp;"'!O"&amp;ROW())),"")</f>
        <v>49</v>
      </c>
      <c r="X20" s="17" t="n">
        <f aca="false">IF(OR($O20="",$W20=""),"",$O20-$W20)</f>
        <v>6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8</v>
      </c>
      <c r="D21" s="32" t="n">
        <v>10664</v>
      </c>
      <c r="E21" s="32" t="n">
        <f aca="true">IF($D21="","",IFERROR(IF(ISBLANK(INDIRECT("'"&amp;$Q$2&amp;"'!D"&amp;ROW())),"",INDIRECT("'"&amp;$Q$2&amp;"'!D"&amp;ROW())),""))</f>
        <v>5597</v>
      </c>
      <c r="F21" s="33" t="n">
        <f aca="false">IF(OR(D21="",E21=""),"",D21-E21)</f>
        <v>5067</v>
      </c>
      <c r="G21" s="34" t="n">
        <f aca="false">IFERROR(F21/E21,"")</f>
        <v>0.905306414150438</v>
      </c>
      <c r="H21" s="32" t="n">
        <v>392</v>
      </c>
      <c r="I21" s="32" t="n">
        <f aca="true">IF($H21="","",IFERROR(IF(ISBLANK(INDIRECT("'"&amp;$Q$2&amp;"'!H"&amp;ROW())),"",INDIRECT("'"&amp;$Q$2&amp;"'!H"&amp;ROW())),""))</f>
        <v>173</v>
      </c>
      <c r="J21" s="33" t="n">
        <f aca="false">IF(OR(H21="",I21=""),"",H21-I21)</f>
        <v>219</v>
      </c>
      <c r="K21" s="34" t="n">
        <f aca="false">IFERROR(J21/I21,"")</f>
        <v>1.26589595375723</v>
      </c>
      <c r="L21" s="32" t="n">
        <f aca="false">IFERROR(D21/C21,"")</f>
        <v>1333</v>
      </c>
      <c r="M21" s="32" t="n">
        <f aca="false">IFERROR(H21/D21*1000,"")</f>
        <v>36.7591897974494</v>
      </c>
      <c r="N21" s="32" t="n">
        <v>10601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2.5559085133418</v>
      </c>
      <c r="T21" s="16" t="n">
        <f aca="false">IF(OR($G21="",$S21=""),"",$G21-$S21)</f>
        <v>-1.65060209919137</v>
      </c>
      <c r="U21" s="15" t="n">
        <f aca="true">IFERROR(IF(ISBLANK(INDIRECT("'"&amp;$Q$2&amp;"'!K"&amp;ROW())),"",INDIRECT("'"&amp;$Q$2&amp;"'!K"&amp;ROW())),"")</f>
        <v>4.58064516129032</v>
      </c>
      <c r="V21" s="16" t="n">
        <f aca="false">IF(OR($K21="",$U21=""),"",$K21-$U21)</f>
        <v>-3.3147492075331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-3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8406</v>
      </c>
      <c r="E22" s="32" t="n">
        <f aca="true">IF($D22="","",IFERROR(IF(ISBLANK(INDIRECT("'"&amp;$Q$2&amp;"'!D"&amp;ROW())),"",INDIRECT("'"&amp;$Q$2&amp;"'!D"&amp;ROW())),""))</f>
        <v>6203</v>
      </c>
      <c r="F22" s="33" t="n">
        <f aca="false">IF(OR(D22="",E22=""),"",D22-E22)</f>
        <v>2203</v>
      </c>
      <c r="G22" s="34" t="n">
        <f aca="false">IFERROR(F22/E22,"")</f>
        <v>0.355150733516041</v>
      </c>
      <c r="H22" s="32" t="n">
        <v>167</v>
      </c>
      <c r="I22" s="32" t="n">
        <f aca="true">IF($H22="","",IFERROR(IF(ISBLANK(INDIRECT("'"&amp;$Q$2&amp;"'!H"&amp;ROW())),"",INDIRECT("'"&amp;$Q$2&amp;"'!H"&amp;ROW())),""))</f>
        <v>198</v>
      </c>
      <c r="J22" s="33" t="n">
        <f aca="false">IF(OR(H22="",I22=""),"",H22-I22)</f>
        <v>-31</v>
      </c>
      <c r="K22" s="34" t="n">
        <f aca="false">IFERROR(J22/I22,"")</f>
        <v>-0.156565656565657</v>
      </c>
      <c r="L22" s="32" t="n">
        <f aca="false">IFERROR(D22/C22,"")</f>
        <v>350.25</v>
      </c>
      <c r="M22" s="32" t="n">
        <f aca="false">IFERROR(H22/D22*1000,"")</f>
        <v>19.8667618367833</v>
      </c>
      <c r="N22" s="32" t="n">
        <v>7378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-0.458820450183214</v>
      </c>
      <c r="T22" s="16" t="n">
        <f aca="false">IF(OR($G22="",$S22=""),"",$G22-$S22)</f>
        <v>0.813971183699255</v>
      </c>
      <c r="U22" s="15" t="n">
        <f aca="true">IFERROR(IF(ISBLANK(INDIRECT("'"&amp;$Q$2&amp;"'!K"&amp;ROW())),"",INDIRECT("'"&amp;$Q$2&amp;"'!K"&amp;ROW())),"")</f>
        <v>-0.0388349514563107</v>
      </c>
      <c r="V22" s="16" t="n">
        <f aca="false">IF(OR($K22="",$U22=""),"",$K22-$U22)</f>
        <v>-0.117730705109346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15529</v>
      </c>
      <c r="E23" s="32" t="n">
        <f aca="true">IF($D23="","",IFERROR(IF(ISBLANK(INDIRECT("'"&amp;$Q$2&amp;"'!D"&amp;ROW())),"",INDIRECT("'"&amp;$Q$2&amp;"'!D"&amp;ROW())),""))</f>
        <v>13590</v>
      </c>
      <c r="F23" s="33" t="n">
        <f aca="false">IF(OR(D23="",E23=""),"",D23-E23)</f>
        <v>1939</v>
      </c>
      <c r="G23" s="34" t="n">
        <f aca="false">IFERROR(F23/E23,"")</f>
        <v>0.142678440029433</v>
      </c>
      <c r="H23" s="32" t="n">
        <v>0</v>
      </c>
      <c r="I23" s="32" t="n">
        <f aca="true">IF($H23="","",IFERROR(IF(ISBLANK(INDIRECT("'"&amp;$Q$2&amp;"'!H"&amp;ROW())),"",INDIRECT("'"&amp;$Q$2&amp;"'!H"&amp;ROW())),""))</f>
        <v>332</v>
      </c>
      <c r="J23" s="33" t="n">
        <f aca="false">IF(OR(H23="",I23=""),"",H23-I23)</f>
        <v>-332</v>
      </c>
      <c r="K23" s="34" t="n">
        <f aca="false">IFERROR(J23/I23,"")</f>
        <v>-1</v>
      </c>
      <c r="L23" s="32" t="n">
        <f aca="false">IFERROR(D23/C23,"")</f>
        <v>1725.44444444444</v>
      </c>
      <c r="M23" s="32" t="n">
        <f aca="false">IFERROR(H23/D23*1000,"")</f>
        <v>0</v>
      </c>
      <c r="N23" s="32" t="n">
        <v>5621</v>
      </c>
      <c r="O23" s="33" t="n">
        <f aca="true">IFERROR(IF(OR(N23="",ISBLANK(INDIRECT("'"&amp;$Q$2&amp;"'!N"&amp;ROW()))),"",N23-INDIRECT("'"&amp;$Q$2&amp;"'!N"&amp;ROW())),"")</f>
        <v>7</v>
      </c>
      <c r="P23" s="3"/>
      <c r="Q23" s="3"/>
      <c r="R23" s="3"/>
      <c r="S23" s="15" t="n">
        <f aca="true">IFERROR(IF(ISBLANK(INDIRECT("'"&amp;$Q$2&amp;"'!G"&amp;ROW())),"",INDIRECT("'"&amp;$Q$2&amp;"'!G"&amp;ROW())),"")</f>
        <v>4.28793774319066</v>
      </c>
      <c r="T23" s="16" t="n">
        <f aca="false">IF(OR($G23="",$S23=""),"",$G23-$S23)</f>
        <v>-4.14525930316123</v>
      </c>
      <c r="U23" s="15" t="n">
        <f aca="true">IFERROR(IF(ISBLANK(INDIRECT("'"&amp;$Q$2&amp;"'!K"&amp;ROW())),"",INDIRECT("'"&amp;$Q$2&amp;"'!K"&amp;ROW())),"")</f>
        <v>0.976190476190476</v>
      </c>
      <c r="V23" s="16" t="n">
        <f aca="false">IF(OR($K23="",$U23=""),"",$K23-$U23)</f>
        <v>-1.97619047619048</v>
      </c>
      <c r="W23" s="17" t="n">
        <f aca="true">IFERROR(IF(ISBLANK(INDIRECT("'"&amp;$Q$2&amp;"'!O"&amp;ROW())),"",INDIRECT("'"&amp;$Q$2&amp;"'!O"&amp;ROW())),"")</f>
        <v>14</v>
      </c>
      <c r="X23" s="17" t="n">
        <f aca="false">IF(OR($O23="",$W23=""),"",$O23-$W23)</f>
        <v>-7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9932</v>
      </c>
      <c r="E24" s="32" t="n">
        <f aca="true">IF($D24="","",IFERROR(IF(ISBLANK(INDIRECT("'"&amp;$Q$2&amp;"'!D"&amp;ROW())),"",INDIRECT("'"&amp;$Q$2&amp;"'!D"&amp;ROW())),""))</f>
        <v>14743</v>
      </c>
      <c r="F24" s="33" t="n">
        <f aca="false">IF(OR(D24="",E24=""),"",D24-E24)</f>
        <v>-4811</v>
      </c>
      <c r="G24" s="34" t="n">
        <f aca="false">IFERROR(F24/E24,"")</f>
        <v>-0.326324357322119</v>
      </c>
      <c r="H24" s="32" t="n">
        <v>301</v>
      </c>
      <c r="I24" s="32" t="n">
        <f aca="true">IF($H24="","",IFERROR(IF(ISBLANK(INDIRECT("'"&amp;$Q$2&amp;"'!H"&amp;ROW())),"",INDIRECT("'"&amp;$Q$2&amp;"'!H"&amp;ROW())),""))</f>
        <v>351</v>
      </c>
      <c r="J24" s="33" t="n">
        <f aca="false">IF(OR(H24="",I24=""),"",H24-I24)</f>
        <v>-50</v>
      </c>
      <c r="K24" s="34" t="n">
        <f aca="false">IFERROR(J24/I24,"")</f>
        <v>-0.142450142450142</v>
      </c>
      <c r="L24" s="32" t="n">
        <f aca="false">IFERROR(D24/C24,"")</f>
        <v>1418.85714285714</v>
      </c>
      <c r="M24" s="32" t="n">
        <f aca="false">IFERROR(H24/D24*1000,"")</f>
        <v>30.3060813532018</v>
      </c>
      <c r="N24" s="32" t="n">
        <v>2323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0.489492826833704</v>
      </c>
      <c r="T24" s="16" t="n">
        <f aca="false">IF(OR($G24="",$S24=""),"",$G24-$S24)</f>
        <v>-0.815817184155823</v>
      </c>
      <c r="U24" s="15" t="n">
        <f aca="true">IFERROR(IF(ISBLANK(INDIRECT("'"&amp;$Q$2&amp;"'!K"&amp;ROW())),"",INDIRECT("'"&amp;$Q$2&amp;"'!K"&amp;ROW())),"")</f>
        <v>0.37109375</v>
      </c>
      <c r="V24" s="16" t="n">
        <f aca="false">IF(OR($K24="",$U24=""),"",$K24-$U24)</f>
        <v>-0.513543892450142</v>
      </c>
      <c r="W24" s="17" t="n">
        <f aca="true">IFERROR(IF(ISBLANK(INDIRECT("'"&amp;$Q$2&amp;"'!O"&amp;ROW())),"",INDIRECT("'"&amp;$Q$2&amp;"'!O"&amp;ROW())),"")</f>
        <v>3</v>
      </c>
      <c r="X24" s="17" t="n">
        <f aca="false">IF(OR($O24="",$W24=""),"",$O24-$W24)</f>
        <v>2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20821</v>
      </c>
      <c r="E25" s="32" t="n">
        <f aca="true">IF($D25="","",IFERROR(IF(ISBLANK(INDIRECT("'"&amp;$Q$2&amp;"'!D"&amp;ROW())),"",INDIRECT("'"&amp;$Q$2&amp;"'!D"&amp;ROW())),""))</f>
        <v>113039</v>
      </c>
      <c r="F25" s="33" t="n">
        <f aca="false">IF(OR(D25="",E25=""),"",D25-E25)</f>
        <v>-92218</v>
      </c>
      <c r="G25" s="34" t="n">
        <f aca="false">IFERROR(F25/E25,"")</f>
        <v>-0.815806933890073</v>
      </c>
      <c r="H25" s="32" t="n">
        <v>179</v>
      </c>
      <c r="I25" s="32" t="n">
        <f aca="true">IF($H25="","",IFERROR(IF(ISBLANK(INDIRECT("'"&amp;$Q$2&amp;"'!H"&amp;ROW())),"",INDIRECT("'"&amp;$Q$2&amp;"'!H"&amp;ROW())),""))</f>
        <v>670</v>
      </c>
      <c r="J25" s="33" t="n">
        <f aca="false">IF(OR(H25="",I25=""),"",H25-I25)</f>
        <v>-491</v>
      </c>
      <c r="K25" s="34" t="n">
        <f aca="false">IFERROR(J25/I25,"")</f>
        <v>-0.732835820895522</v>
      </c>
      <c r="L25" s="32" t="n">
        <f aca="false">IFERROR(D25/C25,"")</f>
        <v>2974.42857142857</v>
      </c>
      <c r="M25" s="32" t="n">
        <f aca="false">IFERROR(H25/D25*1000,"")</f>
        <v>8.59708947697037</v>
      </c>
      <c r="N25" s="32" t="n">
        <v>6186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n">
        <f aca="true">IFERROR(IF(ISBLANK(INDIRECT("'"&amp;$Q$2&amp;"'!G"&amp;ROW())),"",INDIRECT("'"&amp;$Q$2&amp;"'!G"&amp;ROW())),"")</f>
        <v>5.73131662002025</v>
      </c>
      <c r="T25" s="16" t="n">
        <f aca="false">IF(OR($G25="",$S25=""),"",$G25-$S25)</f>
        <v>-6.54712355391032</v>
      </c>
      <c r="U25" s="15" t="n">
        <f aca="true">IFERROR(IF(ISBLANK(INDIRECT("'"&amp;$Q$2&amp;"'!K"&amp;ROW())),"",INDIRECT("'"&amp;$Q$2&amp;"'!K"&amp;ROW())),"")</f>
        <v>2.80681818181818</v>
      </c>
      <c r="V25" s="16" t="n">
        <f aca="false">IF(OR($K25="",$U25=""),"",$K25-$U25)</f>
        <v>-3.5396540027137</v>
      </c>
      <c r="W25" s="17" t="n">
        <f aca="true">IFERROR(IF(ISBLANK(INDIRECT("'"&amp;$Q$2&amp;"'!O"&amp;ROW())),"",INDIRECT("'"&amp;$Q$2&amp;"'!O"&amp;ROW())),"")</f>
        <v>15</v>
      </c>
      <c r="X25" s="17" t="n">
        <f aca="false">IF(OR($O25="",$W25=""),"",$O25-$W25)</f>
        <v>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98990</v>
      </c>
      <c r="E26" s="32" t="n">
        <f aca="true">IF($D26="","",IFERROR(IF(ISBLANK(INDIRECT("'"&amp;$Q$2&amp;"'!D"&amp;ROW())),"",INDIRECT("'"&amp;$Q$2&amp;"'!D"&amp;ROW())),""))</f>
        <v>40025</v>
      </c>
      <c r="F26" s="33" t="n">
        <f aca="false">IF(OR(D26="",E26=""),"",D26-E26)</f>
        <v>58965</v>
      </c>
      <c r="G26" s="34" t="n">
        <f aca="false">IFERROR(F26/E26,"")</f>
        <v>1.47320424734541</v>
      </c>
      <c r="H26" s="32" t="n">
        <v>438</v>
      </c>
      <c r="I26" s="32" t="n">
        <f aca="true">IF($H26="","",IFERROR(IF(ISBLANK(INDIRECT("'"&amp;$Q$2&amp;"'!H"&amp;ROW())),"",INDIRECT("'"&amp;$Q$2&amp;"'!H"&amp;ROW())),""))</f>
        <v>130</v>
      </c>
      <c r="J26" s="33" t="n">
        <f aca="false">IF(OR(H26="",I26=""),"",H26-I26)</f>
        <v>308</v>
      </c>
      <c r="K26" s="34" t="n">
        <f aca="false">IFERROR(J26/I26,"")</f>
        <v>2.36923076923077</v>
      </c>
      <c r="L26" s="32" t="n">
        <f aca="false">IFERROR(D26/C26,"")</f>
        <v>415.924369747899</v>
      </c>
      <c r="M26" s="32" t="n">
        <f aca="false">IFERROR(H26/D26*1000,"")</f>
        <v>4.42468936256188</v>
      </c>
      <c r="N26" s="32" t="n">
        <v>7932</v>
      </c>
      <c r="O26" s="33" t="n">
        <f aca="true">IFERROR(IF(OR(N26="",ISBLANK(INDIRECT("'"&amp;$Q$2&amp;"'!N"&amp;ROW()))),"",N26-INDIRECT("'"&amp;$Q$2&amp;"'!N"&amp;ROW())),"")</f>
        <v>34</v>
      </c>
      <c r="P26" s="3"/>
      <c r="Q26" s="3"/>
      <c r="R26" s="3"/>
      <c r="S26" s="15" t="n">
        <f aca="true">IFERROR(IF(ISBLANK(INDIRECT("'"&amp;$Q$2&amp;"'!G"&amp;ROW())),"",INDIRECT("'"&amp;$Q$2&amp;"'!G"&amp;ROW())),"")</f>
        <v>-0.208225356570592</v>
      </c>
      <c r="T26" s="16" t="n">
        <f aca="false">IF(OR($G26="",$S26=""),"",$G26-$S26)</f>
        <v>1.681429603916</v>
      </c>
      <c r="U26" s="15" t="n">
        <f aca="true">IFERROR(IF(ISBLANK(INDIRECT("'"&amp;$Q$2&amp;"'!K"&amp;ROW())),"",INDIRECT("'"&amp;$Q$2&amp;"'!K"&amp;ROW())),"")</f>
        <v>0.00775193798449612</v>
      </c>
      <c r="V26" s="16" t="n">
        <f aca="false">IF(OR($K26="",$U26=""),"",$K26-$U26)</f>
        <v>2.36147883124627</v>
      </c>
      <c r="W26" s="17" t="n">
        <f aca="true">IFERROR(IF(ISBLANK(INDIRECT("'"&amp;$Q$2&amp;"'!O"&amp;ROW())),"",INDIRECT("'"&amp;$Q$2&amp;"'!O"&amp;ROW())),"")</f>
        <v>9</v>
      </c>
      <c r="X26" s="17" t="n">
        <f aca="false">IF(OR($O26="",$W26=""),"",$O26-$W26)</f>
        <v>25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1834</v>
      </c>
      <c r="E27" s="32" t="n">
        <f aca="true">IF($D27="","",IFERROR(IF(ISBLANK(INDIRECT("'"&amp;$Q$2&amp;"'!D"&amp;ROW())),"",INDIRECT("'"&amp;$Q$2&amp;"'!D"&amp;ROW())),""))</f>
        <v>1912</v>
      </c>
      <c r="F27" s="33" t="n">
        <f aca="false">IF(OR(D27="",E27=""),"",D27-E27)</f>
        <v>-78</v>
      </c>
      <c r="G27" s="34" t="n">
        <f aca="false">IFERROR(F27/E27,"")</f>
        <v>-0.0407949790794979</v>
      </c>
      <c r="H27" s="32" t="n">
        <v>36</v>
      </c>
      <c r="I27" s="32" t="n">
        <f aca="true">IF($H27="","",IFERROR(IF(ISBLANK(INDIRECT("'"&amp;$Q$2&amp;"'!H"&amp;ROW())),"",INDIRECT("'"&amp;$Q$2&amp;"'!H"&amp;ROW())),""))</f>
        <v>37</v>
      </c>
      <c r="J27" s="33" t="n">
        <f aca="false">IF(OR(H27="",I27=""),"",H27-I27)</f>
        <v>-1</v>
      </c>
      <c r="K27" s="34" t="n">
        <f aca="false">IFERROR(J27/I27,"")</f>
        <v>-0.027027027027027</v>
      </c>
      <c r="L27" s="32" t="n">
        <f aca="false">IFERROR(D27/C27,"")</f>
        <v>183.4</v>
      </c>
      <c r="M27" s="32" t="n">
        <f aca="false">IFERROR(H27/D27*1000,"")</f>
        <v>19.629225736096</v>
      </c>
      <c r="N27" s="32" t="n">
        <v>16712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-0.0856049736967958</v>
      </c>
      <c r="T27" s="16" t="n">
        <f aca="false">IF(OR($G27="",$S27=""),"",$G27-$S27)</f>
        <v>0.0448099946172979</v>
      </c>
      <c r="U27" s="15" t="n">
        <f aca="true">IFERROR(IF(ISBLANK(INDIRECT("'"&amp;$Q$2&amp;"'!K"&amp;ROW())),"",INDIRECT("'"&amp;$Q$2&amp;"'!K"&amp;ROW())),"")</f>
        <v>-0.0975609756097561</v>
      </c>
      <c r="V27" s="16" t="n">
        <f aca="false">IF(OR($K27="",$U27=""),"",$K27-$U27)</f>
        <v>0.0705339485827291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5398</v>
      </c>
      <c r="E28" s="32" t="n">
        <f aca="true">IF($D28="","",IFERROR(IF(ISBLANK(INDIRECT("'"&amp;$Q$2&amp;"'!D"&amp;ROW())),"",INDIRECT("'"&amp;$Q$2&amp;"'!D"&amp;ROW())),""))</f>
        <v>4983</v>
      </c>
      <c r="F28" s="33" t="n">
        <f aca="false">IF(OR(D28="",E28=""),"",D28-E28)</f>
        <v>415</v>
      </c>
      <c r="G28" s="34" t="n">
        <f aca="false">IFERROR(F28/E28,"")</f>
        <v>0.0832831627533614</v>
      </c>
      <c r="H28" s="32" t="n">
        <v>50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19</v>
      </c>
      <c r="K28" s="34" t="n">
        <f aca="false">IFERROR(J28/I28,"")</f>
        <v>0.612903225806452</v>
      </c>
      <c r="L28" s="32" t="n">
        <f aca="false">IFERROR(D28/C28,"")</f>
        <v>269.9</v>
      </c>
      <c r="M28" s="32" t="n">
        <f aca="false">IFERROR(H28/D28*1000,"")</f>
        <v>9.26268988514265</v>
      </c>
      <c r="N28" s="32" t="n">
        <v>21919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n">
        <f aca="true">IFERROR(IF(ISBLANK(INDIRECT("'"&amp;$Q$2&amp;"'!G"&amp;ROW())),"",INDIRECT("'"&amp;$Q$2&amp;"'!G"&amp;ROW())),"")</f>
        <v>-0.315427943398819</v>
      </c>
      <c r="T28" s="16" t="n">
        <f aca="false">IF(OR($G28="",$S28=""),"",$G28-$S28)</f>
        <v>0.39871110615218</v>
      </c>
      <c r="U28" s="15" t="n">
        <f aca="true">IFERROR(IF(ISBLANK(INDIRECT("'"&amp;$Q$2&amp;"'!K"&amp;ROW())),"",INDIRECT("'"&amp;$Q$2&amp;"'!K"&amp;ROW())),"")</f>
        <v>-0.114285714285714</v>
      </c>
      <c r="V28" s="16" t="n">
        <f aca="false">IF(OR($K28="",$U28=""),"",$K28-$U28)</f>
        <v>0.727188940092166</v>
      </c>
      <c r="W28" s="17" t="n">
        <f aca="true">IFERROR(IF(ISBLANK(INDIRECT("'"&amp;$Q$2&amp;"'!O"&amp;ROW())),"",INDIRECT("'"&amp;$Q$2&amp;"'!O"&amp;ROW())),"")</f>
        <v>8</v>
      </c>
      <c r="X28" s="17" t="n">
        <f aca="false">IF(OR($O28="",$W28=""),"",$O28-$W28)</f>
        <v>-5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3666</v>
      </c>
      <c r="E29" s="32" t="n">
        <f aca="true">IF($D29="","",IFERROR(IF(ISBLANK(INDIRECT("'"&amp;$Q$2&amp;"'!D"&amp;ROW())),"",INDIRECT("'"&amp;$Q$2&amp;"'!D"&amp;ROW())),""))</f>
        <v>37678</v>
      </c>
      <c r="F29" s="33" t="n">
        <f aca="false">IF(OR(D29="",E29=""),"",D29-E29)</f>
        <v>-34012</v>
      </c>
      <c r="G29" s="34" t="n">
        <f aca="false">IFERROR(F29/E29,"")</f>
        <v>-0.902701841923669</v>
      </c>
      <c r="H29" s="32" t="n">
        <v>85</v>
      </c>
      <c r="I29" s="32" t="n">
        <f aca="true">IF($H29="","",IFERROR(IF(ISBLANK(INDIRECT("'"&amp;$Q$2&amp;"'!H"&amp;ROW())),"",INDIRECT("'"&amp;$Q$2&amp;"'!H"&amp;ROW())),""))</f>
        <v>52</v>
      </c>
      <c r="J29" s="33" t="n">
        <f aca="false">IF(OR(H29="",I29=""),"",H29-I29)</f>
        <v>33</v>
      </c>
      <c r="K29" s="34" t="n">
        <f aca="false">IFERROR(J29/I29,"")</f>
        <v>0.634615384615385</v>
      </c>
      <c r="L29" s="32" t="n">
        <f aca="false">IFERROR(D29/C29,"")</f>
        <v>611</v>
      </c>
      <c r="M29" s="32" t="n">
        <f aca="false">IFERROR(H29/D29*1000,"")</f>
        <v>23.1860338243317</v>
      </c>
      <c r="N29" s="32" t="n">
        <v>9602</v>
      </c>
      <c r="O29" s="33" t="n">
        <f aca="true">IFERROR(IF(OR(N29="",ISBLANK(INDIRECT("'"&amp;$Q$2&amp;"'!N"&amp;ROW()))),"",N29-INDIRECT("'"&amp;$Q$2&amp;"'!N"&amp;ROW())),"")</f>
        <v>30</v>
      </c>
      <c r="P29" s="3"/>
      <c r="Q29" s="3"/>
      <c r="R29" s="3"/>
      <c r="S29" s="15" t="n">
        <f aca="true">IFERROR(IF(ISBLANK(INDIRECT("'"&amp;$Q$2&amp;"'!G"&amp;ROW())),"",INDIRECT("'"&amp;$Q$2&amp;"'!G"&amp;ROW())),"")</f>
        <v>1.62509579878771</v>
      </c>
      <c r="T29" s="16" t="n">
        <f aca="false">IF(OR($G29="",$S29=""),"",$G29-$S29)</f>
        <v>-2.52779764071138</v>
      </c>
      <c r="U29" s="15" t="n">
        <f aca="true">IFERROR(IF(ISBLANK(INDIRECT("'"&amp;$Q$2&amp;"'!K"&amp;ROW())),"",INDIRECT("'"&amp;$Q$2&amp;"'!K"&amp;ROW())),"")</f>
        <v>-0.852691218130312</v>
      </c>
      <c r="V29" s="16" t="n">
        <f aca="false">IF(OR($K29="",$U29=""),"",$K29-$U29)</f>
        <v>1.4873066027457</v>
      </c>
      <c r="W29" s="17" t="n">
        <f aca="true">IFERROR(IF(ISBLANK(INDIRECT("'"&amp;$Q$2&amp;"'!O"&amp;ROW())),"",INDIRECT("'"&amp;$Q$2&amp;"'!O"&amp;ROW())),"")</f>
        <v>34</v>
      </c>
      <c r="X29" s="17" t="n">
        <f aca="false">IF(OR($O29="",$W29=""),"",$O29-$W29)</f>
        <v>-4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2266</v>
      </c>
      <c r="D30" s="36" t="n">
        <f aca="false">SUM(D3:D29)</f>
        <v>3693588</v>
      </c>
      <c r="E30" s="36" t="n">
        <f aca="false">SUM(E3:E29)</f>
        <v>3019940</v>
      </c>
      <c r="F30" s="37" t="n">
        <f aca="false">SUM(F3:F29)</f>
        <v>673648</v>
      </c>
      <c r="G30" s="38" t="n">
        <f aca="false">IF(C30=0,"",IFERROR(F30/E30,""))</f>
        <v>0.223066683444042</v>
      </c>
      <c r="H30" s="36" t="n">
        <f aca="false">SUM(H3:H29)</f>
        <v>33462</v>
      </c>
      <c r="I30" s="36" t="n">
        <f aca="false">SUM(I3:I29)</f>
        <v>32490</v>
      </c>
      <c r="J30" s="37" t="n">
        <f aca="false">SUM(J3:J29)</f>
        <v>972</v>
      </c>
      <c r="K30" s="38" t="n">
        <f aca="false">IF(C30=0,"",IFERROR(J30/I30,""))</f>
        <v>0.0299168975069252</v>
      </c>
      <c r="L30" s="36" t="n">
        <f aca="false">IFERROR(D30/C30,"")</f>
        <v>1630.00353045013</v>
      </c>
      <c r="M30" s="36" t="n">
        <f aca="false">IFERROR(H30/D30*1000,"")</f>
        <v>9.05948362405336</v>
      </c>
      <c r="N30" s="36" t="n">
        <f aca="false">SUM(N3:N29)</f>
        <v>464553</v>
      </c>
      <c r="O30" s="37" t="n">
        <f aca="false">SUM(O3:O29)</f>
        <v>3078</v>
      </c>
      <c r="P30" s="3"/>
      <c r="Q30" s="3"/>
      <c r="R30" s="3"/>
      <c r="S30" s="23" t="n">
        <f aca="true">IFERROR(IF(ISBLANK(INDIRECT("'"&amp;$Q$2&amp;"'!G"&amp;ROW())),"",INDIRECT("'"&amp;$Q$2&amp;"'!G"&amp;ROW())),"")</f>
        <v>-0.0789535484477009</v>
      </c>
      <c r="T30" s="24" t="n">
        <f aca="false">IF(OR($G30="",$S30=""),"",$G30-$S30)</f>
        <v>0.302020231891743</v>
      </c>
      <c r="U30" s="23" t="n">
        <f aca="true">IFERROR(IF(ISBLANK(INDIRECT("'"&amp;$Q$2&amp;"'!K"&amp;ROW())),"",INDIRECT("'"&amp;$Q$2&amp;"'!K"&amp;ROW())),"")</f>
        <v>-0.0985516896953554</v>
      </c>
      <c r="V30" s="24" t="n">
        <f aca="false">IF(OR($K30="",$U30=""),"",$K30-$U30)</f>
        <v>0.128468587202281</v>
      </c>
      <c r="W30" s="25" t="n">
        <f aca="true">IFERROR(IF(ISBLANK(INDIRECT("'"&amp;$Q$2&amp;"'!O"&amp;ROW())),"",INDIRECT("'"&amp;$Q$2&amp;"'!O"&amp;ROW())),"")</f>
        <v>1014</v>
      </c>
      <c r="X30" s="25" t="n">
        <f aca="false">IF(OR(C30=0,$O30="",$W30=""),"",$O30-$W30)</f>
        <v>2064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156</v>
      </c>
      <c r="D31" s="32" t="n">
        <v>36700</v>
      </c>
      <c r="E31" s="32" t="n">
        <f aca="true">IF($D31="","",IFERROR(IF(ISBLANK(INDIRECT("'"&amp;$Q$2&amp;"'!D"&amp;ROW())),"",INDIRECT("'"&amp;$Q$2&amp;"'!D"&amp;ROW())),""))</f>
        <v>291577</v>
      </c>
      <c r="F31" s="33" t="n">
        <f aca="false">IF(OR(D31="",E31=""),"",D31-E31)</f>
        <v>-254877</v>
      </c>
      <c r="G31" s="34" t="n">
        <f aca="false">IFERROR(F31/E31,"")</f>
        <v>-0.874132733377461</v>
      </c>
      <c r="H31" s="32" t="n">
        <v>116</v>
      </c>
      <c r="I31" s="32" t="n">
        <f aca="true">IF($H31="","",IFERROR(IF(ISBLANK(INDIRECT("'"&amp;$Q$2&amp;"'!H"&amp;ROW())),"",INDIRECT("'"&amp;$Q$2&amp;"'!H"&amp;ROW())),""))</f>
        <v>127</v>
      </c>
      <c r="J31" s="33" t="n">
        <f aca="false">IF(OR(H31="",I31=""),"",H31-I31)</f>
        <v>-11</v>
      </c>
      <c r="K31" s="34" t="n">
        <f aca="false">IFERROR(J31/I31,"")</f>
        <v>-0.0866141732283465</v>
      </c>
      <c r="L31" s="32" t="n">
        <f aca="false">IFERROR(D31/C31,"")</f>
        <v>235.25641025641</v>
      </c>
      <c r="M31" s="32" t="n">
        <f aca="false">IFERROR(H31/D31*1000,"")</f>
        <v>3.16076294277929</v>
      </c>
      <c r="N31" s="32" t="n">
        <v>32488</v>
      </c>
      <c r="O31" s="33" t="n">
        <f aca="true">IFERROR(IF(OR(N31="",ISBLANK(INDIRECT("'"&amp;$Q$2&amp;"'!N"&amp;ROW()))),"",N31-INDIRECT("'"&amp;$Q$2&amp;"'!N"&amp;ROW())),"")</f>
        <v>15</v>
      </c>
      <c r="P31" s="3"/>
      <c r="Q31" s="3"/>
      <c r="R31" s="3"/>
      <c r="S31" s="15" t="n">
        <f aca="true">IFERROR(IF(ISBLANK(INDIRECT("'"&amp;$Q$2&amp;"'!G"&amp;ROW())),"",INDIRECT("'"&amp;$Q$2&amp;"'!G"&amp;ROW())),"")</f>
        <v>10.9371571276509</v>
      </c>
      <c r="T31" s="16" t="n">
        <f aca="false">IF(OR($G31="",$S31=""),"",$G31-$S31)</f>
        <v>-11.8112898610283</v>
      </c>
      <c r="U31" s="15" t="n">
        <f aca="true">IFERROR(IF(ISBLANK(INDIRECT("'"&amp;$Q$2&amp;"'!K"&amp;ROW())),"",INDIRECT("'"&amp;$Q$2&amp;"'!K"&amp;ROW())),"")</f>
        <v>0.607594936708861</v>
      </c>
      <c r="V31" s="16" t="n">
        <f aca="false">IF(OR($K31="",$U31=""),"",$K31-$U31)</f>
        <v>-0.694209109937207</v>
      </c>
      <c r="W31" s="17" t="n">
        <f aca="true">IFERROR(IF(ISBLANK(INDIRECT("'"&amp;$Q$2&amp;"'!O"&amp;ROW())),"",INDIRECT("'"&amp;$Q$2&amp;"'!O"&amp;ROW())),"")</f>
        <v>10</v>
      </c>
      <c r="X31" s="17" t="n">
        <f aca="false">IF(OR($O31="",$W31=""),"",$O31-$W31)</f>
        <v>5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155</v>
      </c>
      <c r="D32" s="32" t="n">
        <v>42212</v>
      </c>
      <c r="E32" s="32" t="n">
        <f aca="true">IF($D32="","",IFERROR(IF(ISBLANK(INDIRECT("'"&amp;$Q$2&amp;"'!D"&amp;ROW())),"",INDIRECT("'"&amp;$Q$2&amp;"'!D"&amp;ROW())),""))</f>
        <v>40747</v>
      </c>
      <c r="F32" s="33" t="n">
        <f aca="false">IF(OR(D32="",E32=""),"",D32-E32)</f>
        <v>1465</v>
      </c>
      <c r="G32" s="34" t="n">
        <f aca="false">IFERROR(F32/E32,"")</f>
        <v>0.0359535671337767</v>
      </c>
      <c r="H32" s="32" t="n">
        <v>92</v>
      </c>
      <c r="I32" s="32" t="n">
        <f aca="true">IF($H32="","",IFERROR(IF(ISBLANK(INDIRECT("'"&amp;$Q$2&amp;"'!H"&amp;ROW())),"",INDIRECT("'"&amp;$Q$2&amp;"'!H"&amp;ROW())),""))</f>
        <v>68</v>
      </c>
      <c r="J32" s="33" t="n">
        <f aca="false">IF(OR(H32="",I32=""),"",H32-I32)</f>
        <v>24</v>
      </c>
      <c r="K32" s="34" t="n">
        <f aca="false">IFERROR(J32/I32,"")</f>
        <v>0.352941176470588</v>
      </c>
      <c r="L32" s="32" t="n">
        <f aca="false">IFERROR(D32/C32,"")</f>
        <v>272.335483870968</v>
      </c>
      <c r="M32" s="32" t="n">
        <f aca="false">IFERROR(H32/D32*1000,"")</f>
        <v>2.17947503079693</v>
      </c>
      <c r="N32" s="32" t="n">
        <v>21737</v>
      </c>
      <c r="O32" s="33" t="n">
        <f aca="true">IFERROR(IF(OR(N32="",ISBLANK(INDIRECT("'"&amp;$Q$2&amp;"'!N"&amp;ROW()))),"",N32-INDIRECT("'"&amp;$Q$2&amp;"'!N"&amp;ROW())),"")</f>
        <v>2</v>
      </c>
      <c r="P32" s="3"/>
      <c r="Q32" s="3"/>
      <c r="R32" s="3"/>
      <c r="S32" s="15" t="n">
        <f aca="true">IFERROR(IF(ISBLANK(INDIRECT("'"&amp;$Q$2&amp;"'!G"&amp;ROW())),"",INDIRECT("'"&amp;$Q$2&amp;"'!G"&amp;ROW())),"")</f>
        <v>0.143871764639829</v>
      </c>
      <c r="T32" s="16" t="n">
        <f aca="false">IF(OR($G32="",$S32=""),"",$G32-$S32)</f>
        <v>-0.107918197506053</v>
      </c>
      <c r="U32" s="15" t="n">
        <f aca="true">IFERROR(IF(ISBLANK(INDIRECT("'"&amp;$Q$2&amp;"'!K"&amp;ROW())),"",INDIRECT("'"&amp;$Q$2&amp;"'!K"&amp;ROW())),"")</f>
        <v>0.658536585365854</v>
      </c>
      <c r="V32" s="16" t="n">
        <f aca="false">IF(OR($K32="",$U32=""),"",$K32-$U32)</f>
        <v>-0.305595408895265</v>
      </c>
      <c r="W32" s="17" t="n">
        <f aca="true">IFERROR(IF(ISBLANK(INDIRECT("'"&amp;$Q$2&amp;"'!O"&amp;ROW())),"",INDIRECT("'"&amp;$Q$2&amp;"'!O"&amp;ROW())),"")</f>
        <v>3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98</v>
      </c>
      <c r="D33" s="32" t="n">
        <v>16771</v>
      </c>
      <c r="E33" s="32" t="n">
        <f aca="true">IF($D33="","",IFERROR(IF(ISBLANK(INDIRECT("'"&amp;$Q$2&amp;"'!D"&amp;ROW())),"",INDIRECT("'"&amp;$Q$2&amp;"'!D"&amp;ROW())),""))</f>
        <v>18335</v>
      </c>
      <c r="F33" s="33" t="n">
        <f aca="false">IF(OR(D33="",E33=""),"",D33-E33)</f>
        <v>-1564</v>
      </c>
      <c r="G33" s="34" t="n">
        <f aca="false">IFERROR(F33/E33,"")</f>
        <v>-0.0853013362421598</v>
      </c>
      <c r="H33" s="32" t="n">
        <v>5</v>
      </c>
      <c r="I33" s="32" t="n">
        <f aca="true">IF($H33="","",IFERROR(IF(ISBLANK(INDIRECT("'"&amp;$Q$2&amp;"'!H"&amp;ROW())),"",INDIRECT("'"&amp;$Q$2&amp;"'!H"&amp;ROW())),""))</f>
        <v>4</v>
      </c>
      <c r="J33" s="33" t="n">
        <f aca="false">IF(OR(H33="",I33=""),"",H33-I33)</f>
        <v>1</v>
      </c>
      <c r="K33" s="34" t="n">
        <f aca="false">IFERROR(J33/I33,"")</f>
        <v>0.25</v>
      </c>
      <c r="L33" s="32" t="n">
        <f aca="false">IFERROR(D33/C33,"")</f>
        <v>171.132653061225</v>
      </c>
      <c r="M33" s="32" t="n">
        <f aca="false">IFERROR(H33/D33*1000,"")</f>
        <v>0.298133683143522</v>
      </c>
      <c r="N33" s="32" t="n">
        <v>8957</v>
      </c>
      <c r="O33" s="33" t="n">
        <f aca="true">IFERROR(IF(OR(N33="",ISBLANK(INDIRECT("'"&amp;$Q$2&amp;"'!N"&amp;ROW()))),"",N33-INDIRECT("'"&amp;$Q$2&amp;"'!N"&amp;ROW())),"")</f>
        <v>-4</v>
      </c>
      <c r="P33" s="3"/>
      <c r="Q33" s="3"/>
      <c r="R33" s="3"/>
      <c r="S33" s="15" t="n">
        <f aca="true">IFERROR(IF(ISBLANK(INDIRECT("'"&amp;$Q$2&amp;"'!G"&amp;ROW())),"",INDIRECT("'"&amp;$Q$2&amp;"'!G"&amp;ROW())),"")</f>
        <v>-0.287047478321733</v>
      </c>
      <c r="T33" s="16" t="n">
        <f aca="false">IF(OR($G33="",$S33=""),"",$G33-$S33)</f>
        <v>0.201746142079573</v>
      </c>
      <c r="U33" s="15" t="n">
        <f aca="true">IFERROR(IF(ISBLANK(INDIRECT("'"&amp;$Q$2&amp;"'!K"&amp;ROW())),"",INDIRECT("'"&amp;$Q$2&amp;"'!K"&amp;ROW())),"")</f>
        <v>-0.333333333333333</v>
      </c>
      <c r="V33" s="16" t="n">
        <f aca="false">IF(OR($K33="",$U33=""),"",$K33-$U33)</f>
        <v>0.583333333333333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-3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121</v>
      </c>
      <c r="D34" s="32" t="n">
        <v>721</v>
      </c>
      <c r="E34" s="32" t="n">
        <f aca="true">IF($D34="","",IFERROR(IF(ISBLANK(INDIRECT("'"&amp;$Q$2&amp;"'!D"&amp;ROW())),"",INDIRECT("'"&amp;$Q$2&amp;"'!D"&amp;ROW())),""))</f>
        <v>905</v>
      </c>
      <c r="F34" s="33" t="n">
        <f aca="false">IF(OR(D34="",E34=""),"",D34-E34)</f>
        <v>-184</v>
      </c>
      <c r="G34" s="34" t="n">
        <f aca="false">IFERROR(F34/E34,"")</f>
        <v>-0.203314917127072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5.95867768595041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-0.453172205438066</v>
      </c>
      <c r="T34" s="16" t="n">
        <f aca="false">IF(OR($G34="",$S34=""),"",$G34-$S34)</f>
        <v>0.249857288310995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138</v>
      </c>
      <c r="D35" s="32" t="n">
        <v>9472</v>
      </c>
      <c r="E35" s="32" t="n">
        <f aca="true">IF($D35="","",IFERROR(IF(ISBLANK(INDIRECT("'"&amp;$Q$2&amp;"'!D"&amp;ROW())),"",INDIRECT("'"&amp;$Q$2&amp;"'!D"&amp;ROW())),""))</f>
        <v>10237</v>
      </c>
      <c r="F35" s="33" t="n">
        <f aca="false">IF(OR(D35="",E35=""),"",D35-E35)</f>
        <v>-765</v>
      </c>
      <c r="G35" s="34" t="n">
        <f aca="false">IFERROR(F35/E35,"")</f>
        <v>-0.0747289244895966</v>
      </c>
      <c r="H35" s="32" t="n">
        <v>48</v>
      </c>
      <c r="I35" s="32" t="n">
        <f aca="true">IF($H35="","",IFERROR(IF(ISBLANK(INDIRECT("'"&amp;$Q$2&amp;"'!H"&amp;ROW())),"",INDIRECT("'"&amp;$Q$2&amp;"'!H"&amp;ROW())),""))</f>
        <v>126</v>
      </c>
      <c r="J35" s="33" t="n">
        <f aca="false">IF(OR(H35="",I35=""),"",H35-I35)</f>
        <v>-78</v>
      </c>
      <c r="K35" s="34" t="n">
        <f aca="false">IFERROR(J35/I35,"")</f>
        <v>-0.619047619047619</v>
      </c>
      <c r="L35" s="32" t="n">
        <f aca="false">IFERROR(D35/C35,"")</f>
        <v>68.6376811594203</v>
      </c>
      <c r="M35" s="32" t="n">
        <f aca="false">IFERROR(H35/D35*1000,"")</f>
        <v>5.06756756756757</v>
      </c>
      <c r="N35" s="32" t="n">
        <v>1941</v>
      </c>
      <c r="O35" s="33" t="n">
        <f aca="true">IFERROR(IF(OR(N35="",ISBLANK(INDIRECT("'"&amp;$Q$2&amp;"'!N"&amp;ROW()))),"",N35-INDIRECT("'"&amp;$Q$2&amp;"'!N"&amp;ROW())),"")</f>
        <v>4</v>
      </c>
      <c r="P35" s="3"/>
      <c r="Q35" s="3"/>
      <c r="R35" s="3"/>
      <c r="S35" s="15" t="n">
        <f aca="true">IFERROR(IF(ISBLANK(INDIRECT("'"&amp;$Q$2&amp;"'!G"&amp;ROW())),"",INDIRECT("'"&amp;$Q$2&amp;"'!G"&amp;ROW())),"")</f>
        <v>0.00313571778539931</v>
      </c>
      <c r="T35" s="16" t="n">
        <f aca="false">IF(OR($G35="",$S35=""),"",$G35-$S35)</f>
        <v>-0.0778646422749959</v>
      </c>
      <c r="U35" s="15" t="n">
        <f aca="true">IFERROR(IF(ISBLANK(INDIRECT("'"&amp;$Q$2&amp;"'!K"&amp;ROW())),"",INDIRECT("'"&amp;$Q$2&amp;"'!K"&amp;ROW())),"")</f>
        <v>-0.20253164556962</v>
      </c>
      <c r="V35" s="16" t="n">
        <f aca="false">IF(OR($K35="",$U35=""),"",$K35-$U35)</f>
        <v>-0.416515973477999</v>
      </c>
      <c r="W35" s="17" t="n">
        <f aca="true">IFERROR(IF(ISBLANK(INDIRECT("'"&amp;$Q$2&amp;"'!O"&amp;ROW())),"",INDIRECT("'"&amp;$Q$2&amp;"'!O"&amp;ROW())),"")</f>
        <v>1</v>
      </c>
      <c r="X35" s="17" t="n">
        <f aca="false">IF(OR($O35="",$W35=""),"",$O35-$W35)</f>
        <v>3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120</v>
      </c>
      <c r="D36" s="32" t="n">
        <v>39135</v>
      </c>
      <c r="E36" s="32" t="n">
        <f aca="true">IF($D36="","",IFERROR(IF(ISBLANK(INDIRECT("'"&amp;$Q$2&amp;"'!D"&amp;ROW())),"",INDIRECT("'"&amp;$Q$2&amp;"'!D"&amp;ROW())),""))</f>
        <v>40666</v>
      </c>
      <c r="F36" s="33" t="n">
        <f aca="false">IF(OR(D36="",E36=""),"",D36-E36)</f>
        <v>-1531</v>
      </c>
      <c r="G36" s="34" t="n">
        <f aca="false">IFERROR(F36/E36,"")</f>
        <v>-0.0376481581665273</v>
      </c>
      <c r="H36" s="32" t="n">
        <v>552</v>
      </c>
      <c r="I36" s="32" t="n">
        <f aca="true">IF($H36="","",IFERROR(IF(ISBLANK(INDIRECT("'"&amp;$Q$2&amp;"'!H"&amp;ROW())),"",INDIRECT("'"&amp;$Q$2&amp;"'!H"&amp;ROW())),""))</f>
        <v>944</v>
      </c>
      <c r="J36" s="33" t="n">
        <f aca="false">IF(OR(H36="",I36=""),"",H36-I36)</f>
        <v>-392</v>
      </c>
      <c r="K36" s="34" t="n">
        <f aca="false">IFERROR(J36/I36,"")</f>
        <v>-0.415254237288136</v>
      </c>
      <c r="L36" s="32" t="n">
        <f aca="false">IFERROR(D36/C36,"")</f>
        <v>326.125</v>
      </c>
      <c r="M36" s="32" t="n">
        <f aca="false">IFERROR(H36/D36*1000,"")</f>
        <v>14.1050210808739</v>
      </c>
      <c r="N36" s="32" t="n">
        <v>5888</v>
      </c>
      <c r="O36" s="33" t="n">
        <f aca="true">IFERROR(IF(OR(N36="",ISBLANK(INDIRECT("'"&amp;$Q$2&amp;"'!N"&amp;ROW()))),"",N36-INDIRECT("'"&amp;$Q$2&amp;"'!N"&amp;ROW())),"")</f>
        <v>7</v>
      </c>
      <c r="P36" s="3"/>
      <c r="Q36" s="3"/>
      <c r="R36" s="3"/>
      <c r="S36" s="15" t="n">
        <f aca="true">IFERROR(IF(ISBLANK(INDIRECT("'"&amp;$Q$2&amp;"'!G"&amp;ROW())),"",INDIRECT("'"&amp;$Q$2&amp;"'!G"&amp;ROW())),"")</f>
        <v>-0.0639228414243952</v>
      </c>
      <c r="T36" s="16" t="n">
        <f aca="false">IF(OR($G36="",$S36=""),"",$G36-$S36)</f>
        <v>0.0262746832578679</v>
      </c>
      <c r="U36" s="15" t="n">
        <f aca="true">IFERROR(IF(ISBLANK(INDIRECT("'"&amp;$Q$2&amp;"'!K"&amp;ROW())),"",INDIRECT("'"&amp;$Q$2&amp;"'!K"&amp;ROW())),"")</f>
        <v>0.0238611713665944</v>
      </c>
      <c r="V36" s="16" t="n">
        <f aca="false">IF(OR($K36="",$U36=""),"",$K36-$U36)</f>
        <v>-0.43911540865473</v>
      </c>
      <c r="W36" s="17" t="n">
        <f aca="true">IFERROR(IF(ISBLANK(INDIRECT("'"&amp;$Q$2&amp;"'!O"&amp;ROW())),"",INDIRECT("'"&amp;$Q$2&amp;"'!O"&amp;ROW())),"")</f>
        <v>2</v>
      </c>
      <c r="X36" s="17" t="n">
        <f aca="false">IF(OR($O36="",$W36=""),"",$O36-$W36)</f>
        <v>5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160</v>
      </c>
      <c r="D37" s="32" t="n">
        <v>6504</v>
      </c>
      <c r="E37" s="32" t="n">
        <f aca="true">IF($D37="","",IFERROR(IF(ISBLANK(INDIRECT("'"&amp;$Q$2&amp;"'!D"&amp;ROW())),"",INDIRECT("'"&amp;$Q$2&amp;"'!D"&amp;ROW())),""))</f>
        <v>7612</v>
      </c>
      <c r="F37" s="33" t="n">
        <f aca="false">IF(OR(D37="",E37=""),"",D37-E37)</f>
        <v>-1108</v>
      </c>
      <c r="G37" s="34" t="n">
        <f aca="false">IFERROR(F37/E37,"")</f>
        <v>-0.145559642669469</v>
      </c>
      <c r="H37" s="32" t="n">
        <v>48</v>
      </c>
      <c r="I37" s="32" t="n">
        <f aca="true">IF($H37="","",IFERROR(IF(ISBLANK(INDIRECT("'"&amp;$Q$2&amp;"'!H"&amp;ROW())),"",INDIRECT("'"&amp;$Q$2&amp;"'!H"&amp;ROW())),""))</f>
        <v>59</v>
      </c>
      <c r="J37" s="33" t="n">
        <f aca="false">IF(OR(H37="",I37=""),"",H37-I37)</f>
        <v>-11</v>
      </c>
      <c r="K37" s="34" t="n">
        <f aca="false">IFERROR(J37/I37,"")</f>
        <v>-0.186440677966102</v>
      </c>
      <c r="L37" s="32" t="n">
        <f aca="false">IFERROR(D37/C37,"")</f>
        <v>40.65</v>
      </c>
      <c r="M37" s="32" t="n">
        <f aca="false">IFERROR(H37/D37*1000,"")</f>
        <v>7.38007380073801</v>
      </c>
      <c r="N37" s="32" t="n">
        <v>3237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0.385511467054969</v>
      </c>
      <c r="T37" s="16" t="n">
        <f aca="false">IF(OR($G37="",$S37=""),"",$G37-$S37)</f>
        <v>-0.531071109724438</v>
      </c>
      <c r="U37" s="15" t="n">
        <f aca="true">IFERROR(IF(ISBLANK(INDIRECT("'"&amp;$Q$2&amp;"'!K"&amp;ROW())),"",INDIRECT("'"&amp;$Q$2&amp;"'!K"&amp;ROW())),"")</f>
        <v>1.56521739130435</v>
      </c>
      <c r="V37" s="16" t="n">
        <f aca="false">IF(OR($K37="",$U37=""),"",$K37-$U37)</f>
        <v>-1.75165806927045</v>
      </c>
      <c r="W37" s="17" t="n">
        <f aca="true">IFERROR(IF(ISBLANK(INDIRECT("'"&amp;$Q$2&amp;"'!O"&amp;ROW())),"",INDIRECT("'"&amp;$Q$2&amp;"'!O"&amp;ROW())),"")</f>
        <v>2</v>
      </c>
      <c r="X37" s="17" t="n">
        <f aca="false">IF(OR($O37="",$W37=""),"",$O37-$W37)</f>
        <v>-1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197</v>
      </c>
      <c r="D38" s="32" t="n">
        <v>10887</v>
      </c>
      <c r="E38" s="32" t="n">
        <f aca="true">IF($D38="","",IFERROR(IF(ISBLANK(INDIRECT("'"&amp;$Q$2&amp;"'!D"&amp;ROW())),"",INDIRECT("'"&amp;$Q$2&amp;"'!D"&amp;ROW())),""))</f>
        <v>8056</v>
      </c>
      <c r="F38" s="33" t="n">
        <f aca="false">IF(OR(D38="",E38=""),"",D38-E38)</f>
        <v>2831</v>
      </c>
      <c r="G38" s="34" t="n">
        <f aca="false">IFERROR(F38/E38,"")</f>
        <v>0.351415094339623</v>
      </c>
      <c r="H38" s="32" t="n">
        <v>183</v>
      </c>
      <c r="I38" s="32" t="n">
        <f aca="true">IF($H38="","",IFERROR(IF(ISBLANK(INDIRECT("'"&amp;$Q$2&amp;"'!H"&amp;ROW())),"",INDIRECT("'"&amp;$Q$2&amp;"'!H"&amp;ROW())),""))</f>
        <v>172</v>
      </c>
      <c r="J38" s="33" t="n">
        <f aca="false">IF(OR(H38="",I38=""),"",H38-I38)</f>
        <v>11</v>
      </c>
      <c r="K38" s="34" t="n">
        <f aca="false">IFERROR(J38/I38,"")</f>
        <v>0.063953488372093</v>
      </c>
      <c r="L38" s="32" t="n">
        <f aca="false">IFERROR(D38/C38,"")</f>
        <v>55.2639593908629</v>
      </c>
      <c r="M38" s="32" t="n">
        <f aca="false">IFERROR(H38/D38*1000,"")</f>
        <v>16.8090383025627</v>
      </c>
      <c r="N38" s="32" t="n">
        <v>1711</v>
      </c>
      <c r="O38" s="33" t="n">
        <f aca="true">IFERROR(IF(OR(N38="",ISBLANK(INDIRECT("'"&amp;$Q$2&amp;"'!N"&amp;ROW()))),"",N38-INDIRECT("'"&amp;$Q$2&amp;"'!N"&amp;ROW())),"")</f>
        <v>6</v>
      </c>
      <c r="P38" s="3"/>
      <c r="Q38" s="3"/>
      <c r="R38" s="3"/>
      <c r="S38" s="15" t="n">
        <f aca="true">IFERROR(IF(ISBLANK(INDIRECT("'"&amp;$Q$2&amp;"'!G"&amp;ROW())),"",INDIRECT("'"&amp;$Q$2&amp;"'!G"&amp;ROW())),"")</f>
        <v>0.107201759208356</v>
      </c>
      <c r="T38" s="16" t="n">
        <f aca="false">IF(OR($G38="",$S38=""),"",$G38-$S38)</f>
        <v>0.244213335131266</v>
      </c>
      <c r="U38" s="15" t="n">
        <f aca="true">IFERROR(IF(ISBLANK(INDIRECT("'"&amp;$Q$2&amp;"'!K"&amp;ROW())),"",INDIRECT("'"&amp;$Q$2&amp;"'!K"&amp;ROW())),"")</f>
        <v>1.02352941176471</v>
      </c>
      <c r="V38" s="16" t="n">
        <f aca="false">IF(OR($K38="",$U38=""),"",$K38-$U38)</f>
        <v>-0.959575923392613</v>
      </c>
      <c r="W38" s="17" t="n">
        <f aca="true">IFERROR(IF(ISBLANK(INDIRECT("'"&amp;$Q$2&amp;"'!O"&amp;ROW())),"",INDIRECT("'"&amp;$Q$2&amp;"'!O"&amp;ROW())),"")</f>
        <v>10</v>
      </c>
      <c r="X38" s="17" t="n">
        <f aca="false">IF(OR($O38="",$W38=""),"",$O38-$W38)</f>
        <v>-4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81</v>
      </c>
      <c r="D39" s="32" t="n">
        <v>4212</v>
      </c>
      <c r="E39" s="32" t="n">
        <f aca="true">IF($D39="","",IFERROR(IF(ISBLANK(INDIRECT("'"&amp;$Q$2&amp;"'!D"&amp;ROW())),"",INDIRECT("'"&amp;$Q$2&amp;"'!D"&amp;ROW())),""))</f>
        <v>1941</v>
      </c>
      <c r="F39" s="33" t="n">
        <f aca="false">IF(OR(D39="",E39=""),"",D39-E39)</f>
        <v>2271</v>
      </c>
      <c r="G39" s="34" t="n">
        <f aca="false">IFERROR(F39/E39,"")</f>
        <v>1.17001545595054</v>
      </c>
      <c r="H39" s="32" t="n">
        <v>8</v>
      </c>
      <c r="I39" s="32" t="n">
        <f aca="true">IF($H39="","",IFERROR(IF(ISBLANK(INDIRECT("'"&amp;$Q$2&amp;"'!H"&amp;ROW())),"",INDIRECT("'"&amp;$Q$2&amp;"'!H"&amp;ROW())),""))</f>
        <v>10</v>
      </c>
      <c r="J39" s="33" t="n">
        <f aca="false">IF(OR(H39="",I39=""),"",H39-I39)</f>
        <v>-2</v>
      </c>
      <c r="K39" s="34" t="n">
        <f aca="false">IFERROR(J39/I39,"")</f>
        <v>-0.2</v>
      </c>
      <c r="L39" s="32" t="n">
        <f aca="false">IFERROR(D39/C39,"")</f>
        <v>52</v>
      </c>
      <c r="M39" s="32" t="n">
        <f aca="false">IFERROR(H39/D39*1000,"")</f>
        <v>1.89933523266857</v>
      </c>
      <c r="N39" s="32" t="n">
        <v>225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-0.354291417165669</v>
      </c>
      <c r="T39" s="16" t="n">
        <f aca="false">IF(OR($G39="",$S39=""),"",$G39-$S39)</f>
        <v>1.52430687311621</v>
      </c>
      <c r="U39" s="15" t="n">
        <f aca="true">IFERROR(IF(ISBLANK(INDIRECT("'"&amp;$Q$2&amp;"'!K"&amp;ROW())),"",INDIRECT("'"&amp;$Q$2&amp;"'!K"&amp;ROW())),"")</f>
        <v>-0.782608695652174</v>
      </c>
      <c r="V39" s="16" t="n">
        <f aca="false">IF(OR($K39="",$U39=""),"",$K39-$U39)</f>
        <v>0.582608695652174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83</v>
      </c>
      <c r="D40" s="32" t="n">
        <v>6832</v>
      </c>
      <c r="E40" s="32" t="n">
        <f aca="true">IF($D40="","",IFERROR(IF(ISBLANK(INDIRECT("'"&amp;$Q$2&amp;"'!D"&amp;ROW())),"",INDIRECT("'"&amp;$Q$2&amp;"'!D"&amp;ROW())),""))</f>
        <v>6191</v>
      </c>
      <c r="F40" s="33" t="n">
        <f aca="false">IF(OR(D40="",E40=""),"",D40-E40)</f>
        <v>641</v>
      </c>
      <c r="G40" s="34" t="n">
        <f aca="false">IFERROR(F40/E40,"")</f>
        <v>0.103537392989824</v>
      </c>
      <c r="H40" s="32" t="n">
        <v>54</v>
      </c>
      <c r="I40" s="32" t="n">
        <f aca="true">IF($H40="","",IFERROR(IF(ISBLANK(INDIRECT("'"&amp;$Q$2&amp;"'!H"&amp;ROW())),"",INDIRECT("'"&amp;$Q$2&amp;"'!H"&amp;ROW())),""))</f>
        <v>94</v>
      </c>
      <c r="J40" s="33" t="n">
        <f aca="false">IF(OR(H40="",I40=""),"",H40-I40)</f>
        <v>-40</v>
      </c>
      <c r="K40" s="34" t="n">
        <f aca="false">IFERROR(J40/I40,"")</f>
        <v>-0.425531914893617</v>
      </c>
      <c r="L40" s="32" t="n">
        <f aca="false">IFERROR(D40/C40,"")</f>
        <v>82.3132530120482</v>
      </c>
      <c r="M40" s="32" t="n">
        <f aca="false">IFERROR(H40/D40*1000,"")</f>
        <v>7.903981264637</v>
      </c>
      <c r="N40" s="32" t="n">
        <v>4958</v>
      </c>
      <c r="O40" s="33" t="n">
        <f aca="true">IFERROR(IF(OR(N40="",ISBLANK(INDIRECT("'"&amp;$Q$2&amp;"'!N"&amp;ROW()))),"",N40-INDIRECT("'"&amp;$Q$2&amp;"'!N"&amp;ROW())),"")</f>
        <v>1</v>
      </c>
      <c r="P40" s="3"/>
      <c r="Q40" s="3"/>
      <c r="R40" s="3"/>
      <c r="S40" s="15" t="n">
        <f aca="true">IFERROR(IF(ISBLANK(INDIRECT("'"&amp;$Q$2&amp;"'!G"&amp;ROW())),"",INDIRECT("'"&amp;$Q$2&amp;"'!G"&amp;ROW())),"")</f>
        <v>-0.248938493267014</v>
      </c>
      <c r="T40" s="16" t="n">
        <f aca="false">IF(OR($G40="",$S40=""),"",$G40-$S40)</f>
        <v>0.352475886256838</v>
      </c>
      <c r="U40" s="15" t="n">
        <f aca="true">IFERROR(IF(ISBLANK(INDIRECT("'"&amp;$Q$2&amp;"'!K"&amp;ROW())),"",INDIRECT("'"&amp;$Q$2&amp;"'!K"&amp;ROW())),"")</f>
        <v>-0.287878787878788</v>
      </c>
      <c r="V40" s="16" t="n">
        <f aca="false">IF(OR($K40="",$U40=""),"",$K40-$U40)</f>
        <v>-0.137653127014829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-3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77</v>
      </c>
      <c r="D41" s="32" t="n">
        <v>12790</v>
      </c>
      <c r="E41" s="32" t="n">
        <f aca="true">IF($D41="","",IFERROR(IF(ISBLANK(INDIRECT("'"&amp;$Q$2&amp;"'!D"&amp;ROW())),"",INDIRECT("'"&amp;$Q$2&amp;"'!D"&amp;ROW())),""))</f>
        <v>8540</v>
      </c>
      <c r="F41" s="33" t="n">
        <f aca="false">IF(OR(D41="",E41=""),"",D41-E41)</f>
        <v>4250</v>
      </c>
      <c r="G41" s="34" t="n">
        <f aca="false">IFERROR(F41/E41,"")</f>
        <v>0.497658079625293</v>
      </c>
      <c r="H41" s="32" t="n">
        <v>102</v>
      </c>
      <c r="I41" s="32" t="n">
        <f aca="true">IF($H41="","",IFERROR(IF(ISBLANK(INDIRECT("'"&amp;$Q$2&amp;"'!H"&amp;ROW())),"",INDIRECT("'"&amp;$Q$2&amp;"'!H"&amp;ROW())),""))</f>
        <v>111</v>
      </c>
      <c r="J41" s="33" t="n">
        <f aca="false">IF(OR(H41="",I41=""),"",H41-I41)</f>
        <v>-9</v>
      </c>
      <c r="K41" s="34" t="n">
        <f aca="false">IFERROR(J41/I41,"")</f>
        <v>-0.0810810810810811</v>
      </c>
      <c r="L41" s="32" t="n">
        <f aca="false">IFERROR(D41/C41,"")</f>
        <v>166.103896103896</v>
      </c>
      <c r="M41" s="32" t="n">
        <f aca="false">IFERROR(H41/D41*1000,"")</f>
        <v>7.97498045347928</v>
      </c>
      <c r="N41" s="32" t="n">
        <v>3529</v>
      </c>
      <c r="O41" s="33" t="n">
        <f aca="true">IFERROR(IF(OR(N41="",ISBLANK(INDIRECT("'"&amp;$Q$2&amp;"'!N"&amp;ROW()))),"",N41-INDIRECT("'"&amp;$Q$2&amp;"'!N"&amp;ROW())),"")</f>
        <v>-1</v>
      </c>
      <c r="P41" s="3"/>
      <c r="Q41" s="3"/>
      <c r="R41" s="3"/>
      <c r="S41" s="15" t="n">
        <f aca="true">IFERROR(IF(ISBLANK(INDIRECT("'"&amp;$Q$2&amp;"'!G"&amp;ROW())),"",INDIRECT("'"&amp;$Q$2&amp;"'!G"&amp;ROW())),"")</f>
        <v>0.119119381470318</v>
      </c>
      <c r="T41" s="16" t="n">
        <f aca="false">IF(OR($G41="",$S41=""),"",$G41-$S41)</f>
        <v>0.378538698154974</v>
      </c>
      <c r="U41" s="15" t="n">
        <f aca="true">IFERROR(IF(ISBLANK(INDIRECT("'"&amp;$Q$2&amp;"'!K"&amp;ROW())),"",INDIRECT("'"&amp;$Q$2&amp;"'!K"&amp;ROW())),"")</f>
        <v>0.608695652173913</v>
      </c>
      <c r="V41" s="16" t="n">
        <f aca="false">IF(OR($K41="",$U41=""),"",$K41-$U41)</f>
        <v>-0.689776733254994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41</v>
      </c>
      <c r="D42" s="32" t="n">
        <v>7517</v>
      </c>
      <c r="E42" s="32" t="n">
        <f aca="true">IF($D42="","",IFERROR(IF(ISBLANK(INDIRECT("'"&amp;$Q$2&amp;"'!D"&amp;ROW())),"",INDIRECT("'"&amp;$Q$2&amp;"'!D"&amp;ROW())),""))</f>
        <v>6081</v>
      </c>
      <c r="F42" s="33" t="n">
        <f aca="false">IF(OR(D42="",E42=""),"",D42-E42)</f>
        <v>1436</v>
      </c>
      <c r="G42" s="34" t="n">
        <f aca="false">IFERROR(F42/E42,"")</f>
        <v>0.236145370827167</v>
      </c>
      <c r="H42" s="32" t="n">
        <v>133</v>
      </c>
      <c r="I42" s="32" t="n">
        <f aca="true">IF($H42="","",IFERROR(IF(ISBLANK(INDIRECT("'"&amp;$Q$2&amp;"'!H"&amp;ROW())),"",INDIRECT("'"&amp;$Q$2&amp;"'!H"&amp;ROW())),""))</f>
        <v>248</v>
      </c>
      <c r="J42" s="33" t="n">
        <f aca="false">IF(OR(H42="",I42=""),"",H42-I42)</f>
        <v>-115</v>
      </c>
      <c r="K42" s="34" t="n">
        <f aca="false">IFERROR(J42/I42,"")</f>
        <v>-0.463709677419355</v>
      </c>
      <c r="L42" s="32" t="n">
        <f aca="false">IFERROR(D42/C42,"")</f>
        <v>183.341463414634</v>
      </c>
      <c r="M42" s="32" t="n">
        <f aca="false">IFERROR(H42/D42*1000,"")</f>
        <v>17.6932286816549</v>
      </c>
      <c r="N42" s="32" t="n">
        <v>651</v>
      </c>
      <c r="O42" s="33" t="n">
        <f aca="true">IFERROR(IF(OR(N42="",ISBLANK(INDIRECT("'"&amp;$Q$2&amp;"'!N"&amp;ROW()))),"",N42-INDIRECT("'"&amp;$Q$2&amp;"'!N"&amp;ROW())),"")</f>
        <v>1</v>
      </c>
      <c r="P42" s="3"/>
      <c r="Q42" s="3"/>
      <c r="R42" s="3"/>
      <c r="S42" s="15" t="n">
        <f aca="true">IFERROR(IF(ISBLANK(INDIRECT("'"&amp;$Q$2&amp;"'!G"&amp;ROW())),"",INDIRECT("'"&amp;$Q$2&amp;"'!G"&amp;ROW())),"")</f>
        <v>-0.253498649643997</v>
      </c>
      <c r="T42" s="16" t="n">
        <f aca="false">IF(OR($G42="",$S42=""),"",$G42-$S42)</f>
        <v>0.489644020471164</v>
      </c>
      <c r="U42" s="15" t="n">
        <f aca="true">IFERROR(IF(ISBLANK(INDIRECT("'"&amp;$Q$2&amp;"'!K"&amp;ROW())),"",INDIRECT("'"&amp;$Q$2&amp;"'!K"&amp;ROW())),"")</f>
        <v>-0.15358361774744</v>
      </c>
      <c r="V42" s="16" t="n">
        <f aca="false">IF(OR($K42="",$U42=""),"",$K42-$U42)</f>
        <v>-0.310126059671915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-1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75</v>
      </c>
      <c r="D43" s="32" t="n">
        <v>3667</v>
      </c>
      <c r="E43" s="32" t="n">
        <f aca="true">IF($D43="","",IFERROR(IF(ISBLANK(INDIRECT("'"&amp;$Q$2&amp;"'!D"&amp;ROW())),"",INDIRECT("'"&amp;$Q$2&amp;"'!D"&amp;ROW())),""))</f>
        <v>5062</v>
      </c>
      <c r="F43" s="33" t="n">
        <f aca="false">IF(OR(D43="",E43=""),"",D43-E43)</f>
        <v>-1395</v>
      </c>
      <c r="G43" s="34" t="n">
        <f aca="false">IFERROR(F43/E43,"")</f>
        <v>-0.27558277360727</v>
      </c>
      <c r="H43" s="32" t="n">
        <v>25</v>
      </c>
      <c r="I43" s="32" t="n">
        <f aca="true">IF($H43="","",IFERROR(IF(ISBLANK(INDIRECT("'"&amp;$Q$2&amp;"'!H"&amp;ROW())),"",INDIRECT("'"&amp;$Q$2&amp;"'!H"&amp;ROW())),""))</f>
        <v>57</v>
      </c>
      <c r="J43" s="33" t="n">
        <f aca="false">IF(OR(H43="",I43=""),"",H43-I43)</f>
        <v>-32</v>
      </c>
      <c r="K43" s="34" t="n">
        <f aca="false">IFERROR(J43/I43,"")</f>
        <v>-0.56140350877193</v>
      </c>
      <c r="L43" s="32" t="n">
        <f aca="false">IFERROR(D43/C43,"")</f>
        <v>48.8933333333333</v>
      </c>
      <c r="M43" s="32" t="n">
        <f aca="false">IFERROR(H43/D43*1000,"")</f>
        <v>6.81756203981456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0.12664144224349</v>
      </c>
      <c r="T43" s="16" t="n">
        <f aca="false">IF(OR($G43="",$S43=""),"",$G43-$S43)</f>
        <v>-0.40222421585076</v>
      </c>
      <c r="U43" s="15" t="n">
        <f aca="true">IFERROR(IF(ISBLANK(INDIRECT("'"&amp;$Q$2&amp;"'!K"&amp;ROW())),"",INDIRECT("'"&amp;$Q$2&amp;"'!K"&amp;ROW())),"")</f>
        <v>0.0754716981132075</v>
      </c>
      <c r="V43" s="16" t="n">
        <f aca="false">IF(OR($K43="",$U43=""),"",$K43-$U43)</f>
        <v>-0.636875206885137</v>
      </c>
      <c r="W43" s="17" t="n">
        <f aca="true">IFERROR(IF(ISBLANK(INDIRECT("'"&amp;$Q$2&amp;"'!O"&amp;ROW())),"",INDIRECT("'"&amp;$Q$2&amp;"'!O"&amp;ROW())),"")</f>
        <v>1</v>
      </c>
      <c r="X43" s="17" t="n">
        <f aca="false">IF(OR($O43="",$W43=""),"",$O43-$W43)</f>
        <v>-1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59</v>
      </c>
      <c r="D44" s="32" t="n">
        <v>10889</v>
      </c>
      <c r="E44" s="32" t="n">
        <f aca="true">IF($D44="","",IFERROR(IF(ISBLANK(INDIRECT("'"&amp;$Q$2&amp;"'!D"&amp;ROW())),"",INDIRECT("'"&amp;$Q$2&amp;"'!D"&amp;ROW())),""))</f>
        <v>22611</v>
      </c>
      <c r="F44" s="33" t="n">
        <f aca="false">IF(OR(D44="",E44=""),"",D44-E44)</f>
        <v>-11722</v>
      </c>
      <c r="G44" s="34" t="n">
        <f aca="false">IFERROR(F44/E44,"")</f>
        <v>-0.518420237937287</v>
      </c>
      <c r="H44" s="32" t="n">
        <v>337</v>
      </c>
      <c r="I44" s="32" t="n">
        <f aca="true">IF($H44="","",IFERROR(IF(ISBLANK(INDIRECT("'"&amp;$Q$2&amp;"'!H"&amp;ROW())),"",INDIRECT("'"&amp;$Q$2&amp;"'!H"&amp;ROW())),""))</f>
        <v>568</v>
      </c>
      <c r="J44" s="33" t="n">
        <f aca="false">IF(OR(H44="",I44=""),"",H44-I44)</f>
        <v>-231</v>
      </c>
      <c r="K44" s="34" t="n">
        <f aca="false">IFERROR(J44/I44,"")</f>
        <v>-0.40669014084507</v>
      </c>
      <c r="L44" s="32" t="n">
        <f aca="false">IFERROR(D44/C44,"")</f>
        <v>184.559322033898</v>
      </c>
      <c r="M44" s="32" t="n">
        <f aca="false">IFERROR(H44/D44*1000,"")</f>
        <v>30.948663789145</v>
      </c>
      <c r="N44" s="32" t="n">
        <v>4895</v>
      </c>
      <c r="O44" s="33" t="n">
        <f aca="true">IFERROR(IF(OR(N44="",ISBLANK(INDIRECT("'"&amp;$Q$2&amp;"'!N"&amp;ROW()))),"",N44-INDIRECT("'"&amp;$Q$2&amp;"'!N"&amp;ROW())),"")</f>
        <v>5</v>
      </c>
      <c r="P44" s="3"/>
      <c r="Q44" s="3"/>
      <c r="R44" s="3"/>
      <c r="S44" s="15" t="n">
        <f aca="true">IFERROR(IF(ISBLANK(INDIRECT("'"&amp;$Q$2&amp;"'!G"&amp;ROW())),"",INDIRECT("'"&amp;$Q$2&amp;"'!G"&amp;ROW())),"")</f>
        <v>0.632681060004332</v>
      </c>
      <c r="T44" s="16" t="n">
        <f aca="false">IF(OR($G44="",$S44=""),"",$G44-$S44)</f>
        <v>-1.15110129794162</v>
      </c>
      <c r="U44" s="15" t="n">
        <f aca="true">IFERROR(IF(ISBLANK(INDIRECT("'"&amp;$Q$2&amp;"'!K"&amp;ROW())),"",INDIRECT("'"&amp;$Q$2&amp;"'!K"&amp;ROW())),"")</f>
        <v>0.518716577540107</v>
      </c>
      <c r="V44" s="16" t="n">
        <f aca="false">IF(OR($K44="",$U44=""),"",$K44-$U44)</f>
        <v>-0.925406718385177</v>
      </c>
      <c r="W44" s="17" t="n">
        <f aca="true">IFERROR(IF(ISBLANK(INDIRECT("'"&amp;$Q$2&amp;"'!O"&amp;ROW())),"",INDIRECT("'"&amp;$Q$2&amp;"'!O"&amp;ROW())),"")</f>
        <v>4</v>
      </c>
      <c r="X44" s="17" t="n">
        <f aca="false">IF(OR($O44="",$W44=""),"",$O44-$W44)</f>
        <v>1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95</v>
      </c>
      <c r="D45" s="32" t="n">
        <v>21536</v>
      </c>
      <c r="E45" s="32" t="n">
        <f aca="true">IF($D45="","",IFERROR(IF(ISBLANK(INDIRECT("'"&amp;$Q$2&amp;"'!D"&amp;ROW())),"",INDIRECT("'"&amp;$Q$2&amp;"'!D"&amp;ROW())),""))</f>
        <v>20281</v>
      </c>
      <c r="F45" s="33" t="n">
        <f aca="false">IF(OR(D45="",E45=""),"",D45-E45)</f>
        <v>1255</v>
      </c>
      <c r="G45" s="34" t="n">
        <f aca="false">IFERROR(F45/E45,"")</f>
        <v>0.0618805778807751</v>
      </c>
      <c r="H45" s="32" t="n">
        <v>308</v>
      </c>
      <c r="I45" s="32" t="n">
        <f aca="true">IF($H45="","",IFERROR(IF(ISBLANK(INDIRECT("'"&amp;$Q$2&amp;"'!H"&amp;ROW())),"",INDIRECT("'"&amp;$Q$2&amp;"'!H"&amp;ROW())),""))</f>
        <v>369</v>
      </c>
      <c r="J45" s="33" t="n">
        <f aca="false">IF(OR(H45="",I45=""),"",H45-I45)</f>
        <v>-61</v>
      </c>
      <c r="K45" s="34" t="n">
        <f aca="false">IFERROR(J45/I45,"")</f>
        <v>-0.165311653116531</v>
      </c>
      <c r="L45" s="32" t="n">
        <f aca="false">IFERROR(D45/C45,"")</f>
        <v>226.694736842105</v>
      </c>
      <c r="M45" s="32" t="n">
        <f aca="false">IFERROR(H45/D45*1000,"")</f>
        <v>14.3016344725111</v>
      </c>
      <c r="N45" s="32" t="n">
        <v>3746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-0.389347223894978</v>
      </c>
      <c r="T45" s="16" t="n">
        <f aca="false">IF(OR($G45="",$S45=""),"",$G45-$S45)</f>
        <v>0.451227801775753</v>
      </c>
      <c r="U45" s="15" t="n">
        <f aca="true">IFERROR(IF(ISBLANK(INDIRECT("'"&amp;$Q$2&amp;"'!K"&amp;ROW())),"",INDIRECT("'"&amp;$Q$2&amp;"'!K"&amp;ROW())),"")</f>
        <v>-0.348056537102474</v>
      </c>
      <c r="V45" s="16" t="n">
        <f aca="false">IF(OR($K45="",$U45=""),"",$K45-$U45)</f>
        <v>0.182744883985942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-3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105</v>
      </c>
      <c r="D46" s="32" t="n">
        <v>29521</v>
      </c>
      <c r="E46" s="32" t="n">
        <f aca="true">IF($D46="","",IFERROR(IF(ISBLANK(INDIRECT("'"&amp;$Q$2&amp;"'!D"&amp;ROW())),"",INDIRECT("'"&amp;$Q$2&amp;"'!D"&amp;ROW())),""))</f>
        <v>19516</v>
      </c>
      <c r="F46" s="33" t="n">
        <f aca="false">IF(OR(D46="",E46=""),"",D46-E46)</f>
        <v>10005</v>
      </c>
      <c r="G46" s="34" t="n">
        <f aca="false">IFERROR(F46/E46,"")</f>
        <v>0.512656282025005</v>
      </c>
      <c r="H46" s="32" t="n">
        <v>351</v>
      </c>
      <c r="I46" s="32" t="n">
        <f aca="true">IF($H46="","",IFERROR(IF(ISBLANK(INDIRECT("'"&amp;$Q$2&amp;"'!H"&amp;ROW())),"",INDIRECT("'"&amp;$Q$2&amp;"'!H"&amp;ROW())),""))</f>
        <v>345</v>
      </c>
      <c r="J46" s="33" t="n">
        <f aca="false">IF(OR(H46="",I46=""),"",H46-I46)</f>
        <v>6</v>
      </c>
      <c r="K46" s="34" t="n">
        <f aca="false">IFERROR(J46/I46,"")</f>
        <v>0.0173913043478261</v>
      </c>
      <c r="L46" s="32" t="n">
        <f aca="false">IFERROR(D46/C46,"")</f>
        <v>281.152380952381</v>
      </c>
      <c r="M46" s="32" t="n">
        <f aca="false">IFERROR(H46/D46*1000,"")</f>
        <v>11.889841130043</v>
      </c>
      <c r="N46" s="32" t="n">
        <v>4504</v>
      </c>
      <c r="O46" s="33" t="n">
        <f aca="true">IFERROR(IF(OR(N46="",ISBLANK(INDIRECT("'"&amp;$Q$2&amp;"'!N"&amp;ROW()))),"",N46-INDIRECT("'"&amp;$Q$2&amp;"'!N"&amp;ROW())),"")</f>
        <v>0</v>
      </c>
      <c r="P46" s="3"/>
      <c r="Q46" s="3"/>
      <c r="R46" s="3"/>
      <c r="S46" s="15" t="n">
        <f aca="true">IFERROR(IF(ISBLANK(INDIRECT("'"&amp;$Q$2&amp;"'!G"&amp;ROW())),"",INDIRECT("'"&amp;$Q$2&amp;"'!G"&amp;ROW())),"")</f>
        <v>-0.288075000911976</v>
      </c>
      <c r="T46" s="16" t="n">
        <f aca="false">IF(OR($G46="",$S46=""),"",$G46-$S46)</f>
        <v>0.800731282936981</v>
      </c>
      <c r="U46" s="15" t="n">
        <f aca="true">IFERROR(IF(ISBLANK(INDIRECT("'"&amp;$Q$2&amp;"'!K"&amp;ROW())),"",INDIRECT("'"&amp;$Q$2&amp;"'!K"&amp;ROW())),"")</f>
        <v>-0.477272727272727</v>
      </c>
      <c r="V46" s="16" t="n">
        <f aca="false">IF(OR($K46="",$U46=""),"",$K46-$U46)</f>
        <v>0.494664031620553</v>
      </c>
      <c r="W46" s="17" t="n">
        <f aca="true">IFERROR(IF(ISBLANK(INDIRECT("'"&amp;$Q$2&amp;"'!O"&amp;ROW())),"",INDIRECT("'"&amp;$Q$2&amp;"'!O"&amp;ROW())),"")</f>
        <v>2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1002</v>
      </c>
      <c r="E47" s="32" t="n">
        <f aca="true">IF($D47="","",IFERROR(IF(ISBLANK(INDIRECT("'"&amp;$Q$2&amp;"'!D"&amp;ROW())),"",INDIRECT("'"&amp;$Q$2&amp;"'!D"&amp;ROW())),""))</f>
        <v>666</v>
      </c>
      <c r="F47" s="33" t="n">
        <f aca="false">IF(OR(D47="",E47=""),"",D47-E47)</f>
        <v>336</v>
      </c>
      <c r="G47" s="34" t="n">
        <f aca="false">IFERROR(F47/E47,"")</f>
        <v>0.504504504504505</v>
      </c>
      <c r="H47" s="32" t="n">
        <v>30</v>
      </c>
      <c r="I47" s="32" t="n">
        <f aca="true">IF($H47="","",IFERROR(IF(ISBLANK(INDIRECT("'"&amp;$Q$2&amp;"'!H"&amp;ROW())),"",INDIRECT("'"&amp;$Q$2&amp;"'!H"&amp;ROW())),""))</f>
        <v>28</v>
      </c>
      <c r="J47" s="33" t="n">
        <f aca="false">IF(OR(H47="",I47=""),"",H47-I47)</f>
        <v>2</v>
      </c>
      <c r="K47" s="34" t="n">
        <f aca="false">IFERROR(J47/I47,"")</f>
        <v>0.0714285714285714</v>
      </c>
      <c r="L47" s="32" t="n">
        <f aca="false">IFERROR(D47/C47,"")</f>
        <v>167</v>
      </c>
      <c r="M47" s="32" t="n">
        <f aca="false">IFERROR(H47/D47*1000,"")</f>
        <v>29.940119760479</v>
      </c>
      <c r="N47" s="32" t="n">
        <v>855</v>
      </c>
      <c r="O47" s="33" t="n">
        <f aca="true">IFERROR(IF(OR(N47="",ISBLANK(INDIRECT("'"&amp;$Q$2&amp;"'!N"&amp;ROW()))),"",N47-INDIRECT("'"&amp;$Q$2&amp;"'!N"&amp;ROW())),"")</f>
        <v>1</v>
      </c>
      <c r="P47" s="3"/>
      <c r="Q47" s="3"/>
      <c r="R47" s="3"/>
      <c r="S47" s="15" t="n">
        <f aca="true">IFERROR(IF(ISBLANK(INDIRECT("'"&amp;$Q$2&amp;"'!G"&amp;ROW())),"",INDIRECT("'"&amp;$Q$2&amp;"'!G"&amp;ROW())),"")</f>
        <v>0.170474516695958</v>
      </c>
      <c r="T47" s="16" t="n">
        <f aca="false">IF(OR($G47="",$S47=""),"",$G47-$S47)</f>
        <v>0.334029987808547</v>
      </c>
      <c r="U47" s="15" t="n">
        <f aca="true">IFERROR(IF(ISBLANK(INDIRECT("'"&amp;$Q$2&amp;"'!K"&amp;ROW())),"",INDIRECT("'"&amp;$Q$2&amp;"'!K"&amp;ROW())),"")</f>
        <v>-0.717171717171717</v>
      </c>
      <c r="V47" s="16" t="n">
        <f aca="false">IF(OR($K47="",$U47=""),"",$K47-$U47)</f>
        <v>0.788600288600289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2356</v>
      </c>
      <c r="E48" s="32" t="n">
        <f aca="true">IF($D48="","",IFERROR(IF(ISBLANK(INDIRECT("'"&amp;$Q$2&amp;"'!D"&amp;ROW())),"",INDIRECT("'"&amp;$Q$2&amp;"'!D"&amp;ROW())),""))</f>
        <v>2932</v>
      </c>
      <c r="F48" s="33" t="n">
        <f aca="false">IF(OR(D48="",E48=""),"",D48-E48)</f>
        <v>-576</v>
      </c>
      <c r="G48" s="34" t="n">
        <f aca="false">IFERROR(F48/E48,"")</f>
        <v>-0.196452933151432</v>
      </c>
      <c r="H48" s="32" t="n">
        <v>282</v>
      </c>
      <c r="I48" s="32" t="n">
        <f aca="true">IF($H48="","",IFERROR(IF(ISBLANK(INDIRECT("'"&amp;$Q$2&amp;"'!H"&amp;ROW())),"",INDIRECT("'"&amp;$Q$2&amp;"'!H"&amp;ROW())),""))</f>
        <v>206</v>
      </c>
      <c r="J48" s="33" t="n">
        <f aca="false">IF(OR(H48="",I48=""),"",H48-I48)</f>
        <v>76</v>
      </c>
      <c r="K48" s="34" t="n">
        <f aca="false">IFERROR(J48/I48,"")</f>
        <v>0.368932038834951</v>
      </c>
      <c r="L48" s="32" t="n">
        <f aca="false">IFERROR(D48/C48,"")</f>
        <v>336.571428571429</v>
      </c>
      <c r="M48" s="32" t="n">
        <f aca="false">IFERROR(H48/D48*1000,"")</f>
        <v>119.694397283531</v>
      </c>
      <c r="N48" s="32" t="n">
        <v>862</v>
      </c>
      <c r="O48" s="33" t="n">
        <f aca="true">IFERROR(IF(OR(N48="",ISBLANK(INDIRECT("'"&amp;$Q$2&amp;"'!N"&amp;ROW()))),"",N48-INDIRECT("'"&amp;$Q$2&amp;"'!N"&amp;ROW())),"")</f>
        <v>3</v>
      </c>
      <c r="P48" s="3"/>
      <c r="Q48" s="3"/>
      <c r="R48" s="3"/>
      <c r="S48" s="15" t="n">
        <f aca="true">IFERROR(IF(ISBLANK(INDIRECT("'"&amp;$Q$2&amp;"'!G"&amp;ROW())),"",INDIRECT("'"&amp;$Q$2&amp;"'!G"&amp;ROW())),"")</f>
        <v>1.93787575150301</v>
      </c>
      <c r="T48" s="16" t="n">
        <f aca="false">IF(OR($G48="",$S48=""),"",$G48-$S48)</f>
        <v>-2.13432868465444</v>
      </c>
      <c r="U48" s="15" t="n">
        <f aca="true">IFERROR(IF(ISBLANK(INDIRECT("'"&amp;$Q$2&amp;"'!K"&amp;ROW())),"",INDIRECT("'"&amp;$Q$2&amp;"'!K"&amp;ROW())),"")</f>
        <v>0.492753623188406</v>
      </c>
      <c r="V48" s="16" t="n">
        <f aca="false">IF(OR($K48="",$U48=""),"",$K48-$U48)</f>
        <v>-0.123821584353454</v>
      </c>
      <c r="W48" s="17" t="n">
        <f aca="true">IFERROR(IF(ISBLANK(INDIRECT("'"&amp;$Q$2&amp;"'!O"&amp;ROW())),"",INDIRECT("'"&amp;$Q$2&amp;"'!O"&amp;ROW())),"")</f>
        <v>1</v>
      </c>
      <c r="X48" s="17" t="n">
        <f aca="false">IF(OR($O48="",$W48=""),"",$O48-$W48)</f>
        <v>2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228</v>
      </c>
      <c r="D49" s="32" t="n">
        <v>7973</v>
      </c>
      <c r="E49" s="32" t="n">
        <f aca="true">IF($D49="","",IFERROR(IF(ISBLANK(INDIRECT("'"&amp;$Q$2&amp;"'!D"&amp;ROW())),"",INDIRECT("'"&amp;$Q$2&amp;"'!D"&amp;ROW())),""))</f>
        <v>6330</v>
      </c>
      <c r="F49" s="33" t="n">
        <f aca="false">IF(OR(D49="",E49=""),"",D49-E49)</f>
        <v>1643</v>
      </c>
      <c r="G49" s="34" t="n">
        <f aca="false">IFERROR(F49/E49,"")</f>
        <v>0.25955766192733</v>
      </c>
      <c r="H49" s="32" t="n">
        <v>2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0</v>
      </c>
      <c r="K49" s="34" t="n">
        <f aca="false">IFERROR(J49/I49,"")</f>
        <v>0</v>
      </c>
      <c r="L49" s="32" t="n">
        <f aca="false">IFERROR(D49/C49,"")</f>
        <v>34.969298245614</v>
      </c>
      <c r="M49" s="32" t="n">
        <f aca="false">IFERROR(H49/D49*1000,"")</f>
        <v>0.250846607299636</v>
      </c>
      <c r="N49" s="32" t="n">
        <v>4820</v>
      </c>
      <c r="O49" s="33" t="n">
        <f aca="true">IFERROR(IF(OR(N49="",ISBLANK(INDIRECT("'"&amp;$Q$2&amp;"'!N"&amp;ROW()))),"",N49-INDIRECT("'"&amp;$Q$2&amp;"'!N"&amp;ROW())),"")</f>
        <v>3</v>
      </c>
      <c r="P49" s="3"/>
      <c r="Q49" s="3"/>
      <c r="R49" s="3"/>
      <c r="S49" s="15" t="n">
        <f aca="true">IFERROR(IF(ISBLANK(INDIRECT("'"&amp;$Q$2&amp;"'!G"&amp;ROW())),"",INDIRECT("'"&amp;$Q$2&amp;"'!G"&amp;ROW())),"")</f>
        <v>-0.0933829848181037</v>
      </c>
      <c r="T49" s="16" t="n">
        <f aca="false">IF(OR($G49="",$S49=""),"",$G49-$S49)</f>
        <v>0.352940646745434</v>
      </c>
      <c r="U49" s="15" t="n">
        <f aca="true">IFERROR(IF(ISBLANK(INDIRECT("'"&amp;$Q$2&amp;"'!K"&amp;ROW())),"",INDIRECT("'"&amp;$Q$2&amp;"'!K"&amp;ROW())),"")</f>
        <v>1</v>
      </c>
      <c r="V49" s="16" t="n">
        <f aca="false">IF(OR($K49="",$U49=""),"",$K49-$U49)</f>
        <v>-1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1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6</v>
      </c>
      <c r="D50" s="32" t="n">
        <v>327</v>
      </c>
      <c r="E50" s="32" t="n">
        <f aca="true">IF($D50="","",IFERROR(IF(ISBLANK(INDIRECT("'"&amp;$Q$2&amp;"'!D"&amp;ROW())),"",INDIRECT("'"&amp;$Q$2&amp;"'!D"&amp;ROW())),""))</f>
        <v>81</v>
      </c>
      <c r="F50" s="33" t="n">
        <f aca="false">IF(OR(D50="",E50=""),"",D50-E50)</f>
        <v>246</v>
      </c>
      <c r="G50" s="34" t="n">
        <f aca="false">IFERROR(F50/E50,"")</f>
        <v>3.03703703703704</v>
      </c>
      <c r="H50" s="32" t="n">
        <v>3</v>
      </c>
      <c r="I50" s="32" t="n">
        <f aca="true">IF($H50="","",IFERROR(IF(ISBLANK(INDIRECT("'"&amp;$Q$2&amp;"'!H"&amp;ROW())),"",INDIRECT("'"&amp;$Q$2&amp;"'!H"&amp;ROW())),""))</f>
        <v>4</v>
      </c>
      <c r="J50" s="33" t="n">
        <f aca="false">IF(OR(H50="",I50=""),"",H50-I50)</f>
        <v>-1</v>
      </c>
      <c r="K50" s="34" t="n">
        <f aca="false">IFERROR(J50/I50,"")</f>
        <v>-0.25</v>
      </c>
      <c r="L50" s="32" t="n">
        <f aca="false">IFERROR(D50/C50,"")</f>
        <v>54.5</v>
      </c>
      <c r="M50" s="32" t="n">
        <f aca="false">IFERROR(H50/D50*1000,"")</f>
        <v>9.17431192660551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-0.698884758364312</v>
      </c>
      <c r="T50" s="16" t="n">
        <f aca="false">IF(OR($G50="",$S50=""),"",$G50-$S50)</f>
        <v>3.73592179540135</v>
      </c>
      <c r="U50" s="15" t="n">
        <f aca="true">IFERROR(IF(ISBLANK(INDIRECT("'"&amp;$Q$2&amp;"'!K"&amp;ROW())),"",INDIRECT("'"&amp;$Q$2&amp;"'!K"&amp;ROW())),"")</f>
        <v>-0.555555555555556</v>
      </c>
      <c r="V50" s="16" t="n">
        <f aca="false">IF(OR($K50="",$U50=""),"",$K50-$U50)</f>
        <v>0.305555555555556</v>
      </c>
      <c r="W50" s="17" t="n">
        <f aca="true">IFERROR(IF(ISBLANK(INDIRECT("'"&amp;$Q$2&amp;"'!O"&amp;ROW())),"",INDIRECT("'"&amp;$Q$2&amp;"'!O"&amp;ROW())),"")</f>
        <v>0</v>
      </c>
      <c r="X50" s="17" t="n">
        <f aca="false">IF(OR($O50="",$W50=""),"",$O50-$W50)</f>
        <v>0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2008</v>
      </c>
      <c r="D51" s="36" t="n">
        <f aca="false">SUM(D31:D50)</f>
        <v>271024</v>
      </c>
      <c r="E51" s="36" t="n">
        <f aca="false">SUM(E31:E50)</f>
        <v>518367</v>
      </c>
      <c r="F51" s="37" t="n">
        <f aca="false">SUM(F31:F50)</f>
        <v>-247343</v>
      </c>
      <c r="G51" s="38" t="n">
        <f aca="false">IF(C51=0,"",IFERROR(F51/E51,""))</f>
        <v>-0.477158075263279</v>
      </c>
      <c r="H51" s="36" t="n">
        <f aca="false">SUM(H31:H50)</f>
        <v>2679</v>
      </c>
      <c r="I51" s="36" t="n">
        <f aca="false">SUM(I31:I50)</f>
        <v>3542</v>
      </c>
      <c r="J51" s="37" t="n">
        <f aca="false">SUM(J31:J50)</f>
        <v>-863</v>
      </c>
      <c r="K51" s="38" t="n">
        <f aca="false">IF(C51=0,"",IFERROR(J51/I51,""))</f>
        <v>-0.243647656691135</v>
      </c>
      <c r="L51" s="36" t="n">
        <f aca="false">IFERROR(D51/C51,"")</f>
        <v>134.972111553785</v>
      </c>
      <c r="M51" s="36" t="n">
        <f aca="false">IFERROR(H51/D51*1000,"")</f>
        <v>9.88473345533975</v>
      </c>
      <c r="N51" s="36" t="n">
        <f aca="false">SUM(N31:N50)</f>
        <v>107004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0.929532587130419</v>
      </c>
      <c r="T51" s="24" t="n">
        <f aca="false">IF(OR($G51="",$S51=""),"",$G51-$S51)</f>
        <v>-1.4066906623937</v>
      </c>
      <c r="U51" s="23" t="n">
        <f aca="true">IFERROR(IF(ISBLANK(INDIRECT("'"&amp;$Q$2&amp;"'!K"&amp;ROW())),"",INDIRECT("'"&amp;$Q$2&amp;"'!K"&amp;ROW())),"")</f>
        <v>-0.0564730953649441</v>
      </c>
      <c r="V51" s="24" t="n">
        <f aca="false">IF(OR($K51="",$U51=""),"",$K51-$U51)</f>
        <v>-0.187174561326191</v>
      </c>
      <c r="W51" s="25" t="n">
        <f aca="true">IFERROR(IF(ISBLANK(INDIRECT("'"&amp;$Q$2&amp;"'!O"&amp;ROW())),"",INDIRECT("'"&amp;$Q$2&amp;"'!O"&amp;ROW())),"")</f>
        <v>49</v>
      </c>
      <c r="X51" s="25" t="n">
        <f aca="false">IF(OR(C51=0,$O51="",$W51=""),"",$O51-$W51)</f>
        <v>-1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149</v>
      </c>
      <c r="D52" s="32" t="n">
        <v>41618</v>
      </c>
      <c r="E52" s="32" t="n">
        <f aca="true">IF($D52="","",IFERROR(IF(ISBLANK(INDIRECT("'"&amp;$Q$2&amp;"'!D"&amp;ROW())),"",INDIRECT("'"&amp;$Q$2&amp;"'!D"&amp;ROW())),""))</f>
        <v>78442</v>
      </c>
      <c r="F52" s="33" t="n">
        <f aca="false">IF(OR(D52="",E52=""),"",D52-E52)</f>
        <v>-36824</v>
      </c>
      <c r="G52" s="34" t="n">
        <f aca="false">IFERROR(F52/E52,"")</f>
        <v>-0.46944239055608</v>
      </c>
      <c r="H52" s="32" t="n">
        <v>257</v>
      </c>
      <c r="I52" s="32" t="n">
        <f aca="true">IF($H52="","",IFERROR(IF(ISBLANK(INDIRECT("'"&amp;$Q$2&amp;"'!H"&amp;ROW())),"",INDIRECT("'"&amp;$Q$2&amp;"'!H"&amp;ROW())),""))</f>
        <v>366</v>
      </c>
      <c r="J52" s="33" t="n">
        <f aca="false">IF(OR(H52="",I52=""),"",H52-I52)</f>
        <v>-109</v>
      </c>
      <c r="K52" s="34" t="n">
        <f aca="false">IFERROR(J52/I52,"")</f>
        <v>-0.297814207650273</v>
      </c>
      <c r="L52" s="32" t="n">
        <f aca="false">IFERROR(D52/C52,"")</f>
        <v>279.315436241611</v>
      </c>
      <c r="M52" s="32" t="n">
        <f aca="false">IFERROR(H52/D52*1000,"")</f>
        <v>6.1752126483733</v>
      </c>
      <c r="N52" s="32" t="n">
        <v>11789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n">
        <f aca="true">IFERROR(IF(ISBLANK(INDIRECT("'"&amp;$Q$2&amp;"'!G"&amp;ROW())),"",INDIRECT("'"&amp;$Q$2&amp;"'!G"&amp;ROW())),"")</f>
        <v>1.24826597879048</v>
      </c>
      <c r="T52" s="16" t="n">
        <f aca="false">IF(OR($G52="",$S52=""),"",$G52-$S52)</f>
        <v>-1.71770836934656</v>
      </c>
      <c r="U52" s="15" t="n">
        <f aca="true">IFERROR(IF(ISBLANK(INDIRECT("'"&amp;$Q$2&amp;"'!K"&amp;ROW())),"",INDIRECT("'"&amp;$Q$2&amp;"'!K"&amp;ROW())),"")</f>
        <v>0.59825327510917</v>
      </c>
      <c r="V52" s="16" t="n">
        <f aca="false">IF(OR($K52="",$U52=""),"",$K52-$U52)</f>
        <v>-0.896067482759444</v>
      </c>
      <c r="W52" s="17" t="n">
        <f aca="true">IFERROR(IF(ISBLANK(INDIRECT("'"&amp;$Q$2&amp;"'!O"&amp;ROW())),"",INDIRECT("'"&amp;$Q$2&amp;"'!O"&amp;ROW())),"")</f>
        <v>-10</v>
      </c>
      <c r="X52" s="17" t="n">
        <f aca="false">IF(OR($O52="",$W52=""),"",$O52-$W52)</f>
        <v>-12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149</v>
      </c>
      <c r="D53" s="32" t="n">
        <v>34910</v>
      </c>
      <c r="E53" s="32" t="n">
        <f aca="true">IF($D53="","",IFERROR(IF(ISBLANK(INDIRECT("'"&amp;$Q$2&amp;"'!D"&amp;ROW())),"",INDIRECT("'"&amp;$Q$2&amp;"'!D"&amp;ROW())),""))</f>
        <v>17966</v>
      </c>
      <c r="F53" s="33" t="n">
        <f aca="false">IF(OR(D53="",E53=""),"",D53-E53)</f>
        <v>16944</v>
      </c>
      <c r="G53" s="34" t="n">
        <f aca="false">IFERROR(F53/E53,"")</f>
        <v>0.943114772347768</v>
      </c>
      <c r="H53" s="32" t="n">
        <v>41</v>
      </c>
      <c r="I53" s="32" t="n">
        <f aca="true">IF($H53="","",IFERROR(IF(ISBLANK(INDIRECT("'"&amp;$Q$2&amp;"'!H"&amp;ROW())),"",INDIRECT("'"&amp;$Q$2&amp;"'!H"&amp;ROW())),""))</f>
        <v>50</v>
      </c>
      <c r="J53" s="33" t="n">
        <f aca="false">IF(OR(H53="",I53=""),"",H53-I53)</f>
        <v>-9</v>
      </c>
      <c r="K53" s="34" t="n">
        <f aca="false">IFERROR(J53/I53,"")</f>
        <v>-0.18</v>
      </c>
      <c r="L53" s="32" t="n">
        <f aca="false">IFERROR(D53/C53,"")</f>
        <v>234.295302013423</v>
      </c>
      <c r="M53" s="32" t="n">
        <f aca="false">IFERROR(H53/D53*1000,"")</f>
        <v>1.17444858206818</v>
      </c>
      <c r="N53" s="32" t="n">
        <v>4817</v>
      </c>
      <c r="O53" s="33" t="n">
        <f aca="true">IFERROR(IF(OR(N53="",ISBLANK(INDIRECT("'"&amp;$Q$2&amp;"'!N"&amp;ROW()))),"",N53-INDIRECT("'"&amp;$Q$2&amp;"'!N"&amp;ROW())),"")</f>
        <v>2</v>
      </c>
      <c r="P53" s="3"/>
      <c r="Q53" s="3"/>
      <c r="R53" s="3"/>
      <c r="S53" s="15" t="n">
        <f aca="true">IFERROR(IF(ISBLANK(INDIRECT("'"&amp;$Q$2&amp;"'!G"&amp;ROW())),"",INDIRECT("'"&amp;$Q$2&amp;"'!G"&amp;ROW())),"")</f>
        <v>-0.453156388871979</v>
      </c>
      <c r="T53" s="16" t="n">
        <f aca="false">IF(OR($G53="",$S53=""),"",$G53-$S53)</f>
        <v>1.39627116121975</v>
      </c>
      <c r="U53" s="15" t="n">
        <f aca="true">IFERROR(IF(ISBLANK(INDIRECT("'"&amp;$Q$2&amp;"'!K"&amp;ROW())),"",INDIRECT("'"&amp;$Q$2&amp;"'!K"&amp;ROW())),"")</f>
        <v>0.388888888888889</v>
      </c>
      <c r="V53" s="16" t="n">
        <f aca="false">IF(OR($K53="",$U53=""),"",$K53-$U53)</f>
        <v>-0.568888888888889</v>
      </c>
      <c r="W53" s="17" t="n">
        <f aca="true">IFERROR(IF(ISBLANK(INDIRECT("'"&amp;$Q$2&amp;"'!O"&amp;ROW())),"",INDIRECT("'"&amp;$Q$2&amp;"'!O"&amp;ROW())),"")</f>
        <v>-10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101</v>
      </c>
      <c r="D54" s="32" t="n">
        <v>2614</v>
      </c>
      <c r="E54" s="32" t="n">
        <f aca="true">IF($D54="","",IFERROR(IF(ISBLANK(INDIRECT("'"&amp;$Q$2&amp;"'!D"&amp;ROW())),"",INDIRECT("'"&amp;$Q$2&amp;"'!D"&amp;ROW())),""))</f>
        <v>2324</v>
      </c>
      <c r="F54" s="33" t="n">
        <f aca="false">IF(OR(D54="",E54=""),"",D54-E54)</f>
        <v>290</v>
      </c>
      <c r="G54" s="34" t="n">
        <f aca="false">IFERROR(F54/E54,"")</f>
        <v>0.124784853700516</v>
      </c>
      <c r="H54" s="32" t="n">
        <v>1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-1</v>
      </c>
      <c r="K54" s="34" t="n">
        <f aca="false">IFERROR(J54/I54,"")</f>
        <v>-0.5</v>
      </c>
      <c r="L54" s="32" t="n">
        <f aca="false">IFERROR(D54/C54,"")</f>
        <v>25.8811881188119</v>
      </c>
      <c r="M54" s="32" t="n">
        <f aca="false">IFERROR(H54/D54*1000,"")</f>
        <v>0.382555470543229</v>
      </c>
      <c r="N54" s="32" t="n">
        <v>873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0.521938441388343</v>
      </c>
      <c r="T54" s="16" t="n">
        <f aca="false">IF(OR($G54="",$S54=""),"",$G54-$S54)</f>
        <v>-0.397153587687827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0</v>
      </c>
      <c r="W54" s="17" t="n">
        <f aca="true">IFERROR(IF(ISBLANK(INDIRECT("'"&amp;$Q$2&amp;"'!O"&amp;ROW())),"",INDIRECT("'"&amp;$Q$2&amp;"'!O"&amp;ROW())),"")</f>
        <v>3</v>
      </c>
      <c r="X54" s="17" t="n">
        <f aca="false">IF(OR($O54="",$W54=""),"",$O54-$W54)</f>
        <v>-6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10</v>
      </c>
      <c r="D55" s="32" t="n">
        <v>34446</v>
      </c>
      <c r="E55" s="32" t="n">
        <f aca="true">IF($D55="","",IFERROR(IF(ISBLANK(INDIRECT("'"&amp;$Q$2&amp;"'!D"&amp;ROW())),"",INDIRECT("'"&amp;$Q$2&amp;"'!D"&amp;ROW())),""))</f>
        <v>25402</v>
      </c>
      <c r="F55" s="33" t="n">
        <f aca="false">IF(OR(D55="",E55=""),"",D55-E55)</f>
        <v>9044</v>
      </c>
      <c r="G55" s="34" t="n">
        <f aca="false">IFERROR(F55/E55,"")</f>
        <v>0.356034957877332</v>
      </c>
      <c r="H55" s="32" t="n">
        <v>28</v>
      </c>
      <c r="I55" s="32" t="n">
        <f aca="true">IF($H55="","",IFERROR(IF(ISBLANK(INDIRECT("'"&amp;$Q$2&amp;"'!H"&amp;ROW())),"",INDIRECT("'"&amp;$Q$2&amp;"'!H"&amp;ROW())),""))</f>
        <v>31</v>
      </c>
      <c r="J55" s="33" t="n">
        <f aca="false">IF(OR(H55="",I55=""),"",H55-I55)</f>
        <v>-3</v>
      </c>
      <c r="K55" s="34" t="n">
        <f aca="false">IFERROR(J55/I55,"")</f>
        <v>-0.0967741935483871</v>
      </c>
      <c r="L55" s="32" t="n">
        <f aca="false">IFERROR(D55/C55,"")</f>
        <v>3444.6</v>
      </c>
      <c r="M55" s="32" t="n">
        <f aca="false">IFERROR(H55/D55*1000,"")</f>
        <v>0.812866515705742</v>
      </c>
      <c r="N55" s="32" t="n">
        <v>13819</v>
      </c>
      <c r="O55" s="33" t="n">
        <f aca="true">IFERROR(IF(OR(N55="",ISBLANK(INDIRECT("'"&amp;$Q$2&amp;"'!N"&amp;ROW()))),"",N55-INDIRECT("'"&amp;$Q$2&amp;"'!N"&amp;ROW())),"")</f>
        <v>-16</v>
      </c>
      <c r="P55" s="3"/>
      <c r="Q55" s="3"/>
      <c r="R55" s="3"/>
      <c r="S55" s="15" t="n">
        <f aca="true">IFERROR(IF(ISBLANK(INDIRECT("'"&amp;$Q$2&amp;"'!G"&amp;ROW())),"",INDIRECT("'"&amp;$Q$2&amp;"'!G"&amp;ROW())),"")</f>
        <v>5.75764831072094</v>
      </c>
      <c r="T55" s="16" t="n">
        <f aca="false">IF(OR($G55="",$S55=""),"",$G55-$S55)</f>
        <v>-5.4016133528436</v>
      </c>
      <c r="U55" s="15" t="n">
        <f aca="true">IFERROR(IF(ISBLANK(INDIRECT("'"&amp;$Q$2&amp;"'!K"&amp;ROW())),"",INDIRECT("'"&amp;$Q$2&amp;"'!K"&amp;ROW())),"")</f>
        <v>0.722222222222222</v>
      </c>
      <c r="V55" s="16" t="n">
        <f aca="false">IF(OR($K55="",$U55=""),"",$K55-$U55)</f>
        <v>-0.818996415770609</v>
      </c>
      <c r="W55" s="17" t="n">
        <f aca="true">IFERROR(IF(ISBLANK(INDIRECT("'"&amp;$Q$2&amp;"'!O"&amp;ROW())),"",INDIRECT("'"&amp;$Q$2&amp;"'!O"&amp;ROW())),"")</f>
        <v>-22</v>
      </c>
      <c r="X55" s="17" t="n">
        <f aca="false">IF(OR($O55="",$W55=""),"",$O55-$W55)</f>
        <v>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1684</v>
      </c>
      <c r="E56" s="32" t="n">
        <f aca="true">IF($D56="","",IFERROR(IF(ISBLANK(INDIRECT("'"&amp;$Q$2&amp;"'!D"&amp;ROW())),"",INDIRECT("'"&amp;$Q$2&amp;"'!D"&amp;ROW())),""))</f>
        <v>395</v>
      </c>
      <c r="F56" s="33" t="n">
        <f aca="false">IF(OR(D56="",E56=""),"",D56-E56)</f>
        <v>1289</v>
      </c>
      <c r="G56" s="34" t="n">
        <f aca="false">IFERROR(F56/E56,"")</f>
        <v>3.26329113924051</v>
      </c>
      <c r="H56" s="32" t="n">
        <v>10</v>
      </c>
      <c r="I56" s="32" t="n">
        <f aca="true">IF($H56="","",IFERROR(IF(ISBLANK(INDIRECT("'"&amp;$Q$2&amp;"'!H"&amp;ROW())),"",INDIRECT("'"&amp;$Q$2&amp;"'!H"&amp;ROW())),""))</f>
        <v>15</v>
      </c>
      <c r="J56" s="33" t="n">
        <f aca="false">IF(OR(H56="",I56=""),"",H56-I56)</f>
        <v>-5</v>
      </c>
      <c r="K56" s="34" t="n">
        <f aca="false">IFERROR(J56/I56,"")</f>
        <v>-0.333333333333333</v>
      </c>
      <c r="L56" s="32" t="n">
        <f aca="false">IFERROR(D56/C56,"")</f>
        <v>210.5</v>
      </c>
      <c r="M56" s="32" t="n">
        <f aca="false">IFERROR(H56/D56*1000,"")</f>
        <v>5.93824228028504</v>
      </c>
      <c r="N56" s="32" t="n">
        <v>8660</v>
      </c>
      <c r="O56" s="33" t="n">
        <f aca="true">IFERROR(IF(OR(N56="",ISBLANK(INDIRECT("'"&amp;$Q$2&amp;"'!N"&amp;ROW()))),"",N56-INDIRECT("'"&amp;$Q$2&amp;"'!N"&amp;ROW())),"")</f>
        <v>-4</v>
      </c>
      <c r="P56" s="3"/>
      <c r="Q56" s="3"/>
      <c r="R56" s="3"/>
      <c r="S56" s="15" t="n">
        <f aca="true">IFERROR(IF(ISBLANK(INDIRECT("'"&amp;$Q$2&amp;"'!G"&amp;ROW())),"",INDIRECT("'"&amp;$Q$2&amp;"'!G"&amp;ROW())),"")</f>
        <v>-0.863132363132363</v>
      </c>
      <c r="T56" s="16" t="n">
        <f aca="false">IF(OR($G56="",$S56=""),"",$G56-$S56)</f>
        <v>4.12642350237287</v>
      </c>
      <c r="U56" s="15" t="n">
        <f aca="true">IFERROR(IF(ISBLANK(INDIRECT("'"&amp;$Q$2&amp;"'!K"&amp;ROW())),"",INDIRECT("'"&amp;$Q$2&amp;"'!K"&amp;ROW())),"")</f>
        <v>0.666666666666667</v>
      </c>
      <c r="V56" s="16" t="n">
        <f aca="false">IF(OR($K56="",$U56=""),"",$K56-$U56)</f>
        <v>-1</v>
      </c>
      <c r="W56" s="17" t="n">
        <f aca="true">IFERROR(IF(ISBLANK(INDIRECT("'"&amp;$Q$2&amp;"'!O"&amp;ROW())),"",INDIRECT("'"&amp;$Q$2&amp;"'!O"&amp;ROW())),"")</f>
        <v>-14</v>
      </c>
      <c r="X56" s="17" t="n">
        <f aca="false">IF(OR($O56="",$W56=""),"",$O56-$W56)</f>
        <v>10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128</v>
      </c>
      <c r="D57" s="32" t="n">
        <v>80456</v>
      </c>
      <c r="E57" s="32" t="n">
        <f aca="true">IF($D57="","",IFERROR(IF(ISBLANK(INDIRECT("'"&amp;$Q$2&amp;"'!D"&amp;ROW())),"",INDIRECT("'"&amp;$Q$2&amp;"'!D"&amp;ROW())),""))</f>
        <v>116631</v>
      </c>
      <c r="F57" s="33" t="n">
        <f aca="false">IF(OR(D57="",E57=""),"",D57-E57)</f>
        <v>-36175</v>
      </c>
      <c r="G57" s="34" t="n">
        <f aca="false">IFERROR(F57/E57,"")</f>
        <v>-0.310166250825252</v>
      </c>
      <c r="H57" s="32" t="n">
        <v>347</v>
      </c>
      <c r="I57" s="32" t="n">
        <f aca="true">IF($H57="","",IFERROR(IF(ISBLANK(INDIRECT("'"&amp;$Q$2&amp;"'!H"&amp;ROW())),"",INDIRECT("'"&amp;$Q$2&amp;"'!H"&amp;ROW())),""))</f>
        <v>563</v>
      </c>
      <c r="J57" s="33" t="n">
        <f aca="false">IF(OR(H57="",I57=""),"",H57-I57)</f>
        <v>-216</v>
      </c>
      <c r="K57" s="34" t="n">
        <f aca="false">IFERROR(J57/I57,"")</f>
        <v>-0.383658969804618</v>
      </c>
      <c r="L57" s="32" t="n">
        <f aca="false">IFERROR(D57/C57,"")</f>
        <v>628.5625</v>
      </c>
      <c r="M57" s="32" t="n">
        <f aca="false">IFERROR(H57/D57*1000,"")</f>
        <v>4.31291637665308</v>
      </c>
      <c r="N57" s="32" t="n">
        <v>10912</v>
      </c>
      <c r="O57" s="33" t="n">
        <f aca="true">IFERROR(IF(OR(N57="",ISBLANK(INDIRECT("'"&amp;$Q$2&amp;"'!N"&amp;ROW()))),"",N57-INDIRECT("'"&amp;$Q$2&amp;"'!N"&amp;ROW())),"")</f>
        <v>-16</v>
      </c>
      <c r="P57" s="3"/>
      <c r="Q57" s="3"/>
      <c r="R57" s="3"/>
      <c r="S57" s="15" t="n">
        <f aca="true">IFERROR(IF(ISBLANK(INDIRECT("'"&amp;$Q$2&amp;"'!G"&amp;ROW())),"",INDIRECT("'"&amp;$Q$2&amp;"'!G"&amp;ROW())),"")</f>
        <v>0.335046531060771</v>
      </c>
      <c r="T57" s="16" t="n">
        <f aca="false">IF(OR($G57="",$S57=""),"",$G57-$S57)</f>
        <v>-0.645212781886023</v>
      </c>
      <c r="U57" s="15" t="n">
        <f aca="true">IFERROR(IF(ISBLANK(INDIRECT("'"&amp;$Q$2&amp;"'!K"&amp;ROW())),"",INDIRECT("'"&amp;$Q$2&amp;"'!K"&amp;ROW())),"")</f>
        <v>0.568245125348189</v>
      </c>
      <c r="V57" s="16" t="n">
        <f aca="false">IF(OR($K57="",$U57=""),"",$K57-$U57)</f>
        <v>-0.951904095152808</v>
      </c>
      <c r="W57" s="17" t="n">
        <f aca="true">IFERROR(IF(ISBLANK(INDIRECT("'"&amp;$Q$2&amp;"'!O"&amp;ROW())),"",INDIRECT("'"&amp;$Q$2&amp;"'!O"&amp;ROW())),"")</f>
        <v>53</v>
      </c>
      <c r="X57" s="17" t="n">
        <f aca="false">IF(OR($O57="",$W57=""),"",$O57-$W57)</f>
        <v>-69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124</v>
      </c>
      <c r="D58" s="32" t="n">
        <v>24487</v>
      </c>
      <c r="E58" s="32" t="n">
        <f aca="true">IF($D58="","",IFERROR(IF(ISBLANK(INDIRECT("'"&amp;$Q$2&amp;"'!D"&amp;ROW())),"",INDIRECT("'"&amp;$Q$2&amp;"'!D"&amp;ROW())),""))</f>
        <v>21703</v>
      </c>
      <c r="F58" s="33" t="n">
        <f aca="false">IF(OR(D58="",E58=""),"",D58-E58)</f>
        <v>2784</v>
      </c>
      <c r="G58" s="34" t="n">
        <f aca="false">IFERROR(F58/E58,"")</f>
        <v>0.128277196700917</v>
      </c>
      <c r="H58" s="32" t="n">
        <v>280</v>
      </c>
      <c r="I58" s="32" t="n">
        <f aca="true">IF($H58="","",IFERROR(IF(ISBLANK(INDIRECT("'"&amp;$Q$2&amp;"'!H"&amp;ROW())),"",INDIRECT("'"&amp;$Q$2&amp;"'!H"&amp;ROW())),""))</f>
        <v>293</v>
      </c>
      <c r="J58" s="33" t="n">
        <f aca="false">IF(OR(H58="",I58=""),"",H58-I58)</f>
        <v>-13</v>
      </c>
      <c r="K58" s="34" t="n">
        <f aca="false">IFERROR(J58/I58,"")</f>
        <v>-0.0443686006825939</v>
      </c>
      <c r="L58" s="32" t="n">
        <f aca="false">IFERROR(D58/C58,"")</f>
        <v>197.475806451613</v>
      </c>
      <c r="M58" s="32" t="n">
        <f aca="false">IFERROR(H58/D58*1000,"")</f>
        <v>11.4346387879283</v>
      </c>
      <c r="N58" s="32" t="n">
        <v>4109</v>
      </c>
      <c r="O58" s="33" t="n">
        <f aca="true">IFERROR(IF(OR(N58="",ISBLANK(INDIRECT("'"&amp;$Q$2&amp;"'!N"&amp;ROW()))),"",N58-INDIRECT("'"&amp;$Q$2&amp;"'!N"&amp;ROW())),"")</f>
        <v>-11</v>
      </c>
      <c r="P58" s="3"/>
      <c r="Q58" s="3"/>
      <c r="R58" s="3"/>
      <c r="S58" s="15" t="n">
        <f aca="true">IFERROR(IF(ISBLANK(INDIRECT("'"&amp;$Q$2&amp;"'!G"&amp;ROW())),"",INDIRECT("'"&amp;$Q$2&amp;"'!G"&amp;ROW())),"")</f>
        <v>-0.155426703506246</v>
      </c>
      <c r="T58" s="16" t="n">
        <f aca="false">IF(OR($G58="",$S58=""),"",$G58-$S58)</f>
        <v>0.283703900207163</v>
      </c>
      <c r="U58" s="15" t="n">
        <f aca="true">IFERROR(IF(ISBLANK(INDIRECT("'"&amp;$Q$2&amp;"'!K"&amp;ROW())),"",INDIRECT("'"&amp;$Q$2&amp;"'!K"&amp;ROW())),"")</f>
        <v>0.0693430656934307</v>
      </c>
      <c r="V58" s="16" t="n">
        <f aca="false">IF(OR($K58="",$U58=""),"",$K58-$U58)</f>
        <v>-0.113711666376025</v>
      </c>
      <c r="W58" s="17" t="n">
        <f aca="true">IFERROR(IF(ISBLANK(INDIRECT("'"&amp;$Q$2&amp;"'!O"&amp;ROW())),"",INDIRECT("'"&amp;$Q$2&amp;"'!O"&amp;ROW())),"")</f>
        <v>-12</v>
      </c>
      <c r="X58" s="17" t="n">
        <f aca="false">IF(OR($O58="",$W58=""),"",$O58-$W58)</f>
        <v>1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119</v>
      </c>
      <c r="D59" s="32" t="n">
        <v>37935</v>
      </c>
      <c r="E59" s="32" t="n">
        <f aca="true">IF($D59="","",IFERROR(IF(ISBLANK(INDIRECT("'"&amp;$Q$2&amp;"'!D"&amp;ROW())),"",INDIRECT("'"&amp;$Q$2&amp;"'!D"&amp;ROW())),""))</f>
        <v>35309</v>
      </c>
      <c r="F59" s="33" t="n">
        <f aca="false">IF(OR(D59="",E59=""),"",D59-E59)</f>
        <v>2626</v>
      </c>
      <c r="G59" s="34" t="n">
        <f aca="false">IFERROR(F59/E59,"")</f>
        <v>0.0743719731513212</v>
      </c>
      <c r="H59" s="32" t="n">
        <v>235</v>
      </c>
      <c r="I59" s="32" t="n">
        <f aca="true">IF($H59="","",IFERROR(IF(ISBLANK(INDIRECT("'"&amp;$Q$2&amp;"'!H"&amp;ROW())),"",INDIRECT("'"&amp;$Q$2&amp;"'!H"&amp;ROW())),""))</f>
        <v>269</v>
      </c>
      <c r="J59" s="33" t="n">
        <f aca="false">IF(OR(H59="",I59=""),"",H59-I59)</f>
        <v>-34</v>
      </c>
      <c r="K59" s="34" t="n">
        <f aca="false">IFERROR(J59/I59,"")</f>
        <v>-0.12639405204461</v>
      </c>
      <c r="L59" s="32" t="n">
        <f aca="false">IFERROR(D59/C59,"")</f>
        <v>318.781512605042</v>
      </c>
      <c r="M59" s="32" t="n">
        <f aca="false">IFERROR(H59/D59*1000,"")</f>
        <v>6.19480690655068</v>
      </c>
      <c r="N59" s="32" t="n">
        <v>5527</v>
      </c>
      <c r="O59" s="33" t="n">
        <f aca="true">IFERROR(IF(OR(N59="",ISBLANK(INDIRECT("'"&amp;$Q$2&amp;"'!N"&amp;ROW()))),"",N59-INDIRECT("'"&amp;$Q$2&amp;"'!N"&amp;ROW())),"")</f>
        <v>-22</v>
      </c>
      <c r="P59" s="3"/>
      <c r="Q59" s="3"/>
      <c r="R59" s="3"/>
      <c r="S59" s="15" t="n">
        <f aca="true">IFERROR(IF(ISBLANK(INDIRECT("'"&amp;$Q$2&amp;"'!G"&amp;ROW())),"",INDIRECT("'"&amp;$Q$2&amp;"'!G"&amp;ROW())),"")</f>
        <v>-0.112638536352442</v>
      </c>
      <c r="T59" s="16" t="n">
        <f aca="false">IF(OR($G59="",$S59=""),"",$G59-$S59)</f>
        <v>0.187010509503763</v>
      </c>
      <c r="U59" s="15" t="n">
        <f aca="true">IFERROR(IF(ISBLANK(INDIRECT("'"&amp;$Q$2&amp;"'!K"&amp;ROW())),"",INDIRECT("'"&amp;$Q$2&amp;"'!K"&amp;ROW())),"")</f>
        <v>-0.36104513064133</v>
      </c>
      <c r="V59" s="16" t="n">
        <f aca="false">IF(OR($K59="",$U59=""),"",$K59-$U59)</f>
        <v>0.234651078596721</v>
      </c>
      <c r="W59" s="17" t="n">
        <f aca="true">IFERROR(IF(ISBLANK(INDIRECT("'"&amp;$Q$2&amp;"'!O"&amp;ROW())),"",INDIRECT("'"&amp;$Q$2&amp;"'!O"&amp;ROW())),"")</f>
        <v>0</v>
      </c>
      <c r="X59" s="17" t="n">
        <f aca="false">IF(OR($O59="",$W59=""),"",$O59-$W59)</f>
        <v>-22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155</v>
      </c>
      <c r="D60" s="32" t="n">
        <v>65888</v>
      </c>
      <c r="E60" s="32" t="n">
        <f aca="true">IF($D60="","",IFERROR(IF(ISBLANK(INDIRECT("'"&amp;$Q$2&amp;"'!D"&amp;ROW())),"",INDIRECT("'"&amp;$Q$2&amp;"'!D"&amp;ROW())),""))</f>
        <v>71836</v>
      </c>
      <c r="F60" s="33" t="n">
        <f aca="false">IF(OR(D60="",E60=""),"",D60-E60)</f>
        <v>-5948</v>
      </c>
      <c r="G60" s="34" t="n">
        <f aca="false">IFERROR(F60/E60,"")</f>
        <v>-0.0827997104515842</v>
      </c>
      <c r="H60" s="32" t="n">
        <v>167</v>
      </c>
      <c r="I60" s="32" t="n">
        <f aca="true">IF($H60="","",IFERROR(IF(ISBLANK(INDIRECT("'"&amp;$Q$2&amp;"'!H"&amp;ROW())),"",INDIRECT("'"&amp;$Q$2&amp;"'!H"&amp;ROW())),""))</f>
        <v>267</v>
      </c>
      <c r="J60" s="33" t="n">
        <f aca="false">IF(OR(H60="",I60=""),"",H60-I60)</f>
        <v>-100</v>
      </c>
      <c r="K60" s="34" t="n">
        <f aca="false">IFERROR(J60/I60,"")</f>
        <v>-0.374531835205993</v>
      </c>
      <c r="L60" s="32" t="n">
        <f aca="false">IFERROR(D60/C60,"")</f>
        <v>425.083870967742</v>
      </c>
      <c r="M60" s="32" t="n">
        <f aca="false">IFERROR(H60/D60*1000,"")</f>
        <v>2.53460417678485</v>
      </c>
      <c r="N60" s="32" t="n">
        <v>10422</v>
      </c>
      <c r="O60" s="33" t="n">
        <f aca="true">IFERROR(IF(OR(N60="",ISBLANK(INDIRECT("'"&amp;$Q$2&amp;"'!N"&amp;ROW()))),"",N60-INDIRECT("'"&amp;$Q$2&amp;"'!N"&amp;ROW())),"")</f>
        <v>-25</v>
      </c>
      <c r="P60" s="3"/>
      <c r="Q60" s="3"/>
      <c r="R60" s="3"/>
      <c r="S60" s="15" t="n">
        <f aca="true">IFERROR(IF(ISBLANK(INDIRECT("'"&amp;$Q$2&amp;"'!G"&amp;ROW())),"",INDIRECT("'"&amp;$Q$2&amp;"'!G"&amp;ROW())),"")</f>
        <v>0.392386416498682</v>
      </c>
      <c r="T60" s="16" t="n">
        <f aca="false">IF(OR($G60="",$S60=""),"",$G60-$S60)</f>
        <v>-0.475186126950266</v>
      </c>
      <c r="U60" s="15" t="n">
        <f aca="true">IFERROR(IF(ISBLANK(INDIRECT("'"&amp;$Q$2&amp;"'!K"&amp;ROW())),"",INDIRECT("'"&amp;$Q$2&amp;"'!K"&amp;ROW())),"")</f>
        <v>0.18141592920354</v>
      </c>
      <c r="V60" s="16" t="n">
        <f aca="false">IF(OR($K60="",$U60=""),"",$K60-$U60)</f>
        <v>-0.555947764409532</v>
      </c>
      <c r="W60" s="17" t="n">
        <f aca="true">IFERROR(IF(ISBLANK(INDIRECT("'"&amp;$Q$2&amp;"'!O"&amp;ROW())),"",INDIRECT("'"&amp;$Q$2&amp;"'!O"&amp;ROW())),"")</f>
        <v>-12</v>
      </c>
      <c r="X60" s="17" t="n">
        <f aca="false">IF(OR($O60="",$W60=""),"",$O60-$W60)</f>
        <v>-13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114</v>
      </c>
      <c r="D61" s="32" t="n">
        <v>42793</v>
      </c>
      <c r="E61" s="32" t="n">
        <f aca="true">IF($D61="","",IFERROR(IF(ISBLANK(INDIRECT("'"&amp;$Q$2&amp;"'!D"&amp;ROW())),"",INDIRECT("'"&amp;$Q$2&amp;"'!D"&amp;ROW())),""))</f>
        <v>10230</v>
      </c>
      <c r="F61" s="33" t="n">
        <f aca="false">IF(OR(D61="",E61=""),"",D61-E61)</f>
        <v>32563</v>
      </c>
      <c r="G61" s="34" t="n">
        <f aca="false">IFERROR(F61/E61,"")</f>
        <v>3.1830889540567</v>
      </c>
      <c r="H61" s="32" t="n">
        <v>131</v>
      </c>
      <c r="I61" s="32" t="n">
        <f aca="true">IF($H61="","",IFERROR(IF(ISBLANK(INDIRECT("'"&amp;$Q$2&amp;"'!H"&amp;ROW())),"",INDIRECT("'"&amp;$Q$2&amp;"'!H"&amp;ROW())),""))</f>
        <v>88</v>
      </c>
      <c r="J61" s="33" t="n">
        <f aca="false">IF(OR(H61="",I61=""),"",H61-I61)</f>
        <v>43</v>
      </c>
      <c r="K61" s="34" t="n">
        <f aca="false">IFERROR(J61/I61,"")</f>
        <v>0.488636363636364</v>
      </c>
      <c r="L61" s="32" t="n">
        <f aca="false">IFERROR(D61/C61,"")</f>
        <v>375.377192982456</v>
      </c>
      <c r="M61" s="32" t="n">
        <f aca="false">IFERROR(H61/D61*1000,"")</f>
        <v>3.06124833500806</v>
      </c>
      <c r="N61" s="32" t="n">
        <v>2317</v>
      </c>
      <c r="O61" s="33" t="n">
        <f aca="true">IFERROR(IF(OR(N61="",ISBLANK(INDIRECT("'"&amp;$Q$2&amp;"'!N"&amp;ROW()))),"",N61-INDIRECT("'"&amp;$Q$2&amp;"'!N"&amp;ROW())),"")</f>
        <v>-2</v>
      </c>
      <c r="P61" s="3"/>
      <c r="Q61" s="3"/>
      <c r="R61" s="3"/>
      <c r="S61" s="15" t="n">
        <f aca="true">IFERROR(IF(ISBLANK(INDIRECT("'"&amp;$Q$2&amp;"'!G"&amp;ROW())),"",INDIRECT("'"&amp;$Q$2&amp;"'!G"&amp;ROW())),"")</f>
        <v>0.258767072720561</v>
      </c>
      <c r="T61" s="16" t="n">
        <f aca="false">IF(OR($G61="",$S61=""),"",$G61-$S61)</f>
        <v>2.92432188133613</v>
      </c>
      <c r="U61" s="15" t="n">
        <f aca="true">IFERROR(IF(ISBLANK(INDIRECT("'"&amp;$Q$2&amp;"'!K"&amp;ROW())),"",INDIRECT("'"&amp;$Q$2&amp;"'!K"&amp;ROW())),"")</f>
        <v>5.76923076923077</v>
      </c>
      <c r="V61" s="16" t="n">
        <f aca="false">IF(OR($K61="",$U61=""),"",$K61-$U61)</f>
        <v>-5.28059440559441</v>
      </c>
      <c r="W61" s="17" t="n">
        <f aca="true">IFERROR(IF(ISBLANK(INDIRECT("'"&amp;$Q$2&amp;"'!O"&amp;ROW())),"",INDIRECT("'"&amp;$Q$2&amp;"'!O"&amp;ROW())),"")</f>
        <v>1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77</v>
      </c>
      <c r="D62" s="32" t="n">
        <v>6106</v>
      </c>
      <c r="E62" s="32" t="n">
        <f aca="true">IF($D62="","",IFERROR(IF(ISBLANK(INDIRECT("'"&amp;$Q$2&amp;"'!D"&amp;ROW())),"",INDIRECT("'"&amp;$Q$2&amp;"'!D"&amp;ROW())),""))</f>
        <v>3879</v>
      </c>
      <c r="F62" s="33" t="n">
        <f aca="false">IF(OR(D62="",E62=""),"",D62-E62)</f>
        <v>2227</v>
      </c>
      <c r="G62" s="34" t="n">
        <f aca="false">IFERROR(F62/E62,"")</f>
        <v>0.574117040474349</v>
      </c>
      <c r="H62" s="32" t="n">
        <v>43</v>
      </c>
      <c r="I62" s="32" t="n">
        <f aca="true">IF($H62="","",IFERROR(IF(ISBLANK(INDIRECT("'"&amp;$Q$2&amp;"'!H"&amp;ROW())),"",INDIRECT("'"&amp;$Q$2&amp;"'!H"&amp;ROW())),""))</f>
        <v>75</v>
      </c>
      <c r="J62" s="33" t="n">
        <f aca="false">IF(OR(H62="",I62=""),"",H62-I62)</f>
        <v>-32</v>
      </c>
      <c r="K62" s="34" t="n">
        <f aca="false">IFERROR(J62/I62,"")</f>
        <v>-0.426666666666667</v>
      </c>
      <c r="L62" s="32" t="n">
        <f aca="false">IFERROR(D62/C62,"")</f>
        <v>79.2987012987013</v>
      </c>
      <c r="M62" s="32" t="n">
        <f aca="false">IFERROR(H62/D62*1000,"")</f>
        <v>7.04225352112676</v>
      </c>
      <c r="N62" s="32" t="n">
        <v>1376</v>
      </c>
      <c r="O62" s="33" t="n">
        <f aca="true">IFERROR(IF(OR(N62="",ISBLANK(INDIRECT("'"&amp;$Q$2&amp;"'!N"&amp;ROW()))),"",N62-INDIRECT("'"&amp;$Q$2&amp;"'!N"&amp;ROW())),"")</f>
        <v>-6</v>
      </c>
      <c r="P62" s="3"/>
      <c r="Q62" s="3"/>
      <c r="R62" s="3"/>
      <c r="S62" s="15" t="n">
        <f aca="true">IFERROR(IF(ISBLANK(INDIRECT("'"&amp;$Q$2&amp;"'!G"&amp;ROW())),"",INDIRECT("'"&amp;$Q$2&amp;"'!G"&amp;ROW())),"")</f>
        <v>0.0492291046794698</v>
      </c>
      <c r="T62" s="16" t="n">
        <f aca="false">IF(OR($G62="",$S62=""),"",$G62-$S62)</f>
        <v>0.524887935794879</v>
      </c>
      <c r="U62" s="15" t="n">
        <f aca="true">IFERROR(IF(ISBLANK(INDIRECT("'"&amp;$Q$2&amp;"'!K"&amp;ROW())),"",INDIRECT("'"&amp;$Q$2&amp;"'!K"&amp;ROW())),"")</f>
        <v>1.41935483870968</v>
      </c>
      <c r="V62" s="16" t="n">
        <f aca="false">IF(OR($K62="",$U62=""),"",$K62-$U62)</f>
        <v>-1.84602150537634</v>
      </c>
      <c r="W62" s="17" t="n">
        <f aca="true">IFERROR(IF(ISBLANK(INDIRECT("'"&amp;$Q$2&amp;"'!O"&amp;ROW())),"",INDIRECT("'"&amp;$Q$2&amp;"'!O"&amp;ROW())),"")</f>
        <v>4</v>
      </c>
      <c r="X62" s="17" t="n">
        <f aca="false">IF(OR($O62="",$W62=""),"",$O62-$W62)</f>
        <v>-10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90</v>
      </c>
      <c r="D63" s="32" t="n">
        <v>26252</v>
      </c>
      <c r="E63" s="32" t="n">
        <f aca="true">IF($D63="","",IFERROR(IF(ISBLANK(INDIRECT("'"&amp;$Q$2&amp;"'!D"&amp;ROW())),"",INDIRECT("'"&amp;$Q$2&amp;"'!D"&amp;ROW())),""))</f>
        <v>21971</v>
      </c>
      <c r="F63" s="33" t="n">
        <f aca="false">IF(OR(D63="",E63=""),"",D63-E63)</f>
        <v>4281</v>
      </c>
      <c r="G63" s="34" t="n">
        <f aca="false">IFERROR(F63/E63,"")</f>
        <v>0.194847753857357</v>
      </c>
      <c r="H63" s="32" t="n">
        <v>80</v>
      </c>
      <c r="I63" s="32" t="n">
        <f aca="true">IF($H63="","",IFERROR(IF(ISBLANK(INDIRECT("'"&amp;$Q$2&amp;"'!H"&amp;ROW())),"",INDIRECT("'"&amp;$Q$2&amp;"'!H"&amp;ROW())),""))</f>
        <v>114</v>
      </c>
      <c r="J63" s="33" t="n">
        <f aca="false">IF(OR(H63="",I63=""),"",H63-I63)</f>
        <v>-34</v>
      </c>
      <c r="K63" s="34" t="n">
        <f aca="false">IFERROR(J63/I63,"")</f>
        <v>-0.298245614035088</v>
      </c>
      <c r="L63" s="32" t="n">
        <f aca="false">IFERROR(D63/C63,"")</f>
        <v>291.688888888889</v>
      </c>
      <c r="M63" s="32" t="n">
        <f aca="false">IFERROR(H63/D63*1000,"")</f>
        <v>3.04738686576261</v>
      </c>
      <c r="N63" s="32" t="n">
        <v>5657</v>
      </c>
      <c r="O63" s="33" t="n">
        <f aca="true">IFERROR(IF(OR(N63="",ISBLANK(INDIRECT("'"&amp;$Q$2&amp;"'!N"&amp;ROW()))),"",N63-INDIRECT("'"&amp;$Q$2&amp;"'!N"&amp;ROW())),"")</f>
        <v>-9</v>
      </c>
      <c r="P63" s="3"/>
      <c r="Q63" s="3"/>
      <c r="R63" s="3"/>
      <c r="S63" s="15" t="n">
        <f aca="true">IFERROR(IF(ISBLANK(INDIRECT("'"&amp;$Q$2&amp;"'!G"&amp;ROW())),"",INDIRECT("'"&amp;$Q$2&amp;"'!G"&amp;ROW())),"")</f>
        <v>-0.295756138213988</v>
      </c>
      <c r="T63" s="16" t="n">
        <f aca="false">IF(OR($G63="",$S63=""),"",$G63-$S63)</f>
        <v>0.490603892071345</v>
      </c>
      <c r="U63" s="15" t="n">
        <f aca="true">IFERROR(IF(ISBLANK(INDIRECT("'"&amp;$Q$2&amp;"'!K"&amp;ROW())),"",INDIRECT("'"&amp;$Q$2&amp;"'!K"&amp;ROW())),"")</f>
        <v>-0.219178082191781</v>
      </c>
      <c r="V63" s="16" t="n">
        <f aca="false">IF(OR($K63="",$U63=""),"",$K63-$U63)</f>
        <v>-0.0790675318433069</v>
      </c>
      <c r="W63" s="17" t="n">
        <f aca="true">IFERROR(IF(ISBLANK(INDIRECT("'"&amp;$Q$2&amp;"'!O"&amp;ROW())),"",INDIRECT("'"&amp;$Q$2&amp;"'!O"&amp;ROW())),"")</f>
        <v>-21</v>
      </c>
      <c r="X63" s="17" t="n">
        <f aca="false">IF(OR($O63="",$W63=""),"",$O63-$W63)</f>
        <v>12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53</v>
      </c>
      <c r="D64" s="32" t="n">
        <v>5588</v>
      </c>
      <c r="E64" s="32" t="n">
        <f aca="true">IF($D64="","",IFERROR(IF(ISBLANK(INDIRECT("'"&amp;$Q$2&amp;"'!D"&amp;ROW())),"",INDIRECT("'"&amp;$Q$2&amp;"'!D"&amp;ROW())),""))</f>
        <v>3879</v>
      </c>
      <c r="F64" s="33" t="n">
        <f aca="false">IF(OR(D64="",E64=""),"",D64-E64)</f>
        <v>1709</v>
      </c>
      <c r="G64" s="34" t="n">
        <f aca="false">IFERROR(F64/E64,"")</f>
        <v>0.440577468419696</v>
      </c>
      <c r="H64" s="32" t="n">
        <v>3</v>
      </c>
      <c r="I64" s="32" t="n">
        <f aca="true">IF($H64="","",IFERROR(IF(ISBLANK(INDIRECT("'"&amp;$Q$2&amp;"'!H"&amp;ROW())),"",INDIRECT("'"&amp;$Q$2&amp;"'!H"&amp;ROW())),""))</f>
        <v>4</v>
      </c>
      <c r="J64" s="33" t="n">
        <f aca="false">IF(OR(H64="",I64=""),"",H64-I64)</f>
        <v>-1</v>
      </c>
      <c r="K64" s="34" t="n">
        <f aca="false">IFERROR(J64/I64,"")</f>
        <v>-0.25</v>
      </c>
      <c r="L64" s="32" t="n">
        <f aca="false">IFERROR(D64/C64,"")</f>
        <v>105.433962264151</v>
      </c>
      <c r="M64" s="32" t="n">
        <f aca="false">IFERROR(H64/D64*1000,"")</f>
        <v>0.536864710093057</v>
      </c>
      <c r="N64" s="32" t="n">
        <v>1823</v>
      </c>
      <c r="O64" s="33" t="n">
        <f aca="true">IFERROR(IF(OR(N64="",ISBLANK(INDIRECT("'"&amp;$Q$2&amp;"'!N"&amp;ROW()))),"",N64-INDIRECT("'"&amp;$Q$2&amp;"'!N"&amp;ROW())),"")</f>
        <v>0</v>
      </c>
      <c r="P64" s="3"/>
      <c r="Q64" s="3"/>
      <c r="R64" s="3"/>
      <c r="S64" s="15" t="n">
        <f aca="true">IFERROR(IF(ISBLANK(INDIRECT("'"&amp;$Q$2&amp;"'!G"&amp;ROW())),"",INDIRECT("'"&amp;$Q$2&amp;"'!G"&amp;ROW())),"")</f>
        <v>0.221732283464567</v>
      </c>
      <c r="T64" s="16" t="n">
        <f aca="false">IF(OR($G64="",$S64=""),"",$G64-$S64)</f>
        <v>0.218845184955129</v>
      </c>
      <c r="U64" s="15" t="n">
        <f aca="true">IFERROR(IF(ISBLANK(INDIRECT("'"&amp;$Q$2&amp;"'!K"&amp;ROW())),"",INDIRECT("'"&amp;$Q$2&amp;"'!K"&amp;ROW())),"")</f>
        <v>1</v>
      </c>
      <c r="V64" s="16" t="n">
        <f aca="false">IF(OR($K64="",$U64=""),"",$K64-$U64)</f>
        <v>-1.25</v>
      </c>
      <c r="W64" s="17" t="n">
        <f aca="true">IFERROR(IF(ISBLANK(INDIRECT("'"&amp;$Q$2&amp;"'!O"&amp;ROW())),"",INDIRECT("'"&amp;$Q$2&amp;"'!O"&amp;ROW())),"")</f>
        <v>-2</v>
      </c>
      <c r="X64" s="17" t="n">
        <f aca="false">IF(OR($O64="",$W64=""),"",$O64-$W64)</f>
        <v>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50</v>
      </c>
      <c r="D65" s="32" t="n">
        <v>3817</v>
      </c>
      <c r="E65" s="32" t="n">
        <f aca="true">IF($D65="","",IFERROR(IF(ISBLANK(INDIRECT("'"&amp;$Q$2&amp;"'!D"&amp;ROW())),"",INDIRECT("'"&amp;$Q$2&amp;"'!D"&amp;ROW())),""))</f>
        <v>2756</v>
      </c>
      <c r="F65" s="33" t="n">
        <f aca="false">IF(OR(D65="",E65=""),"",D65-E65)</f>
        <v>1061</v>
      </c>
      <c r="G65" s="34" t="n">
        <f aca="false">IFERROR(F65/E65,"")</f>
        <v>0.384978229317852</v>
      </c>
      <c r="H65" s="32" t="n">
        <v>3</v>
      </c>
      <c r="I65" s="32" t="n">
        <f aca="true">IF($H65="","",IFERROR(IF(ISBLANK(INDIRECT("'"&amp;$Q$2&amp;"'!H"&amp;ROW())),"",INDIRECT("'"&amp;$Q$2&amp;"'!H"&amp;ROW())),""))</f>
        <v>5</v>
      </c>
      <c r="J65" s="33" t="n">
        <f aca="false">IF(OR(H65="",I65=""),"",H65-I65)</f>
        <v>-2</v>
      </c>
      <c r="K65" s="34" t="n">
        <f aca="false">IFERROR(J65/I65,"")</f>
        <v>-0.4</v>
      </c>
      <c r="L65" s="32" t="n">
        <f aca="false">IFERROR(D65/C65,"")</f>
        <v>76.34</v>
      </c>
      <c r="M65" s="32" t="n">
        <f aca="false">IFERROR(H65/D65*1000,"")</f>
        <v>0.785957558291852</v>
      </c>
      <c r="N65" s="32" t="n">
        <v>872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-0.0670277589708869</v>
      </c>
      <c r="T65" s="16" t="n">
        <f aca="false">IF(OR($G65="",$S65=""),"",$G65-$S65)</f>
        <v>0.452005988288739</v>
      </c>
      <c r="U65" s="15" t="n">
        <f aca="true">IFERROR(IF(ISBLANK(INDIRECT("'"&amp;$Q$2&amp;"'!K"&amp;ROW())),"",INDIRECT("'"&amp;$Q$2&amp;"'!K"&amp;ROW())),"")</f>
        <v>1.5</v>
      </c>
      <c r="V65" s="16" t="n">
        <f aca="false">IF(OR($K65="",$U65=""),"",$K65-$U65)</f>
        <v>-1.9</v>
      </c>
      <c r="W65" s="17" t="n">
        <f aca="true">IFERROR(IF(ISBLANK(INDIRECT("'"&amp;$Q$2&amp;"'!O"&amp;ROW())),"",INDIRECT("'"&amp;$Q$2&amp;"'!O"&amp;ROW())),"")</f>
        <v>-2</v>
      </c>
      <c r="X65" s="17" t="n">
        <f aca="false">IF(OR($O65="",$W65=""),"",$O65-$W65)</f>
        <v>1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54</v>
      </c>
      <c r="D66" s="32" t="n">
        <v>4122</v>
      </c>
      <c r="E66" s="32" t="n">
        <f aca="true">IF($D66="","",IFERROR(IF(ISBLANK(INDIRECT("'"&amp;$Q$2&amp;"'!D"&amp;ROW())),"",INDIRECT("'"&amp;$Q$2&amp;"'!D"&amp;ROW())),""))</f>
        <v>3491</v>
      </c>
      <c r="F66" s="33" t="n">
        <f aca="false">IF(OR(D66="",E66=""),"",D66-E66)</f>
        <v>631</v>
      </c>
      <c r="G66" s="34" t="n">
        <f aca="false">IFERROR(F66/E66,"")</f>
        <v>0.180750501289029</v>
      </c>
      <c r="H66" s="32" t="n">
        <v>13</v>
      </c>
      <c r="I66" s="32" t="n">
        <f aca="true">IF($H66="","",IFERROR(IF(ISBLANK(INDIRECT("'"&amp;$Q$2&amp;"'!H"&amp;ROW())),"",INDIRECT("'"&amp;$Q$2&amp;"'!H"&amp;ROW())),""))</f>
        <v>8</v>
      </c>
      <c r="J66" s="33" t="n">
        <f aca="false">IF(OR(H66="",I66=""),"",H66-I66)</f>
        <v>5</v>
      </c>
      <c r="K66" s="34" t="n">
        <f aca="false">IFERROR(J66/I66,"")</f>
        <v>0.625</v>
      </c>
      <c r="L66" s="32" t="n">
        <f aca="false">IFERROR(D66/C66,"")</f>
        <v>76.3333333333333</v>
      </c>
      <c r="M66" s="32" t="n">
        <f aca="false">IFERROR(H66/D66*1000,"")</f>
        <v>3.15380883066473</v>
      </c>
      <c r="N66" s="32" t="n">
        <v>854</v>
      </c>
      <c r="O66" s="33" t="n">
        <f aca="true">IFERROR(IF(OR(N66="",ISBLANK(INDIRECT("'"&amp;$Q$2&amp;"'!N"&amp;ROW()))),"",N66-INDIRECT("'"&amp;$Q$2&amp;"'!N"&amp;ROW())),"")</f>
        <v>1</v>
      </c>
      <c r="P66" s="3"/>
      <c r="Q66" s="3"/>
      <c r="R66" s="3"/>
      <c r="S66" s="15" t="n">
        <f aca="true">IFERROR(IF(ISBLANK(INDIRECT("'"&amp;$Q$2&amp;"'!G"&amp;ROW())),"",INDIRECT("'"&amp;$Q$2&amp;"'!G"&amp;ROW())),"")</f>
        <v>0.42373572593801</v>
      </c>
      <c r="T66" s="16" t="n">
        <f aca="false">IF(OR($G66="",$S66=""),"",$G66-$S66)</f>
        <v>-0.242985224648981</v>
      </c>
      <c r="U66" s="15" t="n">
        <f aca="true">IFERROR(IF(ISBLANK(INDIRECT("'"&amp;$Q$2&amp;"'!K"&amp;ROW())),"",INDIRECT("'"&amp;$Q$2&amp;"'!K"&amp;ROW())),"")</f>
        <v>7</v>
      </c>
      <c r="V66" s="16" t="n">
        <f aca="false">IF(OR($K66="",$U66=""),"",$K66-$U66)</f>
        <v>-6.375</v>
      </c>
      <c r="W66" s="17" t="n">
        <f aca="true">IFERROR(IF(ISBLANK(INDIRECT("'"&amp;$Q$2&amp;"'!O"&amp;ROW())),"",INDIRECT("'"&amp;$Q$2&amp;"'!O"&amp;ROW())),"")</f>
        <v>-2</v>
      </c>
      <c r="X66" s="17" t="n">
        <f aca="false">IF(OR($O66="",$W66=""),"",$O66-$W66)</f>
        <v>3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17</v>
      </c>
      <c r="D67" s="32" t="n">
        <v>1940</v>
      </c>
      <c r="E67" s="32" t="n">
        <f aca="true">IF($D67="","",IFERROR(IF(ISBLANK(INDIRECT("'"&amp;$Q$2&amp;"'!D"&amp;ROW())),"",INDIRECT("'"&amp;$Q$2&amp;"'!D"&amp;ROW())),""))</f>
        <v>3794</v>
      </c>
      <c r="F67" s="33" t="n">
        <f aca="false">IF(OR(D67="",E67=""),"",D67-E67)</f>
        <v>-1854</v>
      </c>
      <c r="G67" s="34" t="n">
        <f aca="false">IFERROR(F67/E67,"")</f>
        <v>-0.488666315234581</v>
      </c>
      <c r="H67" s="32" t="n">
        <v>21</v>
      </c>
      <c r="I67" s="32" t="n">
        <f aca="true">IF($H67="","",IFERROR(IF(ISBLANK(INDIRECT("'"&amp;$Q$2&amp;"'!H"&amp;ROW())),"",INDIRECT("'"&amp;$Q$2&amp;"'!H"&amp;ROW())),""))</f>
        <v>17</v>
      </c>
      <c r="J67" s="33" t="n">
        <f aca="false">IF(OR(H67="",I67=""),"",H67-I67)</f>
        <v>4</v>
      </c>
      <c r="K67" s="34" t="n">
        <f aca="false">IFERROR(J67/I67,"")</f>
        <v>0.235294117647059</v>
      </c>
      <c r="L67" s="32" t="n">
        <f aca="false">IFERROR(D67/C67,"")</f>
        <v>114.117647058824</v>
      </c>
      <c r="M67" s="32" t="n">
        <f aca="false">IFERROR(H67/D67*1000,"")</f>
        <v>10.8247422680412</v>
      </c>
      <c r="N67" s="32" t="n">
        <v>1169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-0.879463718388614</v>
      </c>
      <c r="T67" s="16" t="n">
        <f aca="false">IF(OR($G67="",$S67=""),"",$G67-$S67)</f>
        <v>0.390797403154033</v>
      </c>
      <c r="U67" s="15" t="n">
        <f aca="true">IFERROR(IF(ISBLANK(INDIRECT("'"&amp;$Q$2&amp;"'!K"&amp;ROW())),"",INDIRECT("'"&amp;$Q$2&amp;"'!K"&amp;ROW())),"")</f>
        <v>-0.346153846153846</v>
      </c>
      <c r="V67" s="16" t="n">
        <f aca="false">IF(OR($K67="",$U67=""),"",$K67-$U67)</f>
        <v>0.581447963800905</v>
      </c>
      <c r="W67" s="17" t="n">
        <f aca="true">IFERROR(IF(ISBLANK(INDIRECT("'"&amp;$Q$2&amp;"'!O"&amp;ROW())),"",INDIRECT("'"&amp;$Q$2&amp;"'!O"&amp;ROW())),"")</f>
        <v>-6</v>
      </c>
      <c r="X67" s="17" t="n">
        <f aca="false">IF(OR($O67="",$W67=""),"",$O67-$W67)</f>
        <v>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82</v>
      </c>
      <c r="D68" s="32" t="n">
        <v>21799</v>
      </c>
      <c r="E68" s="32" t="n">
        <f aca="true">IF($D68="","",IFERROR(IF(ISBLANK(INDIRECT("'"&amp;$Q$2&amp;"'!D"&amp;ROW())),"",INDIRECT("'"&amp;$Q$2&amp;"'!D"&amp;ROW())),""))</f>
        <v>17741</v>
      </c>
      <c r="F68" s="33" t="n">
        <f aca="false">IF(OR(D68="",E68=""),"",D68-E68)</f>
        <v>4058</v>
      </c>
      <c r="G68" s="34" t="n">
        <f aca="false">IFERROR(F68/E68,"")</f>
        <v>0.228735696973113</v>
      </c>
      <c r="H68" s="32" t="n">
        <v>81</v>
      </c>
      <c r="I68" s="32" t="n">
        <f aca="true">IF($H68="","",IFERROR(IF(ISBLANK(INDIRECT("'"&amp;$Q$2&amp;"'!H"&amp;ROW())),"",INDIRECT("'"&amp;$Q$2&amp;"'!H"&amp;ROW())),""))</f>
        <v>98</v>
      </c>
      <c r="J68" s="33" t="n">
        <f aca="false">IF(OR(H68="",I68=""),"",H68-I68)</f>
        <v>-17</v>
      </c>
      <c r="K68" s="34" t="n">
        <f aca="false">IFERROR(J68/I68,"")</f>
        <v>-0.173469387755102</v>
      </c>
      <c r="L68" s="32" t="n">
        <f aca="false">IFERROR(D68/C68,"")</f>
        <v>265.841463414634</v>
      </c>
      <c r="M68" s="32" t="n">
        <f aca="false">IFERROR(H68/D68*1000,"")</f>
        <v>3.71576677829258</v>
      </c>
      <c r="N68" s="32" t="n">
        <v>4404</v>
      </c>
      <c r="O68" s="33" t="n">
        <f aca="true">IFERROR(IF(OR(N68="",ISBLANK(INDIRECT("'"&amp;$Q$2&amp;"'!N"&amp;ROW()))),"",N68-INDIRECT("'"&amp;$Q$2&amp;"'!N"&amp;ROW())),"")</f>
        <v>-19</v>
      </c>
      <c r="P68" s="3"/>
      <c r="Q68" s="3"/>
      <c r="R68" s="3"/>
      <c r="S68" s="15" t="n">
        <f aca="true">IFERROR(IF(ISBLANK(INDIRECT("'"&amp;$Q$2&amp;"'!G"&amp;ROW())),"",INDIRECT("'"&amp;$Q$2&amp;"'!G"&amp;ROW())),"")</f>
        <v>-0.220072976656262</v>
      </c>
      <c r="T68" s="16" t="n">
        <f aca="false">IF(OR($G68="",$S68=""),"",$G68-$S68)</f>
        <v>0.448808673629376</v>
      </c>
      <c r="U68" s="15" t="n">
        <f aca="true">IFERROR(IF(ISBLANK(INDIRECT("'"&amp;$Q$2&amp;"'!K"&amp;ROW())),"",INDIRECT("'"&amp;$Q$2&amp;"'!K"&amp;ROW())),"")</f>
        <v>-0.125</v>
      </c>
      <c r="V68" s="16" t="n">
        <f aca="false">IF(OR($K68="",$U68=""),"",$K68-$U68)</f>
        <v>-0.048469387755102</v>
      </c>
      <c r="W68" s="17" t="n">
        <f aca="true">IFERROR(IF(ISBLANK(INDIRECT("'"&amp;$Q$2&amp;"'!O"&amp;ROW())),"",INDIRECT("'"&amp;$Q$2&amp;"'!O"&amp;ROW())),"")</f>
        <v>2</v>
      </c>
      <c r="X68" s="17" t="n">
        <f aca="false">IF(OR($O68="",$W68=""),"",$O68-$W68)</f>
        <v>-21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98</v>
      </c>
      <c r="D69" s="32" t="n">
        <v>39117</v>
      </c>
      <c r="E69" s="32" t="n">
        <f aca="true">IF($D69="","",IFERROR(IF(ISBLANK(INDIRECT("'"&amp;$Q$2&amp;"'!D"&amp;ROW())),"",INDIRECT("'"&amp;$Q$2&amp;"'!D"&amp;ROW())),""))</f>
        <v>27146</v>
      </c>
      <c r="F69" s="33" t="n">
        <f aca="false">IF(OR(D69="",E69=""),"",D69-E69)</f>
        <v>11971</v>
      </c>
      <c r="G69" s="34" t="n">
        <f aca="false">IFERROR(F69/E69,"")</f>
        <v>0.440985780593826</v>
      </c>
      <c r="H69" s="32" t="n">
        <v>357</v>
      </c>
      <c r="I69" s="32" t="n">
        <f aca="true">IF($H69="","",IFERROR(IF(ISBLANK(INDIRECT("'"&amp;$Q$2&amp;"'!H"&amp;ROW())),"",INDIRECT("'"&amp;$Q$2&amp;"'!H"&amp;ROW())),""))</f>
        <v>265</v>
      </c>
      <c r="J69" s="33" t="n">
        <f aca="false">IF(OR(H69="",I69=""),"",H69-I69)</f>
        <v>92</v>
      </c>
      <c r="K69" s="34" t="n">
        <f aca="false">IFERROR(J69/I69,"")</f>
        <v>0.347169811320755</v>
      </c>
      <c r="L69" s="32" t="n">
        <f aca="false">IFERROR(D69/C69,"")</f>
        <v>399.15306122449</v>
      </c>
      <c r="M69" s="32" t="n">
        <f aca="false">IFERROR(H69/D69*1000,"")</f>
        <v>9.1264667535854</v>
      </c>
      <c r="N69" s="32" t="n">
        <v>5506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-0.109908846481737</v>
      </c>
      <c r="T69" s="16" t="n">
        <f aca="false">IF(OR($G69="",$S69=""),"",$G69-$S69)</f>
        <v>0.550894627075563</v>
      </c>
      <c r="U69" s="15" t="n">
        <f aca="true">IFERROR(IF(ISBLANK(INDIRECT("'"&amp;$Q$2&amp;"'!K"&amp;ROW())),"",INDIRECT("'"&amp;$Q$2&amp;"'!K"&amp;ROW())),"")</f>
        <v>-0.0602836879432624</v>
      </c>
      <c r="V69" s="16" t="n">
        <f aca="false">IF(OR($K69="",$U69=""),"",$K69-$U69)</f>
        <v>0.407453499264017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0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3972</v>
      </c>
      <c r="E70" s="32" t="n">
        <f aca="true">IF($D70="","",IFERROR(IF(ISBLANK(INDIRECT("'"&amp;$Q$2&amp;"'!D"&amp;ROW())),"",INDIRECT("'"&amp;$Q$2&amp;"'!D"&amp;ROW())),""))</f>
        <v>3933</v>
      </c>
      <c r="F70" s="33" t="n">
        <f aca="false">IF(OR(D70="",E70=""),"",D70-E70)</f>
        <v>39</v>
      </c>
      <c r="G70" s="34" t="n">
        <f aca="false">IFERROR(F70/E70,"")</f>
        <v>0.0099160945842868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17.3449781659389</v>
      </c>
      <c r="M70" s="32" t="n">
        <f aca="false">IFERROR(H70/D70*1000,"")</f>
        <v>0</v>
      </c>
      <c r="N70" s="32" t="n">
        <v>692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0.0317418677859391</v>
      </c>
      <c r="T70" s="16" t="n">
        <f aca="false">IF(OR($G70="",$S70=""),"",$G70-$S70)</f>
        <v>-0.0218257732016523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24</v>
      </c>
      <c r="D71" s="32" t="n">
        <v>5095</v>
      </c>
      <c r="E71" s="32" t="n">
        <f aca="true">IF($D71="","",IFERROR(IF(ISBLANK(INDIRECT("'"&amp;$Q$2&amp;"'!D"&amp;ROW())),"",INDIRECT("'"&amp;$Q$2&amp;"'!D"&amp;ROW())),""))</f>
        <v>7225</v>
      </c>
      <c r="F71" s="33" t="n">
        <f aca="false">IF(OR(D71="",E71=""),"",D71-E71)</f>
        <v>-2130</v>
      </c>
      <c r="G71" s="34" t="n">
        <f aca="false">IFERROR(F71/E71,"")</f>
        <v>-0.294809688581315</v>
      </c>
      <c r="H71" s="32" t="n">
        <v>486</v>
      </c>
      <c r="I71" s="32" t="n">
        <f aca="true">IF($H71="","",IFERROR(IF(ISBLANK(INDIRECT("'"&amp;$Q$2&amp;"'!H"&amp;ROW())),"",INDIRECT("'"&amp;$Q$2&amp;"'!H"&amp;ROW())),""))</f>
        <v>595</v>
      </c>
      <c r="J71" s="33" t="n">
        <f aca="false">IF(OR(H71="",I71=""),"",H71-I71)</f>
        <v>-109</v>
      </c>
      <c r="K71" s="34" t="n">
        <f aca="false">IFERROR(J71/I71,"")</f>
        <v>-0.183193277310924</v>
      </c>
      <c r="L71" s="32" t="n">
        <f aca="false">IFERROR(D71/C71,"")</f>
        <v>212.291666666667</v>
      </c>
      <c r="M71" s="32" t="n">
        <f aca="false">IFERROR(H71/D71*1000,"")</f>
        <v>95.387634936212</v>
      </c>
      <c r="N71" s="32" t="n">
        <v>2492</v>
      </c>
      <c r="O71" s="33" t="n">
        <f aca="true">IFERROR(IF(OR(N71="",ISBLANK(INDIRECT("'"&amp;$Q$2&amp;"'!N"&amp;ROW()))),"",N71-INDIRECT("'"&amp;$Q$2&amp;"'!N"&amp;ROW())),"")</f>
        <v>-5</v>
      </c>
      <c r="P71" s="3"/>
      <c r="Q71" s="3"/>
      <c r="R71" s="3"/>
      <c r="S71" s="15" t="n">
        <f aca="true">IFERROR(IF(ISBLANK(INDIRECT("'"&amp;$Q$2&amp;"'!G"&amp;ROW())),"",INDIRECT("'"&amp;$Q$2&amp;"'!G"&amp;ROW())),"")</f>
        <v>-0.0720524017467249</v>
      </c>
      <c r="T71" s="16" t="n">
        <f aca="false">IF(OR($G71="",$S71=""),"",$G71-$S71)</f>
        <v>-0.22275728683459</v>
      </c>
      <c r="U71" s="15" t="n">
        <f aca="true">IFERROR(IF(ISBLANK(INDIRECT("'"&amp;$Q$2&amp;"'!K"&amp;ROW())),"",INDIRECT("'"&amp;$Q$2&amp;"'!K"&amp;ROW())),"")</f>
        <v>-0.154829545454545</v>
      </c>
      <c r="V71" s="16" t="n">
        <f aca="false">IF(OR($K71="",$U71=""),"",$K71-$U71)</f>
        <v>-0.0283637318563789</v>
      </c>
      <c r="W71" s="17" t="n">
        <f aca="true">IFERROR(IF(ISBLANK(INDIRECT("'"&amp;$Q$2&amp;"'!O"&amp;ROW())),"",INDIRECT("'"&amp;$Q$2&amp;"'!O"&amp;ROW())),"")</f>
        <v>-8</v>
      </c>
      <c r="X71" s="17" t="n">
        <f aca="false">IF(OR($O71="",$W71=""),"",$O71-$W71)</f>
        <v>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303</v>
      </c>
      <c r="E72" s="32" t="n">
        <f aca="true">IF($D72="","",IFERROR(IF(ISBLANK(INDIRECT("'"&amp;$Q$2&amp;"'!D"&amp;ROW())),"",INDIRECT("'"&amp;$Q$2&amp;"'!D"&amp;ROW())),""))</f>
        <v>800</v>
      </c>
      <c r="F72" s="33" t="n">
        <f aca="false">IF(OR(D72="",E72=""),"",D72-E72)</f>
        <v>-497</v>
      </c>
      <c r="G72" s="34" t="n">
        <f aca="false">IFERROR(F72/E72,"")</f>
        <v>-0.62125</v>
      </c>
      <c r="H72" s="32" t="n">
        <v>20</v>
      </c>
      <c r="I72" s="32" t="n">
        <f aca="true">IF($H72="","",IFERROR(IF(ISBLANK(INDIRECT("'"&amp;$Q$2&amp;"'!H"&amp;ROW())),"",INDIRECT("'"&amp;$Q$2&amp;"'!H"&amp;ROW())),""))</f>
        <v>50</v>
      </c>
      <c r="J72" s="33" t="n">
        <f aca="false">IF(OR(H72="",I72=""),"",H72-I72)</f>
        <v>-30</v>
      </c>
      <c r="K72" s="34" t="n">
        <f aca="false">IFERROR(J72/I72,"")</f>
        <v>-0.6</v>
      </c>
      <c r="L72" s="32" t="n">
        <f aca="false">IFERROR(D72/C72,"")</f>
        <v>43.2857142857143</v>
      </c>
      <c r="M72" s="32" t="n">
        <f aca="false">IFERROR(H72/D72*1000,"")</f>
        <v>66.006600660066</v>
      </c>
      <c r="N72" s="32" t="n">
        <v>175</v>
      </c>
      <c r="O72" s="33" t="n">
        <f aca="true">IFERROR(IF(OR(N72="",ISBLANK(INDIRECT("'"&amp;$Q$2&amp;"'!N"&amp;ROW()))),"",N72-INDIRECT("'"&amp;$Q$2&amp;"'!N"&amp;ROW())),"")</f>
        <v>2</v>
      </c>
      <c r="P72" s="3"/>
      <c r="Q72" s="3"/>
      <c r="R72" s="3"/>
      <c r="S72" s="15" t="n">
        <f aca="true">IFERROR(IF(ISBLANK(INDIRECT("'"&amp;$Q$2&amp;"'!G"&amp;ROW())),"",INDIRECT("'"&amp;$Q$2&amp;"'!G"&amp;ROW())),"")</f>
        <v>3.57142857142857</v>
      </c>
      <c r="T72" s="16" t="n">
        <f aca="false">IF(OR($G72="",$S72=""),"",$G72-$S72)</f>
        <v>-4.19267857142857</v>
      </c>
      <c r="U72" s="15" t="n">
        <f aca="true">IFERROR(IF(ISBLANK(INDIRECT("'"&amp;$Q$2&amp;"'!K"&amp;ROW())),"",INDIRECT("'"&amp;$Q$2&amp;"'!K"&amp;ROW())),"")</f>
        <v>1.5</v>
      </c>
      <c r="V72" s="16" t="n">
        <f aca="false">IF(OR($K72="",$U72=""),"",$K72-$U72)</f>
        <v>-2.1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826</v>
      </c>
      <c r="E73" s="32" t="n">
        <f aca="true">IF($D73="","",IFERROR(IF(ISBLANK(INDIRECT("'"&amp;$Q$2&amp;"'!D"&amp;ROW())),"",INDIRECT("'"&amp;$Q$2&amp;"'!D"&amp;ROW())),""))</f>
        <v>120</v>
      </c>
      <c r="F73" s="33" t="n">
        <f aca="false">IF(OR(D73="",E73=""),"",D73-E73)</f>
        <v>706</v>
      </c>
      <c r="G73" s="34" t="n">
        <f aca="false">IFERROR(F73/E73,"")</f>
        <v>5.88333333333333</v>
      </c>
      <c r="H73" s="32" t="n">
        <v>14</v>
      </c>
      <c r="I73" s="32" t="n">
        <f aca="true">IF($H73="","",IFERROR(IF(ISBLANK(INDIRECT("'"&amp;$Q$2&amp;"'!H"&amp;ROW())),"",INDIRECT("'"&amp;$Q$2&amp;"'!H"&amp;ROW())),""))</f>
        <v>18</v>
      </c>
      <c r="J73" s="33" t="n">
        <f aca="false">IF(OR(H73="",I73=""),"",H73-I73)</f>
        <v>-4</v>
      </c>
      <c r="K73" s="34" t="n">
        <f aca="false">IFERROR(J73/I73,"")</f>
        <v>-0.222222222222222</v>
      </c>
      <c r="L73" s="32" t="n">
        <f aca="false">IFERROR(D73/C73,"")</f>
        <v>137.666666666667</v>
      </c>
      <c r="M73" s="32" t="n">
        <f aca="false">IFERROR(H73/D73*1000,"")</f>
        <v>16.9491525423729</v>
      </c>
      <c r="N73" s="32" t="n">
        <v>54</v>
      </c>
      <c r="O73" s="33" t="n">
        <f aca="true">IFERROR(IF(OR(N73="",ISBLANK(INDIRECT("'"&amp;$Q$2&amp;"'!N"&amp;ROW()))),"",N73-INDIRECT("'"&amp;$Q$2&amp;"'!N"&amp;ROW())),"")</f>
        <v>1</v>
      </c>
      <c r="P73" s="3"/>
      <c r="Q73" s="3"/>
      <c r="R73" s="3"/>
      <c r="S73" s="15" t="n">
        <f aca="true">IFERROR(IF(ISBLANK(INDIRECT("'"&amp;$Q$2&amp;"'!G"&amp;ROW())),"",INDIRECT("'"&amp;$Q$2&amp;"'!G"&amp;ROW())),"")</f>
        <v>-0.957761351636748</v>
      </c>
      <c r="T73" s="16" t="n">
        <f aca="false">IF(OR($G73="",$S73=""),"",$G73-$S73)</f>
        <v>6.84109468497008</v>
      </c>
      <c r="U73" s="15" t="n">
        <f aca="true">IFERROR(IF(ISBLANK(INDIRECT("'"&amp;$Q$2&amp;"'!K"&amp;ROW())),"",INDIRECT("'"&amp;$Q$2&amp;"'!K"&amp;ROW())),"")</f>
        <v>-0.590909090909091</v>
      </c>
      <c r="V73" s="16" t="n">
        <f aca="false">IF(OR($K73="",$U73=""),"",$K73-$U73)</f>
        <v>0.368686868686869</v>
      </c>
      <c r="W73" s="17" t="n">
        <f aca="true">IFERROR(IF(ISBLANK(INDIRECT("'"&amp;$Q$2&amp;"'!O"&amp;ROW())),"",INDIRECT("'"&amp;$Q$2&amp;"'!O"&amp;ROW())),"")</f>
        <v>0</v>
      </c>
      <c r="X73" s="17" t="n">
        <f aca="false">IF(OR($O73="",$W73=""),"",$O73-$W73)</f>
        <v>1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1844</v>
      </c>
      <c r="D74" s="36" t="n">
        <f aca="false">SUM(D52:D73)</f>
        <v>485768</v>
      </c>
      <c r="E74" s="36" t="n">
        <f aca="false">SUM(E52:E73)</f>
        <v>476973</v>
      </c>
      <c r="F74" s="37" t="n">
        <f aca="false">SUM(F52:F73)</f>
        <v>8795</v>
      </c>
      <c r="G74" s="38" t="n">
        <f aca="false">IF(C74=0,"",IFERROR(F74/E74,""))</f>
        <v>0.018439198864506</v>
      </c>
      <c r="H74" s="36" t="n">
        <f aca="false">SUM(H52:H73)</f>
        <v>2618</v>
      </c>
      <c r="I74" s="36" t="n">
        <f aca="false">SUM(I52:I73)</f>
        <v>3195</v>
      </c>
      <c r="J74" s="37" t="n">
        <f aca="false">SUM(J52:J73)</f>
        <v>-577</v>
      </c>
      <c r="K74" s="38" t="n">
        <f aca="false">IF(C74=0,"",IFERROR(J74/I74,""))</f>
        <v>-0.180594679186228</v>
      </c>
      <c r="L74" s="36" t="n">
        <f aca="false">IFERROR(D74/C74,"")</f>
        <v>263.431670281996</v>
      </c>
      <c r="M74" s="36" t="n">
        <f aca="false">IFERROR(H74/D74*1000,"")</f>
        <v>5.38940399532287</v>
      </c>
      <c r="N74" s="36" t="n">
        <f aca="false">SUM(N52:N73)</f>
        <v>98319</v>
      </c>
      <c r="O74" s="37" t="n">
        <f aca="false">SUM(O52:O73)</f>
        <v>-179</v>
      </c>
      <c r="P74" s="3"/>
      <c r="Q74" s="3"/>
      <c r="R74" s="3"/>
      <c r="S74" s="23" t="n">
        <f aca="true">IFERROR(IF(ISBLANK(INDIRECT("'"&amp;$Q$2&amp;"'!G"&amp;ROW())),"",INDIRECT("'"&amp;$Q$2&amp;"'!G"&amp;ROW())),"")</f>
        <v>0.105908948631447</v>
      </c>
      <c r="T74" s="24" t="n">
        <f aca="false">IF(OR($G74="",$S74=""),"",$G74-$S74)</f>
        <v>-0.0874697497669412</v>
      </c>
      <c r="U74" s="23" t="n">
        <f aca="true">IFERROR(IF(ISBLANK(INDIRECT("'"&amp;$Q$2&amp;"'!K"&amp;ROW())),"",INDIRECT("'"&amp;$Q$2&amp;"'!K"&amp;ROW())),"")</f>
        <v>0.0797566745522136</v>
      </c>
      <c r="V74" s="24" t="n">
        <f aca="false">IF(OR($K74="",$U74=""),"",$K74-$U74)</f>
        <v>-0.260351353738442</v>
      </c>
      <c r="W74" s="25" t="n">
        <f aca="true">IFERROR(IF(ISBLANK(INDIRECT("'"&amp;$Q$2&amp;"'!O"&amp;ROW())),"",INDIRECT("'"&amp;$Q$2&amp;"'!O"&amp;ROW())),"")</f>
        <v>-81</v>
      </c>
      <c r="X74" s="25" t="n">
        <f aca="false">IF(OR(C74=0,$O74="",$W74=""),"",$O74-$W74)</f>
        <v>-98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159</v>
      </c>
      <c r="D75" s="32" t="n">
        <v>166032</v>
      </c>
      <c r="E75" s="32" t="n">
        <f aca="true">IF($D75="","",IFERROR(IF(ISBLANK(INDIRECT("'"&amp;$Q$2&amp;"'!D"&amp;ROW())),"",INDIRECT("'"&amp;$Q$2&amp;"'!D"&amp;ROW())),""))</f>
        <v>148551</v>
      </c>
      <c r="F75" s="33" t="n">
        <f aca="false">IF(OR(D75="",E75=""),"",D75-E75)</f>
        <v>17481</v>
      </c>
      <c r="G75" s="34" t="n">
        <f aca="false">IFERROR(F75/E75,"")</f>
        <v>0.11767675747723</v>
      </c>
      <c r="H75" s="32" t="n">
        <v>1755</v>
      </c>
      <c r="I75" s="32" t="n">
        <f aca="true">IF($H75="","",IFERROR(IF(ISBLANK(INDIRECT("'"&amp;$Q$2&amp;"'!H"&amp;ROW())),"",INDIRECT("'"&amp;$Q$2&amp;"'!H"&amp;ROW())),""))</f>
        <v>1780</v>
      </c>
      <c r="J75" s="33" t="n">
        <f aca="false">IF(OR(H75="",I75=""),"",H75-I75)</f>
        <v>-25</v>
      </c>
      <c r="K75" s="34" t="n">
        <f aca="false">IFERROR(J75/I75,"")</f>
        <v>-0.0140449438202247</v>
      </c>
      <c r="L75" s="32" t="n">
        <f aca="false">IFERROR(D75/C75,"")</f>
        <v>1044.22641509434</v>
      </c>
      <c r="M75" s="32" t="n">
        <f aca="false">IFERROR(H75/D75*1000,"")</f>
        <v>10.5702515177797</v>
      </c>
      <c r="N75" s="32" t="n">
        <v>4401</v>
      </c>
      <c r="O75" s="33" t="n">
        <f aca="true">IFERROR(IF(OR(N75="",ISBLANK(INDIRECT("'"&amp;$Q$2&amp;"'!N"&amp;ROW()))),"",N75-INDIRECT("'"&amp;$Q$2&amp;"'!N"&amp;ROW())),"")</f>
        <v>120</v>
      </c>
      <c r="P75" s="3"/>
      <c r="Q75" s="3"/>
      <c r="R75" s="3"/>
      <c r="S75" s="15" t="n">
        <f aca="true">IFERROR(IF(ISBLANK(INDIRECT("'"&amp;$Q$2&amp;"'!G"&amp;ROW())),"",INDIRECT("'"&amp;$Q$2&amp;"'!G"&amp;ROW())),"")</f>
        <v>0.0947418843730425</v>
      </c>
      <c r="T75" s="16" t="n">
        <f aca="false">IF(OR($G75="",$S75=""),"",$G75-$S75)</f>
        <v>0.0229348731041876</v>
      </c>
      <c r="U75" s="15" t="n">
        <f aca="true">IFERROR(IF(ISBLANK(INDIRECT("'"&amp;$Q$2&amp;"'!K"&amp;ROW())),"",INDIRECT("'"&amp;$Q$2&amp;"'!K"&amp;ROW())),"")</f>
        <v>0.368178324365872</v>
      </c>
      <c r="V75" s="16" t="n">
        <f aca="false">IF(OR($K75="",$U75=""),"",$K75-$U75)</f>
        <v>-0.382223268186097</v>
      </c>
      <c r="W75" s="17" t="n">
        <f aca="true">IFERROR(IF(ISBLANK(INDIRECT("'"&amp;$Q$2&amp;"'!O"&amp;ROW())),"",INDIRECT("'"&amp;$Q$2&amp;"'!O"&amp;ROW())),"")</f>
        <v>93</v>
      </c>
      <c r="X75" s="17" t="n">
        <f aca="false">IF(OR($O75="",$W75=""),"",$O75-$W75)</f>
        <v>27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160</v>
      </c>
      <c r="D76" s="32" t="n">
        <v>74136</v>
      </c>
      <c r="E76" s="32" t="n">
        <f aca="true">IF($D76="","",IFERROR(IF(ISBLANK(INDIRECT("'"&amp;$Q$2&amp;"'!D"&amp;ROW())),"",INDIRECT("'"&amp;$Q$2&amp;"'!D"&amp;ROW())),""))</f>
        <v>70047</v>
      </c>
      <c r="F76" s="33" t="n">
        <f aca="false">IF(OR(D76="",E76=""),"",D76-E76)</f>
        <v>4089</v>
      </c>
      <c r="G76" s="34" t="n">
        <f aca="false">IFERROR(F76/E76,"")</f>
        <v>0.0583750910103216</v>
      </c>
      <c r="H76" s="32" t="n">
        <v>264</v>
      </c>
      <c r="I76" s="32" t="n">
        <f aca="true">IF($H76="","",IFERROR(IF(ISBLANK(INDIRECT("'"&amp;$Q$2&amp;"'!H"&amp;ROW())),"",INDIRECT("'"&amp;$Q$2&amp;"'!H"&amp;ROW())),""))</f>
        <v>295</v>
      </c>
      <c r="J76" s="33" t="n">
        <f aca="false">IF(OR(H76="",I76=""),"",H76-I76)</f>
        <v>-31</v>
      </c>
      <c r="K76" s="34" t="n">
        <f aca="false">IFERROR(J76/I76,"")</f>
        <v>-0.105084745762712</v>
      </c>
      <c r="L76" s="32" t="n">
        <f aca="false">IFERROR(D76/C76,"")</f>
        <v>463.35</v>
      </c>
      <c r="M76" s="32" t="n">
        <f aca="false">IFERROR(H76/D76*1000,"")</f>
        <v>3.56102298478472</v>
      </c>
      <c r="N76" s="32" t="n">
        <v>2239</v>
      </c>
      <c r="O76" s="33" t="n">
        <f aca="true">IFERROR(IF(OR(N76="",ISBLANK(INDIRECT("'"&amp;$Q$2&amp;"'!N"&amp;ROW()))),"",N76-INDIRECT("'"&amp;$Q$2&amp;"'!N"&amp;ROW())),"")</f>
        <v>18</v>
      </c>
      <c r="P76" s="3"/>
      <c r="Q76" s="3"/>
      <c r="R76" s="3"/>
      <c r="S76" s="15" t="n">
        <f aca="true">IFERROR(IF(ISBLANK(INDIRECT("'"&amp;$Q$2&amp;"'!G"&amp;ROW())),"",INDIRECT("'"&amp;$Q$2&amp;"'!G"&amp;ROW())),"")</f>
        <v>0.160717836548021</v>
      </c>
      <c r="T76" s="16" t="n">
        <f aca="false">IF(OR($G76="",$S76=""),"",$G76-$S76)</f>
        <v>-0.1023427455377</v>
      </c>
      <c r="U76" s="15" t="n">
        <f aca="true">IFERROR(IF(ISBLANK(INDIRECT("'"&amp;$Q$2&amp;"'!K"&amp;ROW())),"",INDIRECT("'"&amp;$Q$2&amp;"'!K"&amp;ROW())),"")</f>
        <v>0.25531914893617</v>
      </c>
      <c r="V76" s="16" t="n">
        <f aca="false">IF(OR($K76="",$U76=""),"",$K76-$U76)</f>
        <v>-0.360403894698882</v>
      </c>
      <c r="W76" s="17" t="n">
        <f aca="true">IFERROR(IF(ISBLANK(INDIRECT("'"&amp;$Q$2&amp;"'!O"&amp;ROW())),"",INDIRECT("'"&amp;$Q$2&amp;"'!O"&amp;ROW())),"")</f>
        <v>14</v>
      </c>
      <c r="X76" s="17" t="n">
        <f aca="false">IF(OR($O76="",$W76=""),"",$O76-$W76)</f>
        <v>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102</v>
      </c>
      <c r="D77" s="32" t="n">
        <v>7964</v>
      </c>
      <c r="E77" s="32" t="n">
        <f aca="true">IF($D77="","",IFERROR(IF(ISBLANK(INDIRECT("'"&amp;$Q$2&amp;"'!D"&amp;ROW())),"",INDIRECT("'"&amp;$Q$2&amp;"'!D"&amp;ROW())),""))</f>
        <v>6026</v>
      </c>
      <c r="F77" s="33" t="n">
        <f aca="false">IF(OR(D77="",E77=""),"",D77-E77)</f>
        <v>1938</v>
      </c>
      <c r="G77" s="34" t="n">
        <f aca="false">IFERROR(F77/E77,"")</f>
        <v>0.321606372386326</v>
      </c>
      <c r="H77" s="32" t="n">
        <v>3</v>
      </c>
      <c r="I77" s="32" t="n">
        <f aca="true">IF($H77="","",IFERROR(IF(ISBLANK(INDIRECT("'"&amp;$Q$2&amp;"'!H"&amp;ROW())),"",INDIRECT("'"&amp;$Q$2&amp;"'!H"&amp;ROW())),""))</f>
        <v>13</v>
      </c>
      <c r="J77" s="33" t="n">
        <f aca="false">IF(OR(H77="",I77=""),"",H77-I77)</f>
        <v>-10</v>
      </c>
      <c r="K77" s="34" t="n">
        <f aca="false">IFERROR(J77/I77,"")</f>
        <v>-0.769230769230769</v>
      </c>
      <c r="L77" s="32" t="n">
        <f aca="false">IFERROR(D77/C77,"")</f>
        <v>78.078431372549</v>
      </c>
      <c r="M77" s="32" t="n">
        <f aca="false">IFERROR(H77/D77*1000,"")</f>
        <v>0.376695128076344</v>
      </c>
      <c r="N77" s="32" t="n">
        <v>273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0.205923554132479</v>
      </c>
      <c r="T77" s="16" t="n">
        <f aca="false">IF(OR($G77="",$S77=""),"",$G77-$S77)</f>
        <v>0.115682818253846</v>
      </c>
      <c r="U77" s="15" t="n">
        <f aca="true">IFERROR(IF(ISBLANK(INDIRECT("'"&amp;$Q$2&amp;"'!K"&amp;ROW())),"",INDIRECT("'"&amp;$Q$2&amp;"'!K"&amp;ROW())),"")</f>
        <v>0.444444444444444</v>
      </c>
      <c r="V77" s="16" t="n">
        <f aca="false">IF(OR($K77="",$U77=""),"",$K77-$U77)</f>
        <v>-1.21367521367521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0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1186</v>
      </c>
      <c r="E78" s="32" t="n">
        <f aca="true">IF($D78="","",IFERROR(IF(ISBLANK(INDIRECT("'"&amp;$Q$2&amp;"'!D"&amp;ROW())),"",INDIRECT("'"&amp;$Q$2&amp;"'!D"&amp;ROW())),""))</f>
        <v>6796</v>
      </c>
      <c r="F78" s="33" t="n">
        <f aca="false">IF(OR(D78="",E78=""),"",D78-E78)</f>
        <v>-5610</v>
      </c>
      <c r="G78" s="34" t="n">
        <f aca="false">IFERROR(F78/E78,"")</f>
        <v>-0.825485579752796</v>
      </c>
      <c r="H78" s="32" t="n">
        <v>26</v>
      </c>
      <c r="I78" s="32" t="n">
        <f aca="true">IF($H78="","",IFERROR(IF(ISBLANK(INDIRECT("'"&amp;$Q$2&amp;"'!H"&amp;ROW())),"",INDIRECT("'"&amp;$Q$2&amp;"'!H"&amp;ROW())),""))</f>
        <v>20</v>
      </c>
      <c r="J78" s="33" t="n">
        <f aca="false">IF(OR(H78="",I78=""),"",H78-I78)</f>
        <v>6</v>
      </c>
      <c r="K78" s="34" t="n">
        <f aca="false">IFERROR(J78/I78,"")</f>
        <v>0.3</v>
      </c>
      <c r="L78" s="32" t="n">
        <f aca="false">IFERROR(D78/C78,"")</f>
        <v>169.428571428571</v>
      </c>
      <c r="M78" s="32" t="n">
        <f aca="false">IFERROR(H78/D78*1000,"")</f>
        <v>21.9224283305228</v>
      </c>
      <c r="N78" s="32" t="n">
        <v>208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5.90650406504065</v>
      </c>
      <c r="T78" s="16" t="n">
        <f aca="false">IF(OR($G78="",$S78=""),"",$G78-$S78)</f>
        <v>-6.73198964479345</v>
      </c>
      <c r="U78" s="15" t="n">
        <f aca="true">IFERROR(IF(ISBLANK(INDIRECT("'"&amp;$Q$2&amp;"'!K"&amp;ROW())),"",INDIRECT("'"&amp;$Q$2&amp;"'!K"&amp;ROW())),"")</f>
        <v>0.176470588235294</v>
      </c>
      <c r="V78" s="16" t="n">
        <f aca="false">IF(OR($K78="",$U78=""),"",$K78-$U78)</f>
        <v>0.123529411764706</v>
      </c>
      <c r="W78" s="17" t="n">
        <f aca="true">IFERROR(IF(ISBLANK(INDIRECT("'"&amp;$Q$2&amp;"'!O"&amp;ROW())),"",INDIRECT("'"&amp;$Q$2&amp;"'!O"&amp;ROW())),"")</f>
        <v>13</v>
      </c>
      <c r="X78" s="17" t="n">
        <f aca="false">IF(OR($O78="",$W78=""),"",$O78-$W78)</f>
        <v>-12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170</v>
      </c>
      <c r="E79" s="32" t="n">
        <f aca="true">IF($D79="","",IFERROR(IF(ISBLANK(INDIRECT("'"&amp;$Q$2&amp;"'!D"&amp;ROW())),"",INDIRECT("'"&amp;$Q$2&amp;"'!D"&amp;ROW())),""))</f>
        <v>65</v>
      </c>
      <c r="F79" s="33" t="n">
        <f aca="false">IF(OR(D79="",E79=""),"",D79-E79)</f>
        <v>105</v>
      </c>
      <c r="G79" s="34" t="n">
        <f aca="false">IFERROR(F79/E79,"")</f>
        <v>1.61538461538462</v>
      </c>
      <c r="H79" s="32" t="n">
        <v>2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2</v>
      </c>
      <c r="K79" s="34" t="str">
        <f aca="false">IFERROR(J79/I79,"")</f>
        <v/>
      </c>
      <c r="L79" s="32" t="n">
        <f aca="false">IFERROR(D79/C79,"")</f>
        <v>28.3333333333333</v>
      </c>
      <c r="M79" s="32" t="n">
        <f aca="false">IFERROR(H79/D79*1000,"")</f>
        <v>11.7647058823529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-0.362745098039216</v>
      </c>
      <c r="T79" s="16" t="n">
        <f aca="false">IF(OR($G79="",$S79=""),"",$G79-$S79)</f>
        <v>1.97812971342383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127</v>
      </c>
      <c r="D80" s="32" t="n">
        <v>208151</v>
      </c>
      <c r="E80" s="32" t="n">
        <f aca="true">IF($D80="","",IFERROR(IF(ISBLANK(INDIRECT("'"&amp;$Q$2&amp;"'!D"&amp;ROW())),"",INDIRECT("'"&amp;$Q$2&amp;"'!D"&amp;ROW())),""))</f>
        <v>173873</v>
      </c>
      <c r="F80" s="33" t="n">
        <f aca="false">IF(OR(D80="",E80=""),"",D80-E80)</f>
        <v>34278</v>
      </c>
      <c r="G80" s="34" t="n">
        <f aca="false">IFERROR(F80/E80,"")</f>
        <v>0.197143892381221</v>
      </c>
      <c r="H80" s="32" t="n">
        <v>1845</v>
      </c>
      <c r="I80" s="32" t="n">
        <f aca="true">IF($H80="","",IFERROR(IF(ISBLANK(INDIRECT("'"&amp;$Q$2&amp;"'!H"&amp;ROW())),"",INDIRECT("'"&amp;$Q$2&amp;"'!H"&amp;ROW())),""))</f>
        <v>1956</v>
      </c>
      <c r="J80" s="33" t="n">
        <f aca="false">IF(OR(H80="",I80=""),"",H80-I80)</f>
        <v>-111</v>
      </c>
      <c r="K80" s="34" t="n">
        <f aca="false">IFERROR(J80/I80,"")</f>
        <v>-0.0567484662576687</v>
      </c>
      <c r="L80" s="32" t="n">
        <f aca="false">IFERROR(D80/C80,"")</f>
        <v>1638.9842519685</v>
      </c>
      <c r="M80" s="32" t="n">
        <f aca="false">IFERROR(H80/D80*1000,"")</f>
        <v>8.86375756061705</v>
      </c>
      <c r="N80" s="32" t="n">
        <v>4351</v>
      </c>
      <c r="O80" s="33" t="n">
        <f aca="true">IFERROR(IF(OR(N80="",ISBLANK(INDIRECT("'"&amp;$Q$2&amp;"'!N"&amp;ROW()))),"",N80-INDIRECT("'"&amp;$Q$2&amp;"'!N"&amp;ROW())),"")</f>
        <v>37</v>
      </c>
      <c r="P80" s="3"/>
      <c r="Q80" s="3"/>
      <c r="R80" s="3"/>
      <c r="S80" s="15" t="n">
        <f aca="true">IFERROR(IF(ISBLANK(INDIRECT("'"&amp;$Q$2&amp;"'!G"&amp;ROW())),"",INDIRECT("'"&amp;$Q$2&amp;"'!G"&amp;ROW())),"")</f>
        <v>-0.160329931956363</v>
      </c>
      <c r="T80" s="16" t="n">
        <f aca="false">IF(OR($G80="",$S80=""),"",$G80-$S80)</f>
        <v>0.357473824337584</v>
      </c>
      <c r="U80" s="15" t="n">
        <f aca="true">IFERROR(IF(ISBLANK(INDIRECT("'"&amp;$Q$2&amp;"'!K"&amp;ROW())),"",INDIRECT("'"&amp;$Q$2&amp;"'!K"&amp;ROW())),"")</f>
        <v>-0.0416462518373346</v>
      </c>
      <c r="V80" s="16" t="n">
        <f aca="false">IF(OR($K80="",$U80=""),"",$K80-$U80)</f>
        <v>-0.0151022144203341</v>
      </c>
      <c r="W80" s="17" t="n">
        <f aca="true">IFERROR(IF(ISBLANK(INDIRECT("'"&amp;$Q$2&amp;"'!O"&amp;ROW())),"",INDIRECT("'"&amp;$Q$2&amp;"'!O"&amp;ROW())),"")</f>
        <v>225</v>
      </c>
      <c r="X80" s="17" t="n">
        <f aca="false">IF(OR($O80="",$W80=""),"",$O80-$W80)</f>
        <v>-188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116</v>
      </c>
      <c r="D81" s="32" t="n">
        <v>99097</v>
      </c>
      <c r="E81" s="32" t="n">
        <f aca="true">IF($D81="","",IFERROR(IF(ISBLANK(INDIRECT("'"&amp;$Q$2&amp;"'!D"&amp;ROW())),"",INDIRECT("'"&amp;$Q$2&amp;"'!D"&amp;ROW())),""))</f>
        <v>80926</v>
      </c>
      <c r="F81" s="33" t="n">
        <f aca="false">IF(OR(D81="",E81=""),"",D81-E81)</f>
        <v>18171</v>
      </c>
      <c r="G81" s="34" t="n">
        <f aca="false">IFERROR(F81/E81,"")</f>
        <v>0.224538467241678</v>
      </c>
      <c r="H81" s="32" t="n">
        <v>1986</v>
      </c>
      <c r="I81" s="32" t="n">
        <f aca="true">IF($H81="","",IFERROR(IF(ISBLANK(INDIRECT("'"&amp;$Q$2&amp;"'!H"&amp;ROW())),"",INDIRECT("'"&amp;$Q$2&amp;"'!H"&amp;ROW())),""))</f>
        <v>2027</v>
      </c>
      <c r="J81" s="33" t="n">
        <f aca="false">IF(OR(H81="",I81=""),"",H81-I81)</f>
        <v>-41</v>
      </c>
      <c r="K81" s="34" t="n">
        <f aca="false">IFERROR(J81/I81,"")</f>
        <v>-0.0202269363591515</v>
      </c>
      <c r="L81" s="32" t="n">
        <f aca="false">IFERROR(D81/C81,"")</f>
        <v>854.284482758621</v>
      </c>
      <c r="M81" s="32" t="n">
        <f aca="false">IFERROR(H81/D81*1000,"")</f>
        <v>20.0409699587273</v>
      </c>
      <c r="N81" s="32" t="n">
        <v>2504</v>
      </c>
      <c r="O81" s="33" t="n">
        <f aca="true">IFERROR(IF(OR(N81="",ISBLANK(INDIRECT("'"&amp;$Q$2&amp;"'!N"&amp;ROW()))),"",N81-INDIRECT("'"&amp;$Q$2&amp;"'!N"&amp;ROW())),"")</f>
        <v>73</v>
      </c>
      <c r="P81" s="3"/>
      <c r="Q81" s="3"/>
      <c r="R81" s="3"/>
      <c r="S81" s="15" t="n">
        <f aca="true">IFERROR(IF(ISBLANK(INDIRECT("'"&amp;$Q$2&amp;"'!G"&amp;ROW())),"",INDIRECT("'"&amp;$Q$2&amp;"'!G"&amp;ROW())),"")</f>
        <v>-0.0872424177485027</v>
      </c>
      <c r="T81" s="16" t="n">
        <f aca="false">IF(OR($G81="",$S81=""),"",$G81-$S81)</f>
        <v>0.31178088499018</v>
      </c>
      <c r="U81" s="15" t="n">
        <f aca="true">IFERROR(IF(ISBLANK(INDIRECT("'"&amp;$Q$2&amp;"'!K"&amp;ROW())),"",INDIRECT("'"&amp;$Q$2&amp;"'!K"&amp;ROW())),"")</f>
        <v>-0.219183359013867</v>
      </c>
      <c r="V81" s="16" t="n">
        <f aca="false">IF(OR($K81="",$U81=""),"",$K81-$U81)</f>
        <v>0.198956422654716</v>
      </c>
      <c r="W81" s="17" t="n">
        <f aca="true">IFERROR(IF(ISBLANK(INDIRECT("'"&amp;$Q$2&amp;"'!O"&amp;ROW())),"",INDIRECT("'"&amp;$Q$2&amp;"'!O"&amp;ROW())),"")</f>
        <v>261</v>
      </c>
      <c r="X81" s="17" t="n">
        <f aca="false">IF(OR($O81="",$W81=""),"",$O81-$W81)</f>
        <v>-188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121</v>
      </c>
      <c r="D82" s="32" t="n">
        <v>193342</v>
      </c>
      <c r="E82" s="32" t="n">
        <f aca="true">IF($D82="","",IFERROR(IF(ISBLANK(INDIRECT("'"&amp;$Q$2&amp;"'!D"&amp;ROW())),"",INDIRECT("'"&amp;$Q$2&amp;"'!D"&amp;ROW())),""))</f>
        <v>165424</v>
      </c>
      <c r="F82" s="33" t="n">
        <f aca="false">IF(OR(D82="",E82=""),"",D82-E82)</f>
        <v>27918</v>
      </c>
      <c r="G82" s="34" t="n">
        <f aca="false">IFERROR(F82/E82,"")</f>
        <v>0.168766321694555</v>
      </c>
      <c r="H82" s="32" t="n">
        <v>3704</v>
      </c>
      <c r="I82" s="32" t="n">
        <f aca="true">IF($H82="","",IFERROR(IF(ISBLANK(INDIRECT("'"&amp;$Q$2&amp;"'!H"&amp;ROW())),"",INDIRECT("'"&amp;$Q$2&amp;"'!H"&amp;ROW())),""))</f>
        <v>3383</v>
      </c>
      <c r="J82" s="33" t="n">
        <f aca="false">IF(OR(H82="",I82=""),"",H82-I82)</f>
        <v>321</v>
      </c>
      <c r="K82" s="34" t="n">
        <f aca="false">IFERROR(J82/I82,"")</f>
        <v>0.0948861956843039</v>
      </c>
      <c r="L82" s="32" t="n">
        <f aca="false">IFERROR(D82/C82,"")</f>
        <v>1597.86776859504</v>
      </c>
      <c r="M82" s="32" t="n">
        <f aca="false">IFERROR(H82/D82*1000,"")</f>
        <v>19.1577618934324</v>
      </c>
      <c r="N82" s="32" t="n">
        <v>3712</v>
      </c>
      <c r="O82" s="33" t="n">
        <f aca="true">IFERROR(IF(OR(N82="",ISBLANK(INDIRECT("'"&amp;$Q$2&amp;"'!N"&amp;ROW()))),"",N82-INDIRECT("'"&amp;$Q$2&amp;"'!N"&amp;ROW())),"")</f>
        <v>54</v>
      </c>
      <c r="P82" s="3"/>
      <c r="Q82" s="3"/>
      <c r="R82" s="3"/>
      <c r="S82" s="15" t="n">
        <f aca="true">IFERROR(IF(ISBLANK(INDIRECT("'"&amp;$Q$2&amp;"'!G"&amp;ROW())),"",INDIRECT("'"&amp;$Q$2&amp;"'!G"&amp;ROW())),"")</f>
        <v>-0.123381750544495</v>
      </c>
      <c r="T82" s="16" t="n">
        <f aca="false">IF(OR($G82="",$S82=""),"",$G82-$S82)</f>
        <v>0.29214807223905</v>
      </c>
      <c r="U82" s="15" t="n">
        <f aca="true">IFERROR(IF(ISBLANK(INDIRECT("'"&amp;$Q$2&amp;"'!K"&amp;ROW())),"",INDIRECT("'"&amp;$Q$2&amp;"'!K"&amp;ROW())),"")</f>
        <v>-0.270905172413793</v>
      </c>
      <c r="V82" s="16" t="n">
        <f aca="false">IF(OR($K82="",$U82=""),"",$K82-$U82)</f>
        <v>0.365791368098097</v>
      </c>
      <c r="W82" s="17" t="n">
        <f aca="true">IFERROR(IF(ISBLANK(INDIRECT("'"&amp;$Q$2&amp;"'!O"&amp;ROW())),"",INDIRECT("'"&amp;$Q$2&amp;"'!O"&amp;ROW())),"")</f>
        <v>41</v>
      </c>
      <c r="X82" s="17" t="n">
        <f aca="false">IF(OR($O82="",$W82=""),"",$O82-$W82)</f>
        <v>13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157</v>
      </c>
      <c r="D83" s="32" t="n">
        <v>97576</v>
      </c>
      <c r="E83" s="32" t="n">
        <f aca="true">IF($D83="","",IFERROR(IF(ISBLANK(INDIRECT("'"&amp;$Q$2&amp;"'!D"&amp;ROW())),"",INDIRECT("'"&amp;$Q$2&amp;"'!D"&amp;ROW())),""))</f>
        <v>97765</v>
      </c>
      <c r="F83" s="33" t="n">
        <f aca="false">IF(OR(D83="",E83=""),"",D83-E83)</f>
        <v>-189</v>
      </c>
      <c r="G83" s="34" t="n">
        <f aca="false">IFERROR(F83/E83,"")</f>
        <v>-0.00193320718048381</v>
      </c>
      <c r="H83" s="32" t="n">
        <v>648</v>
      </c>
      <c r="I83" s="32" t="n">
        <f aca="true">IF($H83="","",IFERROR(IF(ISBLANK(INDIRECT("'"&amp;$Q$2&amp;"'!H"&amp;ROW())),"",INDIRECT("'"&amp;$Q$2&amp;"'!H"&amp;ROW())),""))</f>
        <v>764</v>
      </c>
      <c r="J83" s="33" t="n">
        <f aca="false">IF(OR(H83="",I83=""),"",H83-I83)</f>
        <v>-116</v>
      </c>
      <c r="K83" s="34" t="n">
        <f aca="false">IFERROR(J83/I83,"")</f>
        <v>-0.151832460732984</v>
      </c>
      <c r="L83" s="32" t="n">
        <f aca="false">IFERROR(D83/C83,"")</f>
        <v>621.503184713376</v>
      </c>
      <c r="M83" s="32" t="n">
        <f aca="false">IFERROR(H83/D83*1000,"")</f>
        <v>6.64097728949742</v>
      </c>
      <c r="N83" s="32" t="n">
        <v>1797</v>
      </c>
      <c r="O83" s="33" t="n">
        <f aca="true">IFERROR(IF(OR(N83="",ISBLANK(INDIRECT("'"&amp;$Q$2&amp;"'!N"&amp;ROW()))),"",N83-INDIRECT("'"&amp;$Q$2&amp;"'!N"&amp;ROW())),"")</f>
        <v>15</v>
      </c>
      <c r="P83" s="3"/>
      <c r="Q83" s="3"/>
      <c r="R83" s="3"/>
      <c r="S83" s="15" t="n">
        <f aca="true">IFERROR(IF(ISBLANK(INDIRECT("'"&amp;$Q$2&amp;"'!G"&amp;ROW())),"",INDIRECT("'"&amp;$Q$2&amp;"'!G"&amp;ROW())),"")</f>
        <v>0.534098041677128</v>
      </c>
      <c r="T83" s="16" t="n">
        <f aca="false">IF(OR($G83="",$S83=""),"",$G83-$S83)</f>
        <v>-0.536031248857612</v>
      </c>
      <c r="U83" s="15" t="n">
        <f aca="true">IFERROR(IF(ISBLANK(INDIRECT("'"&amp;$Q$2&amp;"'!K"&amp;ROW())),"",INDIRECT("'"&amp;$Q$2&amp;"'!K"&amp;ROW())),"")</f>
        <v>0.303754266211604</v>
      </c>
      <c r="V83" s="16" t="n">
        <f aca="false">IF(OR($K83="",$U83=""),"",$K83-$U83)</f>
        <v>-0.455586726944588</v>
      </c>
      <c r="W83" s="17" t="n">
        <f aca="true">IFERROR(IF(ISBLANK(INDIRECT("'"&amp;$Q$2&amp;"'!O"&amp;ROW())),"",INDIRECT("'"&amp;$Q$2&amp;"'!O"&amp;ROW())),"")</f>
        <v>186</v>
      </c>
      <c r="X83" s="17" t="n">
        <f aca="false">IF(OR($O83="",$W83=""),"",$O83-$W83)</f>
        <v>-171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149</v>
      </c>
      <c r="D84" s="32" t="n">
        <v>38457</v>
      </c>
      <c r="E84" s="32" t="n">
        <f aca="true">IF($D84="","",IFERROR(IF(ISBLANK(INDIRECT("'"&amp;$Q$2&amp;"'!D"&amp;ROW())),"",INDIRECT("'"&amp;$Q$2&amp;"'!D"&amp;ROW())),""))</f>
        <v>24831</v>
      </c>
      <c r="F84" s="33" t="n">
        <f aca="false">IF(OR(D84="",E84=""),"",D84-E84)</f>
        <v>13626</v>
      </c>
      <c r="G84" s="34" t="n">
        <f aca="false">IFERROR(F84/E84,"")</f>
        <v>0.548749546937296</v>
      </c>
      <c r="H84" s="32" t="n">
        <v>460</v>
      </c>
      <c r="I84" s="32" t="n">
        <f aca="true">IF($H84="","",IFERROR(IF(ISBLANK(INDIRECT("'"&amp;$Q$2&amp;"'!H"&amp;ROW())),"",INDIRECT("'"&amp;$Q$2&amp;"'!H"&amp;ROW())),""))</f>
        <v>265</v>
      </c>
      <c r="J84" s="33" t="n">
        <f aca="false">IF(OR(H84="",I84=""),"",H84-I84)</f>
        <v>195</v>
      </c>
      <c r="K84" s="34" t="n">
        <f aca="false">IFERROR(J84/I84,"")</f>
        <v>0.735849056603774</v>
      </c>
      <c r="L84" s="32" t="n">
        <f aca="false">IFERROR(D84/C84,"")</f>
        <v>258.10067114094</v>
      </c>
      <c r="M84" s="32" t="n">
        <f aca="false">IFERROR(H84/D84*1000,"")</f>
        <v>11.9614114465507</v>
      </c>
      <c r="N84" s="32" t="n">
        <v>755</v>
      </c>
      <c r="O84" s="33" t="n">
        <f aca="true">IFERROR(IF(OR(N84="",ISBLANK(INDIRECT("'"&amp;$Q$2&amp;"'!N"&amp;ROW()))),"",N84-INDIRECT("'"&amp;$Q$2&amp;"'!N"&amp;ROW())),"")</f>
        <v>20</v>
      </c>
      <c r="P84" s="3"/>
      <c r="Q84" s="3"/>
      <c r="R84" s="3"/>
      <c r="S84" s="15" t="n">
        <f aca="true">IFERROR(IF(ISBLANK(INDIRECT("'"&amp;$Q$2&amp;"'!G"&amp;ROW())),"",INDIRECT("'"&amp;$Q$2&amp;"'!G"&amp;ROW())),"")</f>
        <v>-0.0394197292069633</v>
      </c>
      <c r="T84" s="16" t="n">
        <f aca="false">IF(OR($G84="",$S84=""),"",$G84-$S84)</f>
        <v>0.588169276144259</v>
      </c>
      <c r="U84" s="15" t="n">
        <f aca="true">IFERROR(IF(ISBLANK(INDIRECT("'"&amp;$Q$2&amp;"'!K"&amp;ROW())),"",INDIRECT("'"&amp;$Q$2&amp;"'!K"&amp;ROW())),"")</f>
        <v>-0.211309523809524</v>
      </c>
      <c r="V84" s="16" t="n">
        <f aca="false">IF(OR($K84="",$U84=""),"",$K84-$U84)</f>
        <v>0.947158580413297</v>
      </c>
      <c r="W84" s="17" t="n">
        <f aca="true">IFERROR(IF(ISBLANK(INDIRECT("'"&amp;$Q$2&amp;"'!O"&amp;ROW())),"",INDIRECT("'"&amp;$Q$2&amp;"'!O"&amp;ROW())),"")</f>
        <v>6</v>
      </c>
      <c r="X84" s="17" t="n">
        <f aca="false">IF(OR($O84="",$W84=""),"",$O84-$W84)</f>
        <v>14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98</v>
      </c>
      <c r="D85" s="32" t="n">
        <v>12861</v>
      </c>
      <c r="E85" s="32" t="n">
        <f aca="true">IF($D85="","",IFERROR(IF(ISBLANK(INDIRECT("'"&amp;$Q$2&amp;"'!D"&amp;ROW())),"",INDIRECT("'"&amp;$Q$2&amp;"'!D"&amp;ROW())),""))</f>
        <v>10703</v>
      </c>
      <c r="F85" s="33" t="n">
        <f aca="false">IF(OR(D85="",E85=""),"",D85-E85)</f>
        <v>2158</v>
      </c>
      <c r="G85" s="34" t="n">
        <f aca="false">IFERROR(F85/E85,"")</f>
        <v>0.201625712417079</v>
      </c>
      <c r="H85" s="32" t="n">
        <v>1019</v>
      </c>
      <c r="I85" s="32" t="n">
        <f aca="true">IF($H85="","",IFERROR(IF(ISBLANK(INDIRECT("'"&amp;$Q$2&amp;"'!H"&amp;ROW())),"",INDIRECT("'"&amp;$Q$2&amp;"'!H"&amp;ROW())),""))</f>
        <v>870</v>
      </c>
      <c r="J85" s="33" t="n">
        <f aca="false">IF(OR(H85="",I85=""),"",H85-I85)</f>
        <v>149</v>
      </c>
      <c r="K85" s="34" t="n">
        <f aca="false">IFERROR(J85/I85,"")</f>
        <v>0.171264367816092</v>
      </c>
      <c r="L85" s="32" t="n">
        <f aca="false">IFERROR(D85/C85,"")</f>
        <v>131.234693877551</v>
      </c>
      <c r="M85" s="32" t="n">
        <f aca="false">IFERROR(H85/D85*1000,"")</f>
        <v>79.2317860197496</v>
      </c>
      <c r="N85" s="32" t="n">
        <v>299</v>
      </c>
      <c r="O85" s="33" t="n">
        <f aca="true">IFERROR(IF(OR(N85="",ISBLANK(INDIRECT("'"&amp;$Q$2&amp;"'!N"&amp;ROW()))),"",N85-INDIRECT("'"&amp;$Q$2&amp;"'!N"&amp;ROW())),"")</f>
        <v>17</v>
      </c>
      <c r="P85" s="3"/>
      <c r="Q85" s="3"/>
      <c r="R85" s="3"/>
      <c r="S85" s="15" t="n">
        <f aca="true">IFERROR(IF(ISBLANK(INDIRECT("'"&amp;$Q$2&amp;"'!G"&amp;ROW())),"",INDIRECT("'"&amp;$Q$2&amp;"'!G"&amp;ROW())),"")</f>
        <v>0.299223112405924</v>
      </c>
      <c r="T85" s="16" t="n">
        <f aca="false">IF(OR($G85="",$S85=""),"",$G85-$S85)</f>
        <v>-0.0975973999888444</v>
      </c>
      <c r="U85" s="15" t="n">
        <f aca="true">IFERROR(IF(ISBLANK(INDIRECT("'"&amp;$Q$2&amp;"'!K"&amp;ROW())),"",INDIRECT("'"&amp;$Q$2&amp;"'!K"&amp;ROW())),"")</f>
        <v>0.234042553191489</v>
      </c>
      <c r="V85" s="16" t="n">
        <f aca="false">IF(OR($K85="",$U85=""),"",$K85-$U85)</f>
        <v>-0.0627781853753974</v>
      </c>
      <c r="W85" s="17" t="n">
        <f aca="true">IFERROR(IF(ISBLANK(INDIRECT("'"&amp;$Q$2&amp;"'!O"&amp;ROW())),"",INDIRECT("'"&amp;$Q$2&amp;"'!O"&amp;ROW())),"")</f>
        <v>19</v>
      </c>
      <c r="X85" s="17" t="n">
        <f aca="false">IF(OR($O85="",$W85=""),"",$O85-$W85)</f>
        <v>-2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98</v>
      </c>
      <c r="D86" s="32" t="n">
        <v>70605</v>
      </c>
      <c r="E86" s="32" t="n">
        <f aca="true">IF($D86="","",IFERROR(IF(ISBLANK(INDIRECT("'"&amp;$Q$2&amp;"'!D"&amp;ROW())),"",INDIRECT("'"&amp;$Q$2&amp;"'!D"&amp;ROW())),""))</f>
        <v>50438</v>
      </c>
      <c r="F86" s="33" t="n">
        <f aca="false">IF(OR(D86="",E86=""),"",D86-E86)</f>
        <v>20167</v>
      </c>
      <c r="G86" s="34" t="n">
        <f aca="false">IFERROR(F86/E86,"")</f>
        <v>0.399837424164321</v>
      </c>
      <c r="H86" s="32" t="n">
        <v>523</v>
      </c>
      <c r="I86" s="32" t="n">
        <f aca="true">IF($H86="","",IFERROR(IF(ISBLANK(INDIRECT("'"&amp;$Q$2&amp;"'!H"&amp;ROW())),"",INDIRECT("'"&amp;$Q$2&amp;"'!H"&amp;ROW())),""))</f>
        <v>540</v>
      </c>
      <c r="J86" s="33" t="n">
        <f aca="false">IF(OR(H86="",I86=""),"",H86-I86)</f>
        <v>-17</v>
      </c>
      <c r="K86" s="34" t="n">
        <f aca="false">IFERROR(J86/I86,"")</f>
        <v>-0.0314814814814815</v>
      </c>
      <c r="L86" s="32" t="n">
        <f aca="false">IFERROR(D86/C86,"")</f>
        <v>720.459183673469</v>
      </c>
      <c r="M86" s="32" t="n">
        <f aca="false">IFERROR(H86/D86*1000,"")</f>
        <v>7.40740740740741</v>
      </c>
      <c r="N86" s="32" t="n">
        <v>1907</v>
      </c>
      <c r="O86" s="33" t="n">
        <f aca="true">IFERROR(IF(OR(N86="",ISBLANK(INDIRECT("'"&amp;$Q$2&amp;"'!N"&amp;ROW()))),"",N86-INDIRECT("'"&amp;$Q$2&amp;"'!N"&amp;ROW())),"")</f>
        <v>17</v>
      </c>
      <c r="P86" s="3"/>
      <c r="Q86" s="3"/>
      <c r="R86" s="3"/>
      <c r="S86" s="15" t="n">
        <f aca="true">IFERROR(IF(ISBLANK(INDIRECT("'"&amp;$Q$2&amp;"'!G"&amp;ROW())),"",INDIRECT("'"&amp;$Q$2&amp;"'!G"&amp;ROW())),"")</f>
        <v>-0.341557661679852</v>
      </c>
      <c r="T86" s="16" t="n">
        <f aca="false">IF(OR($G86="",$S86=""),"",$G86-$S86)</f>
        <v>0.741395085844172</v>
      </c>
      <c r="U86" s="15" t="n">
        <f aca="true">IFERROR(IF(ISBLANK(INDIRECT("'"&amp;$Q$2&amp;"'!K"&amp;ROW())),"",INDIRECT("'"&amp;$Q$2&amp;"'!K"&amp;ROW())),"")</f>
        <v>-0.305912596401028</v>
      </c>
      <c r="V86" s="16" t="n">
        <f aca="false">IF(OR($K86="",$U86=""),"",$K86-$U86)</f>
        <v>0.274431114919547</v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13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87</v>
      </c>
      <c r="D87" s="32" t="n">
        <v>20112</v>
      </c>
      <c r="E87" s="32" t="n">
        <f aca="true">IF($D87="","",IFERROR(IF(ISBLANK(INDIRECT("'"&amp;$Q$2&amp;"'!D"&amp;ROW())),"",INDIRECT("'"&amp;$Q$2&amp;"'!D"&amp;ROW())),""))</f>
        <v>13795</v>
      </c>
      <c r="F87" s="33" t="n">
        <f aca="false">IF(OR(D87="",E87=""),"",D87-E87)</f>
        <v>6317</v>
      </c>
      <c r="G87" s="34" t="n">
        <f aca="false">IFERROR(F87/E87,"")</f>
        <v>0.457919536063791</v>
      </c>
      <c r="H87" s="32" t="n">
        <v>93</v>
      </c>
      <c r="I87" s="32" t="n">
        <f aca="true">IF($H87="","",IFERROR(IF(ISBLANK(INDIRECT("'"&amp;$Q$2&amp;"'!H"&amp;ROW())),"",INDIRECT("'"&amp;$Q$2&amp;"'!H"&amp;ROW())),""))</f>
        <v>71</v>
      </c>
      <c r="J87" s="33" t="n">
        <f aca="false">IF(OR(H87="",I87=""),"",H87-I87)</f>
        <v>22</v>
      </c>
      <c r="K87" s="34" t="n">
        <f aca="false">IFERROR(J87/I87,"")</f>
        <v>0.309859154929577</v>
      </c>
      <c r="L87" s="32" t="n">
        <f aca="false">IFERROR(D87/C87,"")</f>
        <v>231.172413793103</v>
      </c>
      <c r="M87" s="32" t="n">
        <f aca="false">IFERROR(H87/D87*1000,"")</f>
        <v>4.62410501193317</v>
      </c>
      <c r="N87" s="32" t="n">
        <v>517</v>
      </c>
      <c r="O87" s="33" t="n">
        <f aca="true">IFERROR(IF(OR(N87="",ISBLANK(INDIRECT("'"&amp;$Q$2&amp;"'!N"&amp;ROW()))),"",N87-INDIRECT("'"&amp;$Q$2&amp;"'!N"&amp;ROW())),"")</f>
        <v>23</v>
      </c>
      <c r="P87" s="3"/>
      <c r="Q87" s="3"/>
      <c r="R87" s="3"/>
      <c r="S87" s="15" t="n">
        <f aca="true">IFERROR(IF(ISBLANK(INDIRECT("'"&amp;$Q$2&amp;"'!G"&amp;ROW())),"",INDIRECT("'"&amp;$Q$2&amp;"'!G"&amp;ROW())),"")</f>
        <v>0.391185962081485</v>
      </c>
      <c r="T87" s="16" t="n">
        <f aca="false">IF(OR($G87="",$S87=""),"",$G87-$S87)</f>
        <v>0.0667335739823067</v>
      </c>
      <c r="U87" s="15" t="n">
        <f aca="true">IFERROR(IF(ISBLANK(INDIRECT("'"&amp;$Q$2&amp;"'!K"&amp;ROW())),"",INDIRECT("'"&amp;$Q$2&amp;"'!K"&amp;ROW())),"")</f>
        <v>1.36666666666667</v>
      </c>
      <c r="V87" s="16" t="n">
        <f aca="false">IF(OR($K87="",$U87=""),"",$K87-$U87)</f>
        <v>-1.05680751173709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50</v>
      </c>
      <c r="D88" s="32" t="n">
        <v>9959</v>
      </c>
      <c r="E88" s="32" t="n">
        <f aca="true">IF($D88="","",IFERROR(IF(ISBLANK(INDIRECT("'"&amp;$Q$2&amp;"'!D"&amp;ROW())),"",INDIRECT("'"&amp;$Q$2&amp;"'!D"&amp;ROW())),""))</f>
        <v>6828</v>
      </c>
      <c r="F88" s="33" t="n">
        <f aca="false">IF(OR(D88="",E88=""),"",D88-E88)</f>
        <v>3131</v>
      </c>
      <c r="G88" s="34" t="n">
        <f aca="false">IFERROR(F88/E88,"")</f>
        <v>0.458553016988869</v>
      </c>
      <c r="H88" s="32" t="n">
        <v>73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0</v>
      </c>
      <c r="K88" s="34" t="n">
        <f aca="false">IFERROR(J88/I88,"")</f>
        <v>0</v>
      </c>
      <c r="L88" s="32" t="n">
        <f aca="false">IFERROR(D88/C88,"")</f>
        <v>199.18</v>
      </c>
      <c r="M88" s="32" t="n">
        <f aca="false">IFERROR(H88/D88*1000,"")</f>
        <v>7.3300532181946</v>
      </c>
      <c r="N88" s="32" t="n">
        <v>430</v>
      </c>
      <c r="O88" s="33" t="n">
        <f aca="true">IFERROR(IF(OR(N88="",ISBLANK(INDIRECT("'"&amp;$Q$2&amp;"'!N"&amp;ROW()))),"",N88-INDIRECT("'"&amp;$Q$2&amp;"'!N"&amp;ROW())),"")</f>
        <v>8</v>
      </c>
      <c r="P88" s="3"/>
      <c r="Q88" s="3"/>
      <c r="R88" s="3"/>
      <c r="S88" s="15" t="n">
        <f aca="true">IFERROR(IF(ISBLANK(INDIRECT("'"&amp;$Q$2&amp;"'!G"&amp;ROW())),"",INDIRECT("'"&amp;$Q$2&amp;"'!G"&amp;ROW())),"")</f>
        <v>-0.0185424752048297</v>
      </c>
      <c r="T88" s="16" t="n">
        <f aca="false">IF(OR($G88="",$S88=""),"",$G88-$S88)</f>
        <v>0.477095492193699</v>
      </c>
      <c r="U88" s="15" t="n">
        <f aca="true">IFERROR(IF(ISBLANK(INDIRECT("'"&amp;$Q$2&amp;"'!K"&amp;ROW())),"",INDIRECT("'"&amp;$Q$2&amp;"'!K"&amp;ROW())),"")</f>
        <v>0.106060606060606</v>
      </c>
      <c r="V88" s="16" t="n">
        <f aca="false">IF(OR($K88="",$U88=""),"",$K88-$U88)</f>
        <v>-0.106060606060606</v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72</v>
      </c>
      <c r="D89" s="32" t="n">
        <v>13123</v>
      </c>
      <c r="E89" s="32" t="n">
        <f aca="true">IF($D89="","",IFERROR(IF(ISBLANK(INDIRECT("'"&amp;$Q$2&amp;"'!D"&amp;ROW())),"",INDIRECT("'"&amp;$Q$2&amp;"'!D"&amp;ROW())),""))</f>
        <v>10073</v>
      </c>
      <c r="F89" s="33" t="n">
        <f aca="false">IF(OR(D89="",E89=""),"",D89-E89)</f>
        <v>3050</v>
      </c>
      <c r="G89" s="34" t="n">
        <f aca="false">IFERROR(F89/E89,"")</f>
        <v>0.302789635659684</v>
      </c>
      <c r="H89" s="32" t="n">
        <v>212</v>
      </c>
      <c r="I89" s="32" t="n">
        <f aca="true">IF($H89="","",IFERROR(IF(ISBLANK(INDIRECT("'"&amp;$Q$2&amp;"'!H"&amp;ROW())),"",INDIRECT("'"&amp;$Q$2&amp;"'!H"&amp;ROW())),""))</f>
        <v>219</v>
      </c>
      <c r="J89" s="33" t="n">
        <f aca="false">IF(OR(H89="",I89=""),"",H89-I89)</f>
        <v>-7</v>
      </c>
      <c r="K89" s="34" t="n">
        <f aca="false">IFERROR(J89/I89,"")</f>
        <v>-0.0319634703196347</v>
      </c>
      <c r="L89" s="32" t="n">
        <f aca="false">IFERROR(D89/C89,"")</f>
        <v>182.263888888889</v>
      </c>
      <c r="M89" s="32" t="n">
        <f aca="false">IFERROR(H89/D89*1000,"")</f>
        <v>16.1548426426884</v>
      </c>
      <c r="N89" s="32" t="n">
        <v>449</v>
      </c>
      <c r="O89" s="33" t="n">
        <f aca="true">IFERROR(IF(OR(N89="",ISBLANK(INDIRECT("'"&amp;$Q$2&amp;"'!N"&amp;ROW()))),"",N89-INDIRECT("'"&amp;$Q$2&amp;"'!N"&amp;ROW())),"")</f>
        <v>7</v>
      </c>
      <c r="P89" s="3"/>
      <c r="Q89" s="3"/>
      <c r="R89" s="3"/>
      <c r="S89" s="15" t="n">
        <f aca="true">IFERROR(IF(ISBLANK(INDIRECT("'"&amp;$Q$2&amp;"'!G"&amp;ROW())),"",INDIRECT("'"&amp;$Q$2&amp;"'!G"&amp;ROW())),"")</f>
        <v>0.255202492211838</v>
      </c>
      <c r="T89" s="16" t="n">
        <f aca="false">IF(OR($G89="",$S89=""),"",$G89-$S89)</f>
        <v>0.0475871434478463</v>
      </c>
      <c r="U89" s="15" t="n">
        <f aca="true">IFERROR(IF(ISBLANK(INDIRECT("'"&amp;$Q$2&amp;"'!K"&amp;ROW())),"",INDIRECT("'"&amp;$Q$2&amp;"'!K"&amp;ROW())),"")</f>
        <v>0.469798657718121</v>
      </c>
      <c r="V89" s="16" t="n">
        <f aca="false">IF(OR($K89="",$U89=""),"",$K89-$U89)</f>
        <v>-0.501762128037756</v>
      </c>
      <c r="W89" s="17" t="n">
        <f aca="true">IFERROR(IF(ISBLANK(INDIRECT("'"&amp;$Q$2&amp;"'!O"&amp;ROW())),"",INDIRECT("'"&amp;$Q$2&amp;"'!O"&amp;ROW())),"")</f>
        <v>0</v>
      </c>
      <c r="X89" s="17" t="n">
        <f aca="false">IF(OR($O89="",$W89=""),"",$O89-$W89)</f>
        <v>7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72</v>
      </c>
      <c r="D90" s="32" t="n">
        <v>40691</v>
      </c>
      <c r="E90" s="32" t="n">
        <f aca="true">IF($D90="","",IFERROR(IF(ISBLANK(INDIRECT("'"&amp;$Q$2&amp;"'!D"&amp;ROW())),"",INDIRECT("'"&amp;$Q$2&amp;"'!D"&amp;ROW())),""))</f>
        <v>40361</v>
      </c>
      <c r="F90" s="33" t="n">
        <f aca="false">IF(OR(D90="",E90=""),"",D90-E90)</f>
        <v>330</v>
      </c>
      <c r="G90" s="34" t="n">
        <f aca="false">IFERROR(F90/E90,"")</f>
        <v>0.0081762097073908</v>
      </c>
      <c r="H90" s="32" t="n">
        <v>950</v>
      </c>
      <c r="I90" s="32" t="n">
        <f aca="true">IF($H90="","",IFERROR(IF(ISBLANK(INDIRECT("'"&amp;$Q$2&amp;"'!H"&amp;ROW())),"",INDIRECT("'"&amp;$Q$2&amp;"'!H"&amp;ROW())),""))</f>
        <v>1021</v>
      </c>
      <c r="J90" s="33" t="n">
        <f aca="false">IF(OR(H90="",I90=""),"",H90-I90)</f>
        <v>-71</v>
      </c>
      <c r="K90" s="34" t="n">
        <f aca="false">IFERROR(J90/I90,"")</f>
        <v>-0.069539666993144</v>
      </c>
      <c r="L90" s="32" t="n">
        <f aca="false">IFERROR(D90/C90,"")</f>
        <v>565.152777777778</v>
      </c>
      <c r="M90" s="32" t="n">
        <f aca="false">IFERROR(H90/D90*1000,"")</f>
        <v>23.346685999361</v>
      </c>
      <c r="N90" s="32" t="n">
        <v>1485</v>
      </c>
      <c r="O90" s="33" t="n">
        <f aca="true">IFERROR(IF(OR(N90="",ISBLANK(INDIRECT("'"&amp;$Q$2&amp;"'!N"&amp;ROW()))),"",N90-INDIRECT("'"&amp;$Q$2&amp;"'!N"&amp;ROW())),"")</f>
        <v>14</v>
      </c>
      <c r="P90" s="3"/>
      <c r="Q90" s="3"/>
      <c r="R90" s="3"/>
      <c r="S90" s="15" t="n">
        <f aca="true">IFERROR(IF(ISBLANK(INDIRECT("'"&amp;$Q$2&amp;"'!G"&amp;ROW())),"",INDIRECT("'"&amp;$Q$2&amp;"'!G"&amp;ROW())),"")</f>
        <v>0.504099277036595</v>
      </c>
      <c r="T90" s="16" t="n">
        <f aca="false">IF(OR($G90="",$S90=""),"",$G90-$S90)</f>
        <v>-0.495923067329205</v>
      </c>
      <c r="U90" s="15" t="n">
        <f aca="true">IFERROR(IF(ISBLANK(INDIRECT("'"&amp;$Q$2&amp;"'!K"&amp;ROW())),"",INDIRECT("'"&amp;$Q$2&amp;"'!K"&amp;ROW())),"")</f>
        <v>0.76643598615917</v>
      </c>
      <c r="V90" s="16" t="n">
        <f aca="false">IF(OR($K90="",$U90=""),"",$K90-$U90)</f>
        <v>-0.835975653152314</v>
      </c>
      <c r="W90" s="17" t="n">
        <f aca="true">IFERROR(IF(ISBLANK(INDIRECT("'"&amp;$Q$2&amp;"'!O"&amp;ROW())),"",INDIRECT("'"&amp;$Q$2&amp;"'!O"&amp;ROW())),"")</f>
        <v>25</v>
      </c>
      <c r="X90" s="17" t="n">
        <f aca="false">IF(OR($O90="",$W90=""),"",$O90-$W90)</f>
        <v>-11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103</v>
      </c>
      <c r="D91" s="32" t="n">
        <v>111978</v>
      </c>
      <c r="E91" s="32" t="n">
        <f aca="true">IF($D91="","",IFERROR(IF(ISBLANK(INDIRECT("'"&amp;$Q$2&amp;"'!D"&amp;ROW())),"",INDIRECT("'"&amp;$Q$2&amp;"'!D"&amp;ROW())),""))</f>
        <v>78063</v>
      </c>
      <c r="F91" s="33" t="n">
        <f aca="false">IF(OR(D91="",E91=""),"",D91-E91)</f>
        <v>33915</v>
      </c>
      <c r="G91" s="34" t="n">
        <f aca="false">IFERROR(F91/E91,"")</f>
        <v>0.4344567849045</v>
      </c>
      <c r="H91" s="32" t="n">
        <v>1157</v>
      </c>
      <c r="I91" s="32" t="n">
        <f aca="true">IF($H91="","",IFERROR(IF(ISBLANK(INDIRECT("'"&amp;$Q$2&amp;"'!H"&amp;ROW())),"",INDIRECT("'"&amp;$Q$2&amp;"'!H"&amp;ROW())),""))</f>
        <v>946</v>
      </c>
      <c r="J91" s="33" t="n">
        <f aca="false">IF(OR(H91="",I91=""),"",H91-I91)</f>
        <v>211</v>
      </c>
      <c r="K91" s="34" t="n">
        <f aca="false">IFERROR(J91/I91,"")</f>
        <v>0.223044397463002</v>
      </c>
      <c r="L91" s="32" t="n">
        <f aca="false">IFERROR(D91/C91,"")</f>
        <v>1087.16504854369</v>
      </c>
      <c r="M91" s="32" t="n">
        <f aca="false">IFERROR(H91/D91*1000,"")</f>
        <v>10.3323867188198</v>
      </c>
      <c r="N91" s="32" t="n">
        <v>2583</v>
      </c>
      <c r="O91" s="33" t="n">
        <f aca="true">IFERROR(IF(OR(N91="",ISBLANK(INDIRECT("'"&amp;$Q$2&amp;"'!N"&amp;ROW()))),"",N91-INDIRECT("'"&amp;$Q$2&amp;"'!N"&amp;ROW())),"")</f>
        <v>101</v>
      </c>
      <c r="P91" s="3"/>
      <c r="Q91" s="3"/>
      <c r="R91" s="3"/>
      <c r="S91" s="15" t="n">
        <f aca="true">IFERROR(IF(ISBLANK(INDIRECT("'"&amp;$Q$2&amp;"'!G"&amp;ROW())),"",INDIRECT("'"&amp;$Q$2&amp;"'!G"&amp;ROW())),"")</f>
        <v>-0.17349045516628</v>
      </c>
      <c r="T91" s="16" t="n">
        <f aca="false">IF(OR($G91="",$S91=""),"",$G91-$S91)</f>
        <v>0.607947240070781</v>
      </c>
      <c r="U91" s="15" t="n">
        <f aca="true">IFERROR(IF(ISBLANK(INDIRECT("'"&amp;$Q$2&amp;"'!K"&amp;ROW())),"",INDIRECT("'"&amp;$Q$2&amp;"'!K"&amp;ROW())),"")</f>
        <v>-0.301845018450185</v>
      </c>
      <c r="V91" s="16" t="n">
        <f aca="false">IF(OR($K91="",$U91=""),"",$K91-$U91)</f>
        <v>0.524889415913187</v>
      </c>
      <c r="W91" s="17" t="n">
        <f aca="true">IFERROR(IF(ISBLANK(INDIRECT("'"&amp;$Q$2&amp;"'!O"&amp;ROW())),"",INDIRECT("'"&amp;$Q$2&amp;"'!O"&amp;ROW())),"")</f>
        <v>72</v>
      </c>
      <c r="X91" s="17" t="n">
        <f aca="false">IF(OR($O91="",$W91=""),"",$O91-$W91)</f>
        <v>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112</v>
      </c>
      <c r="D92" s="32" t="n">
        <v>58955</v>
      </c>
      <c r="E92" s="32" t="n">
        <f aca="true">IF($D92="","",IFERROR(IF(ISBLANK(INDIRECT("'"&amp;$Q$2&amp;"'!D"&amp;ROW())),"",INDIRECT("'"&amp;$Q$2&amp;"'!D"&amp;ROW())),""))</f>
        <v>38832</v>
      </c>
      <c r="F92" s="33" t="n">
        <f aca="false">IF(OR(D92="",E92=""),"",D92-E92)</f>
        <v>20123</v>
      </c>
      <c r="G92" s="34" t="n">
        <f aca="false">IFERROR(F92/E92,"")</f>
        <v>0.518206633704162</v>
      </c>
      <c r="H92" s="32" t="n">
        <v>642</v>
      </c>
      <c r="I92" s="32" t="n">
        <f aca="true">IF($H92="","",IFERROR(IF(ISBLANK(INDIRECT("'"&amp;$Q$2&amp;"'!H"&amp;ROW())),"",INDIRECT("'"&amp;$Q$2&amp;"'!H"&amp;ROW())),""))</f>
        <v>521</v>
      </c>
      <c r="J92" s="33" t="n">
        <f aca="false">IF(OR(H92="",I92=""),"",H92-I92)</f>
        <v>121</v>
      </c>
      <c r="K92" s="34" t="n">
        <f aca="false">IFERROR(J92/I92,"")</f>
        <v>0.232245681381958</v>
      </c>
      <c r="L92" s="32" t="n">
        <f aca="false">IFERROR(D92/C92,"")</f>
        <v>526.383928571429</v>
      </c>
      <c r="M92" s="32" t="n">
        <f aca="false">IFERROR(H92/D92*1000,"")</f>
        <v>10.8896616063099</v>
      </c>
      <c r="N92" s="32" t="n">
        <v>1211</v>
      </c>
      <c r="O92" s="33" t="n">
        <f aca="true">IFERROR(IF(OR(N92="",ISBLANK(INDIRECT("'"&amp;$Q$2&amp;"'!N"&amp;ROW()))),"",N92-INDIRECT("'"&amp;$Q$2&amp;"'!N"&amp;ROW())),"")</f>
        <v>17</v>
      </c>
      <c r="P92" s="3"/>
      <c r="Q92" s="3"/>
      <c r="R92" s="3"/>
      <c r="S92" s="15" t="n">
        <f aca="true">IFERROR(IF(ISBLANK(INDIRECT("'"&amp;$Q$2&amp;"'!G"&amp;ROW())),"",INDIRECT("'"&amp;$Q$2&amp;"'!G"&amp;ROW())),"")</f>
        <v>0.0706959302966803</v>
      </c>
      <c r="T92" s="16" t="n">
        <f aca="false">IF(OR($G92="",$S92=""),"",$G92-$S92)</f>
        <v>0.447510703407481</v>
      </c>
      <c r="U92" s="15" t="n">
        <f aca="true">IFERROR(IF(ISBLANK(INDIRECT("'"&amp;$Q$2&amp;"'!K"&amp;ROW())),"",INDIRECT("'"&amp;$Q$2&amp;"'!K"&amp;ROW())),"")</f>
        <v>-0.0612612612612613</v>
      </c>
      <c r="V92" s="16" t="n">
        <f aca="false">IF(OR($K92="",$U92=""),"",$K92-$U92)</f>
        <v>0.293506942643219</v>
      </c>
      <c r="W92" s="17" t="n">
        <f aca="true">IFERROR(IF(ISBLANK(INDIRECT("'"&amp;$Q$2&amp;"'!O"&amp;ROW())),"",INDIRECT("'"&amp;$Q$2&amp;"'!O"&amp;ROW())),"")</f>
        <v>48</v>
      </c>
      <c r="X92" s="17" t="n">
        <f aca="false">IF(OR($O92="",$W92=""),"",$O92-$W92)</f>
        <v>-31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25</v>
      </c>
      <c r="D93" s="32" t="n">
        <v>11036</v>
      </c>
      <c r="E93" s="32" t="n">
        <f aca="true">IF($D93="","",IFERROR(IF(ISBLANK(INDIRECT("'"&amp;$Q$2&amp;"'!D"&amp;ROW())),"",INDIRECT("'"&amp;$Q$2&amp;"'!D"&amp;ROW())),""))</f>
        <v>14087</v>
      </c>
      <c r="F93" s="33" t="n">
        <f aca="false">IF(OR(D93="",E93=""),"",D93-E93)</f>
        <v>-3051</v>
      </c>
      <c r="G93" s="34" t="n">
        <f aca="false">IFERROR(F93/E93,"")</f>
        <v>-0.216582664868318</v>
      </c>
      <c r="H93" s="32" t="n">
        <v>771</v>
      </c>
      <c r="I93" s="32" t="n">
        <f aca="true">IF($H93="","",IFERROR(IF(ISBLANK(INDIRECT("'"&amp;$Q$2&amp;"'!H"&amp;ROW())),"",INDIRECT("'"&amp;$Q$2&amp;"'!H"&amp;ROW())),""))</f>
        <v>924</v>
      </c>
      <c r="J93" s="33" t="n">
        <f aca="false">IF(OR(H93="",I93=""),"",H93-I93)</f>
        <v>-153</v>
      </c>
      <c r="K93" s="34" t="n">
        <f aca="false">IFERROR(J93/I93,"")</f>
        <v>-0.165584415584416</v>
      </c>
      <c r="L93" s="32" t="n">
        <f aca="false">IFERROR(D93/C93,"")</f>
        <v>441.44</v>
      </c>
      <c r="M93" s="32" t="n">
        <f aca="false">IFERROR(H93/D93*1000,"")</f>
        <v>69.862268938021</v>
      </c>
      <c r="N93" s="32" t="n">
        <v>1357</v>
      </c>
      <c r="O93" s="33" t="n">
        <f aca="true">IFERROR(IF(OR(N93="",ISBLANK(INDIRECT("'"&amp;$Q$2&amp;"'!N"&amp;ROW()))),"",N93-INDIRECT("'"&amp;$Q$2&amp;"'!N"&amp;ROW())),"")</f>
        <v>2</v>
      </c>
      <c r="P93" s="3"/>
      <c r="Q93" s="3"/>
      <c r="R93" s="3"/>
      <c r="S93" s="15" t="n">
        <f aca="true">IFERROR(IF(ISBLANK(INDIRECT("'"&amp;$Q$2&amp;"'!G"&amp;ROW())),"",INDIRECT("'"&amp;$Q$2&amp;"'!G"&amp;ROW())),"")</f>
        <v>-0.172958374919274</v>
      </c>
      <c r="T93" s="16" t="n">
        <f aca="false">IF(OR($G93="",$S93=""),"",$G93-$S93)</f>
        <v>-0.043624289949044</v>
      </c>
      <c r="U93" s="15" t="n">
        <f aca="true">IFERROR(IF(ISBLANK(INDIRECT("'"&amp;$Q$2&amp;"'!K"&amp;ROW())),"",INDIRECT("'"&amp;$Q$2&amp;"'!K"&amp;ROW())),"")</f>
        <v>-0.155393053016453</v>
      </c>
      <c r="V93" s="16" t="n">
        <f aca="false">IF(OR($K93="",$U93=""),"",$K93-$U93)</f>
        <v>-0.0101913625679622</v>
      </c>
      <c r="W93" s="17" t="n">
        <f aca="true">IFERROR(IF(ISBLANK(INDIRECT("'"&amp;$Q$2&amp;"'!O"&amp;ROW())),"",INDIRECT("'"&amp;$Q$2&amp;"'!O"&amp;ROW())),"")</f>
        <v>6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895</v>
      </c>
      <c r="E94" s="32" t="n">
        <f aca="true">IF($D94="","",IFERROR(IF(ISBLANK(INDIRECT("'"&amp;$Q$2&amp;"'!D"&amp;ROW())),"",INDIRECT("'"&amp;$Q$2&amp;"'!D"&amp;ROW())),""))</f>
        <v>1841</v>
      </c>
      <c r="F94" s="33" t="n">
        <f aca="false">IF(OR(D94="",E94=""),"",D94-E94)</f>
        <v>-946</v>
      </c>
      <c r="G94" s="34" t="n">
        <f aca="false">IFERROR(F94/E94,"")</f>
        <v>-0.513851167843563</v>
      </c>
      <c r="H94" s="32" t="n">
        <v>41</v>
      </c>
      <c r="I94" s="32" t="n">
        <f aca="true">IF($H94="","",IFERROR(IF(ISBLANK(INDIRECT("'"&amp;$Q$2&amp;"'!H"&amp;ROW())),"",INDIRECT("'"&amp;$Q$2&amp;"'!H"&amp;ROW())),""))</f>
        <v>58</v>
      </c>
      <c r="J94" s="33" t="n">
        <f aca="false">IF(OR(H94="",I94=""),"",H94-I94)</f>
        <v>-17</v>
      </c>
      <c r="K94" s="34" t="n">
        <f aca="false">IFERROR(J94/I94,"")</f>
        <v>-0.293103448275862</v>
      </c>
      <c r="L94" s="32" t="n">
        <f aca="false">IFERROR(D94/C94,"")</f>
        <v>127.857142857143</v>
      </c>
      <c r="M94" s="32" t="n">
        <f aca="false">IFERROR(H94/D94*1000,"")</f>
        <v>45.8100558659218</v>
      </c>
      <c r="N94" s="32" t="n">
        <v>234</v>
      </c>
      <c r="O94" s="33" t="n">
        <f aca="true">IFERROR(IF(OR(N94="",ISBLANK(INDIRECT("'"&amp;$Q$2&amp;"'!N"&amp;ROW()))),"",N94-INDIRECT("'"&amp;$Q$2&amp;"'!N"&amp;ROW())),"")</f>
        <v>0</v>
      </c>
      <c r="P94" s="3"/>
      <c r="Q94" s="3"/>
      <c r="R94" s="3"/>
      <c r="S94" s="15" t="n">
        <f aca="true">IFERROR(IF(ISBLANK(INDIRECT("'"&amp;$Q$2&amp;"'!G"&amp;ROW())),"",INDIRECT("'"&amp;$Q$2&amp;"'!G"&amp;ROW())),"")</f>
        <v>1.15070093457944</v>
      </c>
      <c r="T94" s="16" t="n">
        <f aca="false">IF(OR($G94="",$S94=""),"",$G94-$S94)</f>
        <v>-1.664552102423</v>
      </c>
      <c r="U94" s="15" t="n">
        <f aca="true">IFERROR(IF(ISBLANK(INDIRECT("'"&amp;$Q$2&amp;"'!K"&amp;ROW())),"",INDIRECT("'"&amp;$Q$2&amp;"'!K"&amp;ROW())),"")</f>
        <v>0.260869565217391</v>
      </c>
      <c r="V94" s="16" t="n">
        <f aca="false">IF(OR($K94="",$U94=""),"",$K94-$U94)</f>
        <v>-0.553973013493253</v>
      </c>
      <c r="W94" s="17" t="n">
        <f aca="true">IFERROR(IF(ISBLANK(INDIRECT("'"&amp;$Q$2&amp;"'!O"&amp;ROW())),"",INDIRECT("'"&amp;$Q$2&amp;"'!O"&amp;ROW())),"")</f>
        <v>10</v>
      </c>
      <c r="X94" s="17" t="n">
        <f aca="false">IF(OR($O94="",$W94=""),"",$O94-$W94)</f>
        <v>-10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2103</v>
      </c>
      <c r="E95" s="32" t="n">
        <f aca="true">IF($D95="","",IFERROR(IF(ISBLANK(INDIRECT("'"&amp;$Q$2&amp;"'!D"&amp;ROW())),"",INDIRECT("'"&amp;$Q$2&amp;"'!D"&amp;ROW())),""))</f>
        <v>978</v>
      </c>
      <c r="F95" s="33" t="n">
        <f aca="false">IF(OR(D95="",E95=""),"",D95-E95)</f>
        <v>1125</v>
      </c>
      <c r="G95" s="34" t="n">
        <f aca="false">IFERROR(F95/E95,"")</f>
        <v>1.15030674846626</v>
      </c>
      <c r="H95" s="32" t="n">
        <v>57</v>
      </c>
      <c r="I95" s="32" t="n">
        <f aca="true">IF($H95="","",IFERROR(IF(ISBLANK(INDIRECT("'"&amp;$Q$2&amp;"'!H"&amp;ROW())),"",INDIRECT("'"&amp;$Q$2&amp;"'!H"&amp;ROW())),""))</f>
        <v>54</v>
      </c>
      <c r="J95" s="33" t="n">
        <f aca="false">IF(OR(H95="",I95=""),"",H95-I95)</f>
        <v>3</v>
      </c>
      <c r="K95" s="34" t="n">
        <f aca="false">IFERROR(J95/I95,"")</f>
        <v>0.0555555555555556</v>
      </c>
      <c r="L95" s="32" t="n">
        <f aca="false">IFERROR(D95/C95,"")</f>
        <v>350.5</v>
      </c>
      <c r="M95" s="32" t="n">
        <f aca="false">IFERROR(H95/D95*1000,"")</f>
        <v>27.1041369472183</v>
      </c>
      <c r="N95" s="32" t="n">
        <v>308</v>
      </c>
      <c r="O95" s="33" t="n">
        <f aca="true">IFERROR(IF(OR(N95="",ISBLANK(INDIRECT("'"&amp;$Q$2&amp;"'!N"&amp;ROW()))),"",N95-INDIRECT("'"&amp;$Q$2&amp;"'!N"&amp;ROW())),"")</f>
        <v>13</v>
      </c>
      <c r="P95" s="3"/>
      <c r="Q95" s="3"/>
      <c r="R95" s="3"/>
      <c r="S95" s="15" t="n">
        <f aca="true">IFERROR(IF(ISBLANK(INDIRECT("'"&amp;$Q$2&amp;"'!G"&amp;ROW())),"",INDIRECT("'"&amp;$Q$2&amp;"'!G"&amp;ROW())),"")</f>
        <v>-0.850390087195961</v>
      </c>
      <c r="T95" s="16" t="n">
        <f aca="false">IF(OR($G95="",$S95=""),"",$G95-$S95)</f>
        <v>2.00069683566222</v>
      </c>
      <c r="U95" s="15" t="n">
        <f aca="true">IFERROR(IF(ISBLANK(INDIRECT("'"&amp;$Q$2&amp;"'!K"&amp;ROW())),"",INDIRECT("'"&amp;$Q$2&amp;"'!K"&amp;ROW())),"")</f>
        <v>-0.6</v>
      </c>
      <c r="V95" s="16" t="n">
        <f aca="false">IF(OR($K95="",$U95=""),"",$K95-$U95)</f>
        <v>0.655555555555556</v>
      </c>
      <c r="W95" s="17" t="n">
        <f aca="true">IFERROR(IF(ISBLANK(INDIRECT("'"&amp;$Q$2&amp;"'!O"&amp;ROW())),"",INDIRECT("'"&amp;$Q$2&amp;"'!O"&amp;ROW())),"")</f>
        <v>17</v>
      </c>
      <c r="X95" s="17" t="n">
        <f aca="false">IF(OR($O95="",$W95=""),"",$O95-$W95)</f>
        <v>-4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1834</v>
      </c>
      <c r="D96" s="36" t="n">
        <f aca="false">SUM(D75:D95)</f>
        <v>1238429</v>
      </c>
      <c r="E96" s="36" t="n">
        <f aca="false">SUM(E75:E95)</f>
        <v>1040303</v>
      </c>
      <c r="F96" s="37" t="n">
        <f aca="false">SUM(F75:F95)</f>
        <v>198126</v>
      </c>
      <c r="G96" s="38" t="n">
        <f aca="false">IF(C96=0,"",IFERROR(F96/E96,""))</f>
        <v>0.19045028227353</v>
      </c>
      <c r="H96" s="36" t="n">
        <f aca="false">SUM(H75:H95)</f>
        <v>16231</v>
      </c>
      <c r="I96" s="36" t="n">
        <f aca="false">SUM(I75:I95)</f>
        <v>15800</v>
      </c>
      <c r="J96" s="37" t="n">
        <f aca="false">SUM(J75:J95)</f>
        <v>431</v>
      </c>
      <c r="K96" s="38" t="n">
        <f aca="false">IF(C96=0,"",IFERROR(J96/I96,""))</f>
        <v>0.0272784810126582</v>
      </c>
      <c r="L96" s="36" t="n">
        <f aca="false">IFERROR(D96/C96,"")</f>
        <v>675.261177753544</v>
      </c>
      <c r="M96" s="36" t="n">
        <f aca="false">IFERROR(H96/D96*1000,"")</f>
        <v>13.1061207384517</v>
      </c>
      <c r="N96" s="36" t="n">
        <f aca="false">SUM(N75:N95)</f>
        <v>31056</v>
      </c>
      <c r="O96" s="37" t="n">
        <f aca="false">SUM(O75:O95)</f>
        <v>560</v>
      </c>
      <c r="P96" s="3"/>
      <c r="Q96" s="3"/>
      <c r="R96" s="3"/>
      <c r="S96" s="23" t="n">
        <f aca="true">IFERROR(IF(ISBLANK(INDIRECT("'"&amp;$Q$2&amp;"'!G"&amp;ROW())),"",INDIRECT("'"&amp;$Q$2&amp;"'!G"&amp;ROW())),"")</f>
        <v>-0.0258058172419606</v>
      </c>
      <c r="T96" s="24" t="n">
        <f aca="false">IF(OR($G96="",$S96=""),"",$G96-$S96)</f>
        <v>0.21625609951549</v>
      </c>
      <c r="U96" s="23" t="n">
        <f aca="true">IFERROR(IF(ISBLANK(INDIRECT("'"&amp;$Q$2&amp;"'!K"&amp;ROW())),"",INDIRECT("'"&amp;$Q$2&amp;"'!K"&amp;ROW())),"")</f>
        <v>-0.0841641548805936</v>
      </c>
      <c r="V96" s="24" t="n">
        <f aca="false">IF(OR($K96="",$U96=""),"",$K96-$U96)</f>
        <v>0.111442635893252</v>
      </c>
      <c r="W96" s="25" t="n">
        <f aca="true">IFERROR(IF(ISBLANK(INDIRECT("'"&amp;$Q$2&amp;"'!O"&amp;ROW())),"",INDIRECT("'"&amp;$Q$2&amp;"'!O"&amp;ROW())),"")</f>
        <v>1059</v>
      </c>
      <c r="X96" s="25" t="n">
        <f aca="false">IF(OR(C96=0,$O96="",$W96=""),"",$O96-$W96)</f>
        <v>-499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7952</v>
      </c>
      <c r="D97" s="40" t="n">
        <f aca="false">D30+D51+D74+D96</f>
        <v>5688809</v>
      </c>
      <c r="E97" s="40" t="n">
        <f aca="false">E30+E51+E74+E96</f>
        <v>5055583</v>
      </c>
      <c r="F97" s="41" t="n">
        <f aca="false">F30+F51+F74+F96</f>
        <v>633226</v>
      </c>
      <c r="G97" s="42" t="n">
        <f aca="false">IF(OR(C30=0,C51=0,C74=0,C96=0),"",IFERROR(F97/E97,""))</f>
        <v>0.125252814561644</v>
      </c>
      <c r="H97" s="40" t="n">
        <f aca="false">H30+H51+H74+H96</f>
        <v>54990</v>
      </c>
      <c r="I97" s="40" t="n">
        <f aca="false">I30+I51+I74+I96</f>
        <v>55027</v>
      </c>
      <c r="J97" s="41" t="n">
        <f aca="false">J30+J51+J74+J96</f>
        <v>-37</v>
      </c>
      <c r="K97" s="42" t="n">
        <f aca="false">IF(OR(C30=0,C51=0,C74=0,C96=0),"",IFERROR(J97/I97,""))</f>
        <v>-0.000672397186835554</v>
      </c>
      <c r="L97" s="40" t="n">
        <f aca="false">IFERROR(D97/C97,"")</f>
        <v>715.393485915493</v>
      </c>
      <c r="M97" s="40" t="n">
        <f aca="false">IFERROR(H97/D97*1000,"")</f>
        <v>9.66634668170438</v>
      </c>
      <c r="N97" s="40" t="n">
        <f aca="false">N30+N51+N74+N96</f>
        <v>700932</v>
      </c>
      <c r="O97" s="41" t="n">
        <f aca="false">O30+O51+O74+O96</f>
        <v>3507</v>
      </c>
      <c r="P97" s="3"/>
      <c r="Q97" s="3"/>
      <c r="R97" s="3"/>
      <c r="S97" s="23" t="n">
        <f aca="true">IFERROR(IF(ISBLANK(INDIRECT("'"&amp;$Q$2&amp;"'!G"&amp;ROW())),"",INDIRECT("'"&amp;$Q$2&amp;"'!G"&amp;ROW())),"")</f>
        <v>0.00177643721002858</v>
      </c>
      <c r="T97" s="24" t="n">
        <f aca="false">IF(OR($G97="",$S97=""),"",$G97-$S97)</f>
        <v>0.123476377351615</v>
      </c>
      <c r="U97" s="23" t="n">
        <f aca="true">IFERROR(IF(ISBLANK(INDIRECT("'"&amp;$Q$2&amp;"'!K"&amp;ROW())),"",INDIRECT("'"&amp;$Q$2&amp;"'!K"&amp;ROW())),"")</f>
        <v>-0.0829903177962571</v>
      </c>
      <c r="V97" s="24" t="n">
        <f aca="false">IF(OR($K97="",$U97=""),"",$K97-$U97)</f>
        <v>0.0823179206094216</v>
      </c>
      <c r="W97" s="25" t="n">
        <f aca="true">IFERROR(IF(ISBLANK(INDIRECT("'"&amp;$Q$2&amp;"'!O"&amp;ROW())),"",INDIRECT("'"&amp;$Q$2&amp;"'!O"&amp;ROW())),"")</f>
        <v>2041</v>
      </c>
      <c r="X97" s="25" t="n">
        <f aca="false">IF(OR(C30=0,C51=0,C74=0,C96=0),"",$O97-$W97)</f>
        <v>1466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80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115</v>
      </c>
      <c r="D3" s="32" t="n">
        <v>367169</v>
      </c>
      <c r="E3" s="32" t="n">
        <f aca="true">IF($D3="","",IFERROR(IF(ISBLANK(INDIRECT("'"&amp;$Q$2&amp;"'!D"&amp;ROW())),"",INDIRECT("'"&amp;$Q$2&amp;"'!D"&amp;ROW())),""))</f>
        <v>400662</v>
      </c>
      <c r="F3" s="33" t="n">
        <f aca="false">IF(OR(D3="",E3=""),"",D3-E3)</f>
        <v>-33493</v>
      </c>
      <c r="G3" s="34" t="n">
        <f aca="false">IFERROR(F3/E3,"")</f>
        <v>-0.0835941516789713</v>
      </c>
      <c r="H3" s="32" t="n">
        <v>1463</v>
      </c>
      <c r="I3" s="32" t="n">
        <f aca="true">IF($H3="","",IFERROR(IF(ISBLANK(INDIRECT("'"&amp;$Q$2&amp;"'!H"&amp;ROW())),"",INDIRECT("'"&amp;$Q$2&amp;"'!H"&amp;ROW())),""))</f>
        <v>1937</v>
      </c>
      <c r="J3" s="33" t="n">
        <f aca="false">IF(OR(H3="",I3=""),"",H3-I3)</f>
        <v>-474</v>
      </c>
      <c r="K3" s="34" t="n">
        <f aca="false">IFERROR(J3/I3,"")</f>
        <v>-0.244708311822406</v>
      </c>
      <c r="L3" s="32" t="n">
        <f aca="false">IFERROR(D3/C3,"")</f>
        <v>3192.77391304348</v>
      </c>
      <c r="M3" s="32" t="n">
        <f aca="false">IFERROR(H3/D3*1000,"")</f>
        <v>3.98454117858534</v>
      </c>
      <c r="N3" s="32" t="n">
        <v>87991</v>
      </c>
      <c r="O3" s="33" t="n">
        <f aca="true">IFERROR(IF(OR(N3="",ISBLANK(INDIRECT("'"&amp;$Q$2&amp;"'!N"&amp;ROW()))),"",N3-INDIRECT("'"&amp;$Q$2&amp;"'!N"&amp;ROW())),"")</f>
        <v>193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-0.046914249828728</v>
      </c>
      <c r="T3" s="16" t="n">
        <f aca="false">IF(OR($G3="",$S3=""),"",$G3-$S3)</f>
        <v>-0.0366799018502433</v>
      </c>
      <c r="U3" s="15" t="n">
        <f aca="true">IFERROR(IF(ISBLANK(INDIRECT("'"&amp;$Q$2&amp;"'!K"&amp;ROW())),"",INDIRECT("'"&amp;$Q$2&amp;"'!K"&amp;ROW())),"")</f>
        <v>0.100568181818182</v>
      </c>
      <c r="V3" s="16" t="n">
        <f aca="false">IF(OR($K3="",$U3=""),"",$K3-$U3)</f>
        <v>-0.345276493640588</v>
      </c>
      <c r="W3" s="17" t="n">
        <f aca="true">IFERROR(IF(ISBLANK(INDIRECT("'"&amp;$Q$2&amp;"'!O"&amp;ROW())),"",INDIRECT("'"&amp;$Q$2&amp;"'!O"&amp;ROW())),"")</f>
        <v>141</v>
      </c>
      <c r="X3" s="17" t="n">
        <f aca="false">IF(OR($O3="",$W3=""),"",$O3-$W3)</f>
        <v>52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131208</v>
      </c>
      <c r="E4" s="32" t="n">
        <f aca="true">IF($D4="","",IFERROR(IF(ISBLANK(INDIRECT("'"&amp;$Q$2&amp;"'!D"&amp;ROW())),"",INDIRECT("'"&amp;$Q$2&amp;"'!D"&amp;ROW())),""))</f>
        <v>99188</v>
      </c>
      <c r="F4" s="33" t="n">
        <f aca="false">IF(OR(D4="",E4=""),"",D4-E4)</f>
        <v>32020</v>
      </c>
      <c r="G4" s="34" t="n">
        <f aca="false">IFERROR(F4/E4,"")</f>
        <v>0.322821309029318</v>
      </c>
      <c r="H4" s="32" t="n">
        <v>570</v>
      </c>
      <c r="I4" s="32" t="n">
        <f aca="true">IF($H4="","",IFERROR(IF(ISBLANK(INDIRECT("'"&amp;$Q$2&amp;"'!H"&amp;ROW())),"",INDIRECT("'"&amp;$Q$2&amp;"'!H"&amp;ROW())),""))</f>
        <v>469</v>
      </c>
      <c r="J4" s="33" t="n">
        <f aca="false">IF(OR(H4="",I4=""),"",H4-I4)</f>
        <v>101</v>
      </c>
      <c r="K4" s="34" t="n">
        <f aca="false">IFERROR(J4/I4,"")</f>
        <v>0.215351812366738</v>
      </c>
      <c r="L4" s="32" t="n">
        <f aca="false">IFERROR(D4/C4,"")</f>
        <v>1017.11627906977</v>
      </c>
      <c r="M4" s="32" t="n">
        <f aca="false">IFERROR(H4/D4*1000,"")</f>
        <v>4.34424730199378</v>
      </c>
      <c r="N4" s="32" t="n">
        <v>26224</v>
      </c>
      <c r="O4" s="33" t="n">
        <f aca="true">IFERROR(IF(OR(N4="",ISBLANK(INDIRECT("'"&amp;$Q$2&amp;"'!N"&amp;ROW()))),"",N4-INDIRECT("'"&amp;$Q$2&amp;"'!N"&amp;ROW())),"")</f>
        <v>21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-0.116798005431637</v>
      </c>
      <c r="T4" s="16" t="n">
        <f aca="false">IF(OR($G4="",$S4=""),"",$G4-$S4)</f>
        <v>0.439619314460955</v>
      </c>
      <c r="U4" s="15" t="n">
        <f aca="true">IFERROR(IF(ISBLANK(INDIRECT("'"&amp;$Q$2&amp;"'!K"&amp;ROW())),"",INDIRECT("'"&amp;$Q$2&amp;"'!K"&amp;ROW())),"")</f>
        <v>0.0806451612903226</v>
      </c>
      <c r="V4" s="16" t="n">
        <f aca="false">IF(OR($K4="",$U4=""),"",$K4-$U4)</f>
        <v>0.134706651076415</v>
      </c>
      <c r="W4" s="17" t="n">
        <f aca="true">IFERROR(IF(ISBLANK(INDIRECT("'"&amp;$Q$2&amp;"'!O"&amp;ROW())),"",INDIRECT("'"&amp;$Q$2&amp;"'!O"&amp;ROW())),"")</f>
        <v>22</v>
      </c>
      <c r="X4" s="17" t="n">
        <f aca="false">IF(OR($O4="",$W4=""),"",$O4-$W4)</f>
        <v>-1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295</v>
      </c>
      <c r="D5" s="32" t="n">
        <v>6090</v>
      </c>
      <c r="E5" s="32" t="n">
        <f aca="true">IF($D5="","",IFERROR(IF(ISBLANK(INDIRECT("'"&amp;$Q$2&amp;"'!D"&amp;ROW())),"",INDIRECT("'"&amp;$Q$2&amp;"'!D"&amp;ROW())),""))</f>
        <v>5221</v>
      </c>
      <c r="F5" s="33" t="n">
        <f aca="false">IF(OR(D5="",E5=""),"",D5-E5)</f>
        <v>869</v>
      </c>
      <c r="G5" s="34" t="n">
        <f aca="false">IFERROR(F5/E5,"")</f>
        <v>0.166443210113005</v>
      </c>
      <c r="H5" s="32" t="n">
        <v>14</v>
      </c>
      <c r="I5" s="32" t="n">
        <f aca="true">IF($H5="","",IFERROR(IF(ISBLANK(INDIRECT("'"&amp;$Q$2&amp;"'!H"&amp;ROW())),"",INDIRECT("'"&amp;$Q$2&amp;"'!H"&amp;ROW())),""))</f>
        <v>13</v>
      </c>
      <c r="J5" s="33" t="n">
        <f aca="false">IF(OR(H5="",I5=""),"",H5-I5)</f>
        <v>1</v>
      </c>
      <c r="K5" s="34" t="n">
        <f aca="false">IFERROR(J5/I5,"")</f>
        <v>0.0769230769230769</v>
      </c>
      <c r="L5" s="32" t="n">
        <f aca="false">IFERROR(D5/C5,"")</f>
        <v>20.6440677966102</v>
      </c>
      <c r="M5" s="32" t="n">
        <f aca="false">IFERROR(H5/D5*1000,"")</f>
        <v>2.29885057471264</v>
      </c>
      <c r="N5" s="32" t="n">
        <v>3503</v>
      </c>
      <c r="O5" s="33" t="n">
        <f aca="true">IFERROR(IF(OR(N5="",ISBLANK(INDIRECT("'"&amp;$Q$2&amp;"'!N"&amp;ROW()))),"",N5-INDIRECT("'"&amp;$Q$2&amp;"'!N"&amp;ROW())),"")</f>
        <v>2</v>
      </c>
      <c r="P5" s="3"/>
      <c r="Q5" s="3"/>
      <c r="R5" s="3"/>
      <c r="S5" s="15" t="n">
        <f aca="true">IFERROR(IF(ISBLANK(INDIRECT("'"&amp;$Q$2&amp;"'!G"&amp;ROW())),"",INDIRECT("'"&amp;$Q$2&amp;"'!G"&amp;ROW())),"")</f>
        <v>0.286277408228628</v>
      </c>
      <c r="T5" s="16" t="n">
        <f aca="false">IF(OR($G5="",$S5=""),"",$G5-$S5)</f>
        <v>-0.119834198115623</v>
      </c>
      <c r="U5" s="15" t="n">
        <f aca="true">IFERROR(IF(ISBLANK(INDIRECT("'"&amp;$Q$2&amp;"'!K"&amp;ROW())),"",INDIRECT("'"&amp;$Q$2&amp;"'!K"&amp;ROW())),"")</f>
        <v>1.16666666666667</v>
      </c>
      <c r="V5" s="16" t="n">
        <f aca="false">IF(OR($K5="",$U5=""),"",$K5-$U5)</f>
        <v>-1.08974358974359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3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56436</v>
      </c>
      <c r="E6" s="32" t="n">
        <f aca="true">IF($D6="","",IFERROR(IF(ISBLANK(INDIRECT("'"&amp;$Q$2&amp;"'!D"&amp;ROW())),"",INDIRECT("'"&amp;$Q$2&amp;"'!D"&amp;ROW())),""))</f>
        <v>66380</v>
      </c>
      <c r="F6" s="33" t="n">
        <f aca="false">IF(OR(D6="",E6=""),"",D6-E6)</f>
        <v>-9944</v>
      </c>
      <c r="G6" s="34" t="n">
        <f aca="false">IFERROR(F6/E6,"")</f>
        <v>-0.149804157878879</v>
      </c>
      <c r="H6" s="32" t="n">
        <v>269</v>
      </c>
      <c r="I6" s="32" t="n">
        <f aca="true">IF($H6="","",IFERROR(IF(ISBLANK(INDIRECT("'"&amp;$Q$2&amp;"'!H"&amp;ROW())),"",INDIRECT("'"&amp;$Q$2&amp;"'!H"&amp;ROW())),""))</f>
        <v>294</v>
      </c>
      <c r="J6" s="33" t="n">
        <f aca="false">IF(OR(H6="",I6=""),"",H6-I6)</f>
        <v>-25</v>
      </c>
      <c r="K6" s="34" t="n">
        <f aca="false">IFERROR(J6/I6,"")</f>
        <v>-0.0850340136054422</v>
      </c>
      <c r="L6" s="32" t="n">
        <f aca="false">IFERROR(D6/C6,"")</f>
        <v>648.689655172414</v>
      </c>
      <c r="M6" s="32" t="n">
        <f aca="false">IFERROR(H6/D6*1000,"")</f>
        <v>4.76646112410518</v>
      </c>
      <c r="N6" s="32" t="n">
        <v>22935</v>
      </c>
      <c r="O6" s="33" t="n">
        <f aca="true">IFERROR(IF(OR(N6="",ISBLANK(INDIRECT("'"&amp;$Q$2&amp;"'!N"&amp;ROW()))),"",N6-INDIRECT("'"&amp;$Q$2&amp;"'!N"&amp;ROW())),"")</f>
        <v>11</v>
      </c>
      <c r="P6" s="3"/>
      <c r="Q6" s="3"/>
      <c r="R6" s="3"/>
      <c r="S6" s="15" t="n">
        <f aca="true">IFERROR(IF(ISBLANK(INDIRECT("'"&amp;$Q$2&amp;"'!G"&amp;ROW())),"",INDIRECT("'"&amp;$Q$2&amp;"'!G"&amp;ROW())),"")</f>
        <v>-0.165724052987457</v>
      </c>
      <c r="T6" s="16" t="n">
        <f aca="false">IF(OR($G6="",$S6=""),"",$G6-$S6)</f>
        <v>0.0159198951085778</v>
      </c>
      <c r="U6" s="15" t="n">
        <f aca="true">IFERROR(IF(ISBLANK(INDIRECT("'"&amp;$Q$2&amp;"'!K"&amp;ROW())),"",INDIRECT("'"&amp;$Q$2&amp;"'!K"&amp;ROW())),"")</f>
        <v>0.0137931034482759</v>
      </c>
      <c r="V6" s="16" t="n">
        <f aca="false">IF(OR($K6="",$U6=""),"",$K6-$U6)</f>
        <v>-0.098827117053718</v>
      </c>
      <c r="W6" s="17" t="n">
        <f aca="true">IFERROR(IF(ISBLANK(INDIRECT("'"&amp;$Q$2&amp;"'!O"&amp;ROW())),"",INDIRECT("'"&amp;$Q$2&amp;"'!O"&amp;ROW())),"")</f>
        <v>-1</v>
      </c>
      <c r="X6" s="17" t="n">
        <f aca="false">IF(OR($O6="",$W6=""),"",$O6-$W6)</f>
        <v>12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97</v>
      </c>
      <c r="D7" s="32" t="n">
        <v>105221</v>
      </c>
      <c r="E7" s="32" t="n">
        <f aca="true">IF($D7="","",IFERROR(IF(ISBLANK(INDIRECT("'"&amp;$Q$2&amp;"'!D"&amp;ROW())),"",INDIRECT("'"&amp;$Q$2&amp;"'!D"&amp;ROW())),""))</f>
        <v>200470</v>
      </c>
      <c r="F7" s="33" t="n">
        <f aca="false">IF(OR(D7="",E7=""),"",D7-E7)</f>
        <v>-95249</v>
      </c>
      <c r="G7" s="34" t="n">
        <f aca="false">IFERROR(F7/E7,"")</f>
        <v>-0.475128448146855</v>
      </c>
      <c r="H7" s="32" t="n">
        <v>1220</v>
      </c>
      <c r="I7" s="32" t="n">
        <f aca="true">IF($H7="","",IFERROR(IF(ISBLANK(INDIRECT("'"&amp;$Q$2&amp;"'!H"&amp;ROW())),"",INDIRECT("'"&amp;$Q$2&amp;"'!H"&amp;ROW())),""))</f>
        <v>2217</v>
      </c>
      <c r="J7" s="33" t="n">
        <f aca="false">IF(OR(H7="",I7=""),"",H7-I7)</f>
        <v>-997</v>
      </c>
      <c r="K7" s="34" t="n">
        <f aca="false">IFERROR(J7/I7,"")</f>
        <v>-0.449706811005864</v>
      </c>
      <c r="L7" s="32" t="n">
        <f aca="false">IFERROR(D7/C7,"")</f>
        <v>1084.75257731959</v>
      </c>
      <c r="M7" s="32" t="n">
        <f aca="false">IFERROR(H7/D7*1000,"")</f>
        <v>11.5946436547837</v>
      </c>
      <c r="N7" s="32" t="n">
        <v>24515</v>
      </c>
      <c r="O7" s="33" t="n">
        <f aca="true">IFERROR(IF(OR(N7="",ISBLANK(INDIRECT("'"&amp;$Q$2&amp;"'!N"&amp;ROW()))),"",N7-INDIRECT("'"&amp;$Q$2&amp;"'!N"&amp;ROW())),"")</f>
        <v>73</v>
      </c>
      <c r="P7" s="3"/>
      <c r="Q7" s="3"/>
      <c r="R7" s="3"/>
      <c r="S7" s="15" t="n">
        <f aca="true">IFERROR(IF(ISBLANK(INDIRECT("'"&amp;$Q$2&amp;"'!G"&amp;ROW())),"",INDIRECT("'"&amp;$Q$2&amp;"'!G"&amp;ROW())),"")</f>
        <v>0.791894597590189</v>
      </c>
      <c r="T7" s="16" t="n">
        <f aca="false">IF(OR($G7="",$S7=""),"",$G7-$S7)</f>
        <v>-1.26702304573704</v>
      </c>
      <c r="U7" s="15" t="n">
        <f aca="true">IFERROR(IF(ISBLANK(INDIRECT("'"&amp;$Q$2&amp;"'!K"&amp;ROW())),"",INDIRECT("'"&amp;$Q$2&amp;"'!K"&amp;ROW())),"")</f>
        <v>0.965425531914894</v>
      </c>
      <c r="V7" s="16" t="n">
        <f aca="false">IF(OR($K7="",$U7=""),"",$K7-$U7)</f>
        <v>-1.41513234292076</v>
      </c>
      <c r="W7" s="17" t="n">
        <f aca="true">IFERROR(IF(ISBLANK(INDIRECT("'"&amp;$Q$2&amp;"'!O"&amp;ROW())),"",INDIRECT("'"&amp;$Q$2&amp;"'!O"&amp;ROW())),"")</f>
        <v>116</v>
      </c>
      <c r="X7" s="17" t="n">
        <f aca="false">IF(OR($O7="",$W7=""),"",$O7-$W7)</f>
        <v>-43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99</v>
      </c>
      <c r="D8" s="32" t="n">
        <v>272210</v>
      </c>
      <c r="E8" s="32" t="n">
        <f aca="true">IF($D8="","",IFERROR(IF(ISBLANK(INDIRECT("'"&amp;$Q$2&amp;"'!D"&amp;ROW())),"",INDIRECT("'"&amp;$Q$2&amp;"'!D"&amp;ROW())),""))</f>
        <v>371998</v>
      </c>
      <c r="F8" s="33" t="n">
        <f aca="false">IF(OR(D8="",E8=""),"",D8-E8)</f>
        <v>-99788</v>
      </c>
      <c r="G8" s="34" t="n">
        <f aca="false">IFERROR(F8/E8,"")</f>
        <v>-0.268248754025559</v>
      </c>
      <c r="H8" s="32" t="n">
        <v>4342</v>
      </c>
      <c r="I8" s="32" t="n">
        <f aca="true">IF($H8="","",IFERROR(IF(ISBLANK(INDIRECT("'"&amp;$Q$2&amp;"'!H"&amp;ROW())),"",INDIRECT("'"&amp;$Q$2&amp;"'!H"&amp;ROW())),""))</f>
        <v>6123</v>
      </c>
      <c r="J8" s="33" t="n">
        <f aca="false">IF(OR(H8="",I8=""),"",H8-I8)</f>
        <v>-1781</v>
      </c>
      <c r="K8" s="34" t="n">
        <f aca="false">IFERROR(J8/I8,"")</f>
        <v>-0.290870488322718</v>
      </c>
      <c r="L8" s="32" t="n">
        <f aca="false">IFERROR(D8/C8,"")</f>
        <v>2749.59595959596</v>
      </c>
      <c r="M8" s="32" t="n">
        <f aca="false">IFERROR(H8/D8*1000,"")</f>
        <v>15.9509202453988</v>
      </c>
      <c r="N8" s="32" t="n">
        <v>21497</v>
      </c>
      <c r="O8" s="33" t="n">
        <f aca="true">IFERROR(IF(OR(N8="",ISBLANK(INDIRECT("'"&amp;$Q$2&amp;"'!N"&amp;ROW()))),"",N8-INDIRECT("'"&amp;$Q$2&amp;"'!N"&amp;ROW())),"")</f>
        <v>60</v>
      </c>
      <c r="P8" s="3"/>
      <c r="Q8" s="3"/>
      <c r="R8" s="3"/>
      <c r="S8" s="15" t="n">
        <f aca="true">IFERROR(IF(ISBLANK(INDIRECT("'"&amp;$Q$2&amp;"'!G"&amp;ROW())),"",INDIRECT("'"&amp;$Q$2&amp;"'!G"&amp;ROW())),"")</f>
        <v>0.129978615343491</v>
      </c>
      <c r="T8" s="16" t="n">
        <f aca="false">IF(OR($G8="",$S8=""),"",$G8-$S8)</f>
        <v>-0.39822736936905</v>
      </c>
      <c r="U8" s="15" t="n">
        <f aca="true">IFERROR(IF(ISBLANK(INDIRECT("'"&amp;$Q$2&amp;"'!K"&amp;ROW())),"",INDIRECT("'"&amp;$Q$2&amp;"'!K"&amp;ROW())),"")</f>
        <v>0.272708376636874</v>
      </c>
      <c r="V8" s="16" t="n">
        <f aca="false">IF(OR($K8="",$U8=""),"",$K8-$U8)</f>
        <v>-0.563578864959591</v>
      </c>
      <c r="W8" s="17" t="n">
        <f aca="true">IFERROR(IF(ISBLANK(INDIRECT("'"&amp;$Q$2&amp;"'!O"&amp;ROW())),"",INDIRECT("'"&amp;$Q$2&amp;"'!O"&amp;ROW())),"")</f>
        <v>84</v>
      </c>
      <c r="X8" s="17" t="n">
        <f aca="false">IF(OR($O8="",$W8=""),"",$O8-$W8)</f>
        <v>-24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93</v>
      </c>
      <c r="D9" s="32" t="n">
        <v>319358</v>
      </c>
      <c r="E9" s="32" t="n">
        <f aca="true">IF($D9="","",IFERROR(IF(ISBLANK(INDIRECT("'"&amp;$Q$2&amp;"'!D"&amp;ROW())),"",INDIRECT("'"&amp;$Q$2&amp;"'!D"&amp;ROW())),""))</f>
        <v>471044</v>
      </c>
      <c r="F9" s="33" t="n">
        <f aca="false">IF(OR(D9="",E9=""),"",D9-E9)</f>
        <v>-151686</v>
      </c>
      <c r="G9" s="34" t="n">
        <f aca="false">IFERROR(F9/E9,"")</f>
        <v>-0.322020872784708</v>
      </c>
      <c r="H9" s="32" t="n">
        <v>4035</v>
      </c>
      <c r="I9" s="32" t="n">
        <f aca="true">IF($H9="","",IFERROR(IF(ISBLANK(INDIRECT("'"&amp;$Q$2&amp;"'!H"&amp;ROW())),"",INDIRECT("'"&amp;$Q$2&amp;"'!H"&amp;ROW())),""))</f>
        <v>6733</v>
      </c>
      <c r="J9" s="33" t="n">
        <f aca="false">IF(OR(H9="",I9=""),"",H9-I9)</f>
        <v>-2698</v>
      </c>
      <c r="K9" s="34" t="n">
        <f aca="false">IFERROR(J9/I9,"")</f>
        <v>-0.400712906579534</v>
      </c>
      <c r="L9" s="32" t="n">
        <f aca="false">IFERROR(D9/C9,"")</f>
        <v>3433.95698924731</v>
      </c>
      <c r="M9" s="32" t="n">
        <f aca="false">IFERROR(H9/D9*1000,"")</f>
        <v>12.634723413849</v>
      </c>
      <c r="N9" s="32" t="n">
        <v>31030</v>
      </c>
      <c r="O9" s="33" t="n">
        <f aca="true">IFERROR(IF(OR(N9="",ISBLANK(INDIRECT("'"&amp;$Q$2&amp;"'!N"&amp;ROW()))),"",N9-INDIRECT("'"&amp;$Q$2&amp;"'!N"&amp;ROW())),"")</f>
        <v>47</v>
      </c>
      <c r="P9" s="3"/>
      <c r="Q9" s="3"/>
      <c r="R9" s="3"/>
      <c r="S9" s="15" t="n">
        <f aca="true">IFERROR(IF(ISBLANK(INDIRECT("'"&amp;$Q$2&amp;"'!G"&amp;ROW())),"",INDIRECT("'"&amp;$Q$2&amp;"'!G"&amp;ROW())),"")</f>
        <v>0.3608010353833</v>
      </c>
      <c r="T9" s="16" t="n">
        <f aca="false">IF(OR($G9="",$S9=""),"",$G9-$S9)</f>
        <v>-0.682821908168008</v>
      </c>
      <c r="U9" s="15" t="n">
        <f aca="true">IFERROR(IF(ISBLANK(INDIRECT("'"&amp;$Q$2&amp;"'!K"&amp;ROW())),"",INDIRECT("'"&amp;$Q$2&amp;"'!K"&amp;ROW())),"")</f>
        <v>0.738894628099174</v>
      </c>
      <c r="V9" s="16" t="n">
        <f aca="false">IF(OR($K9="",$U9=""),"",$K9-$U9)</f>
        <v>-1.13960753467871</v>
      </c>
      <c r="W9" s="17" t="n">
        <f aca="true">IFERROR(IF(ISBLANK(INDIRECT("'"&amp;$Q$2&amp;"'!O"&amp;ROW())),"",INDIRECT("'"&amp;$Q$2&amp;"'!O"&amp;ROW())),"")</f>
        <v>70</v>
      </c>
      <c r="X9" s="17" t="n">
        <f aca="false">IF(OR($O9="",$W9=""),"",$O9-$W9)</f>
        <v>-23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197749</v>
      </c>
      <c r="E10" s="32" t="n">
        <f aca="true">IF($D10="","",IFERROR(IF(ISBLANK(INDIRECT("'"&amp;$Q$2&amp;"'!D"&amp;ROW())),"",INDIRECT("'"&amp;$Q$2&amp;"'!D"&amp;ROW())),""))</f>
        <v>156425</v>
      </c>
      <c r="F10" s="33" t="n">
        <f aca="false">IF(OR(D10="",E10=""),"",D10-E10)</f>
        <v>41324</v>
      </c>
      <c r="G10" s="34" t="n">
        <f aca="false">IFERROR(F10/E10,"")</f>
        <v>0.264177720952533</v>
      </c>
      <c r="H10" s="32" t="n">
        <v>1527</v>
      </c>
      <c r="I10" s="32" t="n">
        <f aca="true">IF($H10="","",IFERROR(IF(ISBLANK(INDIRECT("'"&amp;$Q$2&amp;"'!H"&amp;ROW())),"",INDIRECT("'"&amp;$Q$2&amp;"'!H"&amp;ROW())),""))</f>
        <v>1004</v>
      </c>
      <c r="J10" s="33" t="n">
        <f aca="false">IF(OR(H10="",I10=""),"",H10-I10)</f>
        <v>523</v>
      </c>
      <c r="K10" s="34" t="n">
        <f aca="false">IFERROR(J10/I10,"")</f>
        <v>0.520916334661355</v>
      </c>
      <c r="L10" s="32" t="n">
        <f aca="false">IFERROR(D10/C10,"")</f>
        <v>1336.14189189189</v>
      </c>
      <c r="M10" s="32" t="n">
        <f aca="false">IFERROR(H10/D10*1000,"")</f>
        <v>7.72191009815473</v>
      </c>
      <c r="N10" s="32" t="n">
        <v>21375</v>
      </c>
      <c r="O10" s="33" t="n">
        <f aca="true">IFERROR(IF(OR(N10="",ISBLANK(INDIRECT("'"&amp;$Q$2&amp;"'!N"&amp;ROW()))),"",N10-INDIRECT("'"&amp;$Q$2&amp;"'!N"&amp;ROW())),"")</f>
        <v>96</v>
      </c>
      <c r="P10" s="3"/>
      <c r="Q10" s="3"/>
      <c r="R10" s="3"/>
      <c r="S10" s="15" t="n">
        <f aca="true">IFERROR(IF(ISBLANK(INDIRECT("'"&amp;$Q$2&amp;"'!G"&amp;ROW())),"",INDIRECT("'"&amp;$Q$2&amp;"'!G"&amp;ROW())),"")</f>
        <v>0.190340303777433</v>
      </c>
      <c r="T10" s="16" t="n">
        <f aca="false">IF(OR($G10="",$S10=""),"",$G10-$S10)</f>
        <v>0.0738374171751004</v>
      </c>
      <c r="U10" s="15" t="n">
        <f aca="true">IFERROR(IF(ISBLANK(INDIRECT("'"&amp;$Q$2&amp;"'!K"&amp;ROW())),"",INDIRECT("'"&amp;$Q$2&amp;"'!K"&amp;ROW())),"")</f>
        <v>0.345844504021448</v>
      </c>
      <c r="V10" s="16" t="n">
        <f aca="false">IF(OR($K10="",$U10=""),"",$K10-$U10)</f>
        <v>0.175071830639907</v>
      </c>
      <c r="W10" s="17" t="n">
        <f aca="true">IFERROR(IF(ISBLANK(INDIRECT("'"&amp;$Q$2&amp;"'!O"&amp;ROW())),"",INDIRECT("'"&amp;$Q$2&amp;"'!O"&amp;ROW())),"")</f>
        <v>42</v>
      </c>
      <c r="X10" s="17" t="n">
        <f aca="false">IF(OR($O10="",$W10=""),"",$O10-$W10)</f>
        <v>54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100</v>
      </c>
      <c r="D11" s="32" t="n">
        <v>383862</v>
      </c>
      <c r="E11" s="32" t="n">
        <f aca="true">IF($D11="","",IFERROR(IF(ISBLANK(INDIRECT("'"&amp;$Q$2&amp;"'!D"&amp;ROW())),"",INDIRECT("'"&amp;$Q$2&amp;"'!D"&amp;ROW())),""))</f>
        <v>448825</v>
      </c>
      <c r="F11" s="33" t="n">
        <f aca="false">IF(OR(D11="",E11=""),"",D11-E11)</f>
        <v>-64963</v>
      </c>
      <c r="G11" s="34" t="n">
        <f aca="false">IFERROR(F11/E11,"")</f>
        <v>-0.144740154848772</v>
      </c>
      <c r="H11" s="32" t="n">
        <v>3494</v>
      </c>
      <c r="I11" s="32" t="n">
        <f aca="true">IF($H11="","",IFERROR(IF(ISBLANK(INDIRECT("'"&amp;$Q$2&amp;"'!H"&amp;ROW())),"",INDIRECT("'"&amp;$Q$2&amp;"'!H"&amp;ROW())),""))</f>
        <v>4345</v>
      </c>
      <c r="J11" s="33" t="n">
        <f aca="false">IF(OR(H11="",I11=""),"",H11-I11)</f>
        <v>-851</v>
      </c>
      <c r="K11" s="34" t="n">
        <f aca="false">IFERROR(J11/I11,"")</f>
        <v>-0.195857307249712</v>
      </c>
      <c r="L11" s="32" t="n">
        <f aca="false">IFERROR(D11/C11,"")</f>
        <v>3838.62</v>
      </c>
      <c r="M11" s="32" t="n">
        <f aca="false">IFERROR(H11/D11*1000,"")</f>
        <v>9.10222944704086</v>
      </c>
      <c r="N11" s="32" t="n">
        <v>20636</v>
      </c>
      <c r="O11" s="33" t="n">
        <f aca="true">IFERROR(IF(OR(N11="",ISBLANK(INDIRECT("'"&amp;$Q$2&amp;"'!N"&amp;ROW()))),"",N11-INDIRECT("'"&amp;$Q$2&amp;"'!N"&amp;ROW())),"")</f>
        <v>46</v>
      </c>
      <c r="P11" s="3"/>
      <c r="Q11" s="3"/>
      <c r="R11" s="3"/>
      <c r="S11" s="15" t="n">
        <f aca="true">IFERROR(IF(ISBLANK(INDIRECT("'"&amp;$Q$2&amp;"'!G"&amp;ROW())),"",INDIRECT("'"&amp;$Q$2&amp;"'!G"&amp;ROW())),"")</f>
        <v>0.350308525905044</v>
      </c>
      <c r="T11" s="16" t="n">
        <f aca="false">IF(OR($G11="",$S11=""),"",$G11-$S11)</f>
        <v>-0.495048680753816</v>
      </c>
      <c r="U11" s="15" t="n">
        <f aca="true">IFERROR(IF(ISBLANK(INDIRECT("'"&amp;$Q$2&amp;"'!K"&amp;ROW())),"",INDIRECT("'"&amp;$Q$2&amp;"'!K"&amp;ROW())),"")</f>
        <v>0.623085543518864</v>
      </c>
      <c r="V11" s="16" t="n">
        <f aca="false">IF(OR($K11="",$U11=""),"",$K11-$U11)</f>
        <v>-0.818942850768577</v>
      </c>
      <c r="W11" s="17" t="n">
        <f aca="true">IFERROR(IF(ISBLANK(INDIRECT("'"&amp;$Q$2&amp;"'!O"&amp;ROW())),"",INDIRECT("'"&amp;$Q$2&amp;"'!O"&amp;ROW())),"")</f>
        <v>54</v>
      </c>
      <c r="X11" s="17" t="n">
        <f aca="false">IF(OR($O11="",$W11=""),"",$O11-$W11)</f>
        <v>-8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75</v>
      </c>
      <c r="D12" s="32" t="n">
        <v>150944</v>
      </c>
      <c r="E12" s="32" t="n">
        <f aca="true">IF($D12="","",IFERROR(IF(ISBLANK(INDIRECT("'"&amp;$Q$2&amp;"'!D"&amp;ROW())),"",INDIRECT("'"&amp;$Q$2&amp;"'!D"&amp;ROW())),""))</f>
        <v>91251</v>
      </c>
      <c r="F12" s="33" t="n">
        <f aca="false">IF(OR(D12="",E12=""),"",D12-E12)</f>
        <v>59693</v>
      </c>
      <c r="G12" s="34" t="n">
        <f aca="false">IFERROR(F12/E12,"")</f>
        <v>0.654162694107462</v>
      </c>
      <c r="H12" s="32" t="n">
        <v>2726</v>
      </c>
      <c r="I12" s="32" t="n">
        <f aca="true">IF($H12="","",IFERROR(IF(ISBLANK(INDIRECT("'"&amp;$Q$2&amp;"'!H"&amp;ROW())),"",INDIRECT("'"&amp;$Q$2&amp;"'!H"&amp;ROW())),""))</f>
        <v>1648</v>
      </c>
      <c r="J12" s="33" t="n">
        <f aca="false">IF(OR(H12="",I12=""),"",H12-I12)</f>
        <v>1078</v>
      </c>
      <c r="K12" s="34" t="n">
        <f aca="false">IFERROR(J12/I12,"")</f>
        <v>0.654126213592233</v>
      </c>
      <c r="L12" s="32" t="n">
        <f aca="false">IFERROR(D12/C12,"")</f>
        <v>2012.58666666667</v>
      </c>
      <c r="M12" s="32" t="n">
        <f aca="false">IFERROR(H12/D12*1000,"")</f>
        <v>18.059677761289</v>
      </c>
      <c r="N12" s="32" t="n">
        <v>15378</v>
      </c>
      <c r="O12" s="33" t="n">
        <f aca="true">IFERROR(IF(OR(N12="",ISBLANK(INDIRECT("'"&amp;$Q$2&amp;"'!N"&amp;ROW()))),"",N12-INDIRECT("'"&amp;$Q$2&amp;"'!N"&amp;ROW())),"")</f>
        <v>59</v>
      </c>
      <c r="P12" s="3"/>
      <c r="Q12" s="3"/>
      <c r="R12" s="3"/>
      <c r="S12" s="15" t="n">
        <f aca="true">IFERROR(IF(ISBLANK(INDIRECT("'"&amp;$Q$2&amp;"'!G"&amp;ROW())),"",INDIRECT("'"&amp;$Q$2&amp;"'!G"&amp;ROW())),"")</f>
        <v>0.0326483036461988</v>
      </c>
      <c r="T12" s="16" t="n">
        <f aca="false">IF(OR($G12="",$S12=""),"",$G12-$S12)</f>
        <v>0.621514390461263</v>
      </c>
      <c r="U12" s="15" t="n">
        <f aca="true">IFERROR(IF(ISBLANK(INDIRECT("'"&amp;$Q$2&amp;"'!K"&amp;ROW())),"",INDIRECT("'"&amp;$Q$2&amp;"'!K"&amp;ROW())),"")</f>
        <v>-0.741490196078431</v>
      </c>
      <c r="V12" s="16" t="n">
        <f aca="false">IF(OR($K12="",$U12=""),"",$K12-$U12)</f>
        <v>1.39561640967066</v>
      </c>
      <c r="W12" s="17" t="n">
        <f aca="true">IFERROR(IF(ISBLANK(INDIRECT("'"&amp;$Q$2&amp;"'!O"&amp;ROW())),"",INDIRECT("'"&amp;$Q$2&amp;"'!O"&amp;ROW())),"")</f>
        <v>101</v>
      </c>
      <c r="X12" s="17" t="n">
        <f aca="false">IF(OR($O12="",$W12=""),"",$O12-$W12)</f>
        <v>-42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52</v>
      </c>
      <c r="D13" s="32" t="n">
        <v>29162</v>
      </c>
      <c r="E13" s="32" t="n">
        <f aca="true">IF($D13="","",IFERROR(IF(ISBLANK(INDIRECT("'"&amp;$Q$2&amp;"'!D"&amp;ROW())),"",INDIRECT("'"&amp;$Q$2&amp;"'!D"&amp;ROW())),""))</f>
        <v>65931</v>
      </c>
      <c r="F13" s="33" t="n">
        <f aca="false">IF(OR(D13="",E13=""),"",D13-E13)</f>
        <v>-36769</v>
      </c>
      <c r="G13" s="34" t="n">
        <f aca="false">IFERROR(F13/E13,"")</f>
        <v>-0.55768909920978</v>
      </c>
      <c r="H13" s="32" t="n">
        <v>487</v>
      </c>
      <c r="I13" s="32" t="n">
        <f aca="true">IF($H13="","",IFERROR(IF(ISBLANK(INDIRECT("'"&amp;$Q$2&amp;"'!H"&amp;ROW())),"",INDIRECT("'"&amp;$Q$2&amp;"'!H"&amp;ROW())),""))</f>
        <v>1056</v>
      </c>
      <c r="J13" s="33" t="n">
        <f aca="false">IF(OR(H13="",I13=""),"",H13-I13)</f>
        <v>-569</v>
      </c>
      <c r="K13" s="34" t="n">
        <f aca="false">IFERROR(J13/I13,"")</f>
        <v>-0.538825757575758</v>
      </c>
      <c r="L13" s="32" t="n">
        <f aca="false">IFERROR(D13/C13,"")</f>
        <v>560.807692307692</v>
      </c>
      <c r="M13" s="32" t="n">
        <f aca="false">IFERROR(H13/D13*1000,"")</f>
        <v>16.6998148275153</v>
      </c>
      <c r="N13" s="32" t="n">
        <v>16346</v>
      </c>
      <c r="O13" s="33" t="n">
        <f aca="true">IFERROR(IF(OR(N13="",ISBLANK(INDIRECT("'"&amp;$Q$2&amp;"'!N"&amp;ROW()))),"",N13-INDIRECT("'"&amp;$Q$2&amp;"'!N"&amp;ROW())),"")</f>
        <v>4</v>
      </c>
      <c r="P13" s="3"/>
      <c r="Q13" s="3"/>
      <c r="R13" s="3"/>
      <c r="S13" s="15" t="n">
        <f aca="true">IFERROR(IF(ISBLANK(INDIRECT("'"&amp;$Q$2&amp;"'!G"&amp;ROW())),"",INDIRECT("'"&amp;$Q$2&amp;"'!G"&amp;ROW())),"")</f>
        <v>1.03039541759054</v>
      </c>
      <c r="T13" s="16" t="n">
        <f aca="false">IF(OR($G13="",$S13=""),"",$G13-$S13)</f>
        <v>-1.58808451680032</v>
      </c>
      <c r="U13" s="15" t="n">
        <f aca="true">IFERROR(IF(ISBLANK(INDIRECT("'"&amp;$Q$2&amp;"'!K"&amp;ROW())),"",INDIRECT("'"&amp;$Q$2&amp;"'!K"&amp;ROW())),"")</f>
        <v>1.11623246492986</v>
      </c>
      <c r="V13" s="16" t="n">
        <f aca="false">IF(OR($K13="",$U13=""),"",$K13-$U13)</f>
        <v>-1.65505822250562</v>
      </c>
      <c r="W13" s="17" t="n">
        <f aca="true">IFERROR(IF(ISBLANK(INDIRECT("'"&amp;$Q$2&amp;"'!O"&amp;ROW())),"",INDIRECT("'"&amp;$Q$2&amp;"'!O"&amp;ROW())),"")</f>
        <v>51</v>
      </c>
      <c r="X13" s="17" t="n">
        <f aca="false">IF(OR($O13="",$W13=""),"",$O13-$W13)</f>
        <v>-47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61</v>
      </c>
      <c r="D14" s="32" t="n">
        <v>52435</v>
      </c>
      <c r="E14" s="32" t="n">
        <f aca="true">IF($D14="","",IFERROR(IF(ISBLANK(INDIRECT("'"&amp;$Q$2&amp;"'!D"&amp;ROW())),"",INDIRECT("'"&amp;$Q$2&amp;"'!D"&amp;ROW())),""))</f>
        <v>37833</v>
      </c>
      <c r="F14" s="33" t="n">
        <f aca="false">IF(OR(D14="",E14=""),"",D14-E14)</f>
        <v>14602</v>
      </c>
      <c r="G14" s="34" t="n">
        <f aca="false">IFERROR(F14/E14,"")</f>
        <v>0.385959347659451</v>
      </c>
      <c r="H14" s="32" t="n">
        <v>477</v>
      </c>
      <c r="I14" s="32" t="n">
        <f aca="true">IF($H14="","",IFERROR(IF(ISBLANK(INDIRECT("'"&amp;$Q$2&amp;"'!H"&amp;ROW())),"",INDIRECT("'"&amp;$Q$2&amp;"'!H"&amp;ROW())),""))</f>
        <v>415</v>
      </c>
      <c r="J14" s="33" t="n">
        <f aca="false">IF(OR(H14="",I14=""),"",H14-I14)</f>
        <v>62</v>
      </c>
      <c r="K14" s="34" t="n">
        <f aca="false">IFERROR(J14/I14,"")</f>
        <v>0.149397590361446</v>
      </c>
      <c r="L14" s="32" t="n">
        <f aca="false">IFERROR(D14/C14,"")</f>
        <v>859.590163934426</v>
      </c>
      <c r="M14" s="32" t="n">
        <f aca="false">IFERROR(H14/D14*1000,"")</f>
        <v>9.0969772098789</v>
      </c>
      <c r="N14" s="32" t="n">
        <v>6328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-0.0417415972239812</v>
      </c>
      <c r="T14" s="16" t="n">
        <f aca="false">IF(OR($G14="",$S14=""),"",$G14-$S14)</f>
        <v>0.427700944883432</v>
      </c>
      <c r="U14" s="15" t="n">
        <f aca="true">IFERROR(IF(ISBLANK(INDIRECT("'"&amp;$Q$2&amp;"'!K"&amp;ROW())),"",INDIRECT("'"&amp;$Q$2&amp;"'!K"&amp;ROW())),"")</f>
        <v>0.182336182336182</v>
      </c>
      <c r="V14" s="16" t="n">
        <f aca="false">IF(OR($K14="",$U14=""),"",$K14-$U14)</f>
        <v>-0.0329385919747366</v>
      </c>
      <c r="W14" s="17" t="n">
        <f aca="true">IFERROR(IF(ISBLANK(INDIRECT("'"&amp;$Q$2&amp;"'!O"&amp;ROW())),"",INDIRECT("'"&amp;$Q$2&amp;"'!O"&amp;ROW())),"")</f>
        <v>26</v>
      </c>
      <c r="X14" s="17" t="n">
        <f aca="false">IF(OR($O14="",$W14=""),"",$O14-$W14)</f>
        <v>3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31</v>
      </c>
      <c r="D15" s="32" t="n">
        <v>31393</v>
      </c>
      <c r="E15" s="32" t="n">
        <f aca="true">IF($D15="","",IFERROR(IF(ISBLANK(INDIRECT("'"&amp;$Q$2&amp;"'!D"&amp;ROW())),"",INDIRECT("'"&amp;$Q$2&amp;"'!D"&amp;ROW())),""))</f>
        <v>39455</v>
      </c>
      <c r="F15" s="33" t="n">
        <f aca="false">IF(OR(D15="",E15=""),"",D15-E15)</f>
        <v>-8062</v>
      </c>
      <c r="G15" s="34" t="n">
        <f aca="false">IFERROR(F15/E15,"")</f>
        <v>-0.20433405145102</v>
      </c>
      <c r="H15" s="32" t="n">
        <v>543</v>
      </c>
      <c r="I15" s="32" t="n">
        <f aca="true">IF($H15="","",IFERROR(IF(ISBLANK(INDIRECT("'"&amp;$Q$2&amp;"'!H"&amp;ROW())),"",INDIRECT("'"&amp;$Q$2&amp;"'!H"&amp;ROW())),""))</f>
        <v>488</v>
      </c>
      <c r="J15" s="33" t="n">
        <f aca="false">IF(OR(H15="",I15=""),"",H15-I15)</f>
        <v>55</v>
      </c>
      <c r="K15" s="34" t="n">
        <f aca="false">IFERROR(J15/I15,"")</f>
        <v>0.112704918032787</v>
      </c>
      <c r="L15" s="32" t="n">
        <f aca="false">IFERROR(D15/C15,"")</f>
        <v>1012.67741935484</v>
      </c>
      <c r="M15" s="32" t="n">
        <f aca="false">IFERROR(H15/D15*1000,"")</f>
        <v>17.2968496161565</v>
      </c>
      <c r="N15" s="32" t="n">
        <v>3655</v>
      </c>
      <c r="O15" s="33" t="n">
        <f aca="true">IFERROR(IF(OR(N15="",ISBLANK(INDIRECT("'"&amp;$Q$2&amp;"'!N"&amp;ROW()))),"",N15-INDIRECT("'"&amp;$Q$2&amp;"'!N"&amp;ROW())),"")</f>
        <v>7</v>
      </c>
      <c r="P15" s="3"/>
      <c r="Q15" s="3"/>
      <c r="R15" s="3"/>
      <c r="S15" s="15" t="n">
        <f aca="true">IFERROR(IF(ISBLANK(INDIRECT("'"&amp;$Q$2&amp;"'!G"&amp;ROW())),"",INDIRECT("'"&amp;$Q$2&amp;"'!G"&amp;ROW())),"")</f>
        <v>0.199860110087279</v>
      </c>
      <c r="T15" s="16" t="n">
        <f aca="false">IF(OR($G15="",$S15=""),"",$G15-$S15)</f>
        <v>-0.404194161538299</v>
      </c>
      <c r="U15" s="15" t="n">
        <f aca="true">IFERROR(IF(ISBLANK(INDIRECT("'"&amp;$Q$2&amp;"'!K"&amp;ROW())),"",INDIRECT("'"&amp;$Q$2&amp;"'!K"&amp;ROW())),"")</f>
        <v>-0.0278884462151394</v>
      </c>
      <c r="V15" s="16" t="n">
        <f aca="false">IF(OR($K15="",$U15=""),"",$K15-$U15)</f>
        <v>0.140593364247926</v>
      </c>
      <c r="W15" s="17" t="n">
        <f aca="true">IFERROR(IF(ISBLANK(INDIRECT("'"&amp;$Q$2&amp;"'!O"&amp;ROW())),"",INDIRECT("'"&amp;$Q$2&amp;"'!O"&amp;ROW())),"")</f>
        <v>6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62</v>
      </c>
      <c r="D16" s="32" t="n">
        <v>136318</v>
      </c>
      <c r="E16" s="32" t="n">
        <f aca="true">IF($D16="","",IFERROR(IF(ISBLANK(INDIRECT("'"&amp;$Q$2&amp;"'!D"&amp;ROW())),"",INDIRECT("'"&amp;$Q$2&amp;"'!D"&amp;ROW())),""))</f>
        <v>100934</v>
      </c>
      <c r="F16" s="33" t="n">
        <f aca="false">IF(OR(D16="",E16=""),"",D16-E16)</f>
        <v>35384</v>
      </c>
      <c r="G16" s="34" t="n">
        <f aca="false">IFERROR(F16/E16,"")</f>
        <v>0.350565716210593</v>
      </c>
      <c r="H16" s="32" t="n">
        <v>1960</v>
      </c>
      <c r="I16" s="32" t="n">
        <f aca="true">IF($H16="","",IFERROR(IF(ISBLANK(INDIRECT("'"&amp;$Q$2&amp;"'!H"&amp;ROW())),"",INDIRECT("'"&amp;$Q$2&amp;"'!H"&amp;ROW())),""))</f>
        <v>955</v>
      </c>
      <c r="J16" s="33" t="n">
        <f aca="false">IF(OR(H16="",I16=""),"",H16-I16)</f>
        <v>1005</v>
      </c>
      <c r="K16" s="34" t="n">
        <f aca="false">IFERROR(J16/I16,"")</f>
        <v>1.05235602094241</v>
      </c>
      <c r="L16" s="32" t="n">
        <f aca="false">IFERROR(D16/C16,"")</f>
        <v>2198.67741935484</v>
      </c>
      <c r="M16" s="32" t="n">
        <f aca="false">IFERROR(H16/D16*1000,"")</f>
        <v>14.3781452192667</v>
      </c>
      <c r="N16" s="32" t="n">
        <v>12465</v>
      </c>
      <c r="O16" s="33" t="n">
        <f aca="true">IFERROR(IF(OR(N16="",ISBLANK(INDIRECT("'"&amp;$Q$2&amp;"'!N"&amp;ROW()))),"",N16-INDIRECT("'"&amp;$Q$2&amp;"'!N"&amp;ROW())),"")</f>
        <v>180</v>
      </c>
      <c r="P16" s="3"/>
      <c r="Q16" s="3"/>
      <c r="R16" s="3"/>
      <c r="S16" s="15" t="n">
        <f aca="true">IFERROR(IF(ISBLANK(INDIRECT("'"&amp;$Q$2&amp;"'!G"&amp;ROW())),"",INDIRECT("'"&amp;$Q$2&amp;"'!G"&amp;ROW())),"")</f>
        <v>-0.169164917479524</v>
      </c>
      <c r="T16" s="16" t="n">
        <f aca="false">IF(OR($G16="",$S16=""),"",$G16-$S16)</f>
        <v>0.519730633690117</v>
      </c>
      <c r="U16" s="15" t="n">
        <f aca="true">IFERROR(IF(ISBLANK(INDIRECT("'"&amp;$Q$2&amp;"'!K"&amp;ROW())),"",INDIRECT("'"&amp;$Q$2&amp;"'!K"&amp;ROW())),"")</f>
        <v>-0.103286384976526</v>
      </c>
      <c r="V16" s="16" t="n">
        <f aca="false">IF(OR($K16="",$U16=""),"",$K16-$U16)</f>
        <v>1.15564240591893</v>
      </c>
      <c r="W16" s="17" t="n">
        <f aca="true">IFERROR(IF(ISBLANK(INDIRECT("'"&amp;$Q$2&amp;"'!O"&amp;ROW())),"",INDIRECT("'"&amp;$Q$2&amp;"'!O"&amp;ROW())),"")</f>
        <v>68</v>
      </c>
      <c r="X16" s="17" t="n">
        <f aca="false">IF(OR($O16="",$W16=""),"",$O16-$W16)</f>
        <v>112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243443</v>
      </c>
      <c r="E17" s="32" t="n">
        <f aca="true">IF($D17="","",IFERROR(IF(ISBLANK(INDIRECT("'"&amp;$Q$2&amp;"'!D"&amp;ROW())),"",INDIRECT("'"&amp;$Q$2&amp;"'!D"&amp;ROW())),""))</f>
        <v>125560</v>
      </c>
      <c r="F17" s="33" t="n">
        <f aca="false">IF(OR(D17="",E17=""),"",D17-E17)</f>
        <v>117883</v>
      </c>
      <c r="G17" s="34" t="n">
        <f aca="false">IFERROR(F17/E17,"")</f>
        <v>0.938857916533928</v>
      </c>
      <c r="H17" s="32" t="n">
        <v>3376</v>
      </c>
      <c r="I17" s="32" t="n">
        <f aca="true">IF($H17="","",IFERROR(IF(ISBLANK(INDIRECT("'"&amp;$Q$2&amp;"'!H"&amp;ROW())),"",INDIRECT("'"&amp;$Q$2&amp;"'!H"&amp;ROW())),""))</f>
        <v>1636</v>
      </c>
      <c r="J17" s="33" t="n">
        <f aca="false">IF(OR(H17="",I17=""),"",H17-I17)</f>
        <v>1740</v>
      </c>
      <c r="K17" s="34" t="n">
        <f aca="false">IFERROR(J17/I17,"")</f>
        <v>1.06356968215159</v>
      </c>
      <c r="L17" s="32" t="n">
        <f aca="false">IFERROR(D17/C17,"")</f>
        <v>3633.4776119403</v>
      </c>
      <c r="M17" s="32" t="n">
        <f aca="false">IFERROR(H17/D17*1000,"")</f>
        <v>13.8677226291165</v>
      </c>
      <c r="N17" s="32" t="n">
        <v>7779</v>
      </c>
      <c r="O17" s="33" t="n">
        <f aca="true">IFERROR(IF(OR(N17="",ISBLANK(INDIRECT("'"&amp;$Q$2&amp;"'!N"&amp;ROW()))),"",N17-INDIRECT("'"&amp;$Q$2&amp;"'!N"&amp;ROW())),"")</f>
        <v>17</v>
      </c>
      <c r="P17" s="3"/>
      <c r="Q17" s="3"/>
      <c r="R17" s="3"/>
      <c r="S17" s="15" t="n">
        <f aca="true">IFERROR(IF(ISBLANK(INDIRECT("'"&amp;$Q$2&amp;"'!G"&amp;ROW())),"",INDIRECT("'"&amp;$Q$2&amp;"'!G"&amp;ROW())),"")</f>
        <v>0.0639956613110976</v>
      </c>
      <c r="T17" s="16" t="n">
        <f aca="false">IF(OR($G17="",$S17=""),"",$G17-$S17)</f>
        <v>0.874862255222831</v>
      </c>
      <c r="U17" s="15" t="n">
        <f aca="true">IFERROR(IF(ISBLANK(INDIRECT("'"&amp;$Q$2&amp;"'!K"&amp;ROW())),"",INDIRECT("'"&amp;$Q$2&amp;"'!K"&amp;ROW())),"")</f>
        <v>0.494063926940639</v>
      </c>
      <c r="V17" s="16" t="n">
        <f aca="false">IF(OR($K17="",$U17=""),"",$K17-$U17)</f>
        <v>0.56950575521095</v>
      </c>
      <c r="W17" s="17" t="n">
        <f aca="true">IFERROR(IF(ISBLANK(INDIRECT("'"&amp;$Q$2&amp;"'!O"&amp;ROW())),"",INDIRECT("'"&amp;$Q$2&amp;"'!O"&amp;ROW())),"")</f>
        <v>10</v>
      </c>
      <c r="X17" s="17" t="n">
        <f aca="false">IF(OR($O17="",$W17=""),"",$O17-$W17)</f>
        <v>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65</v>
      </c>
      <c r="D18" s="32" t="n">
        <v>131060</v>
      </c>
      <c r="E18" s="32" t="n">
        <f aca="true">IF($D18="","",IFERROR(IF(ISBLANK(INDIRECT("'"&amp;$Q$2&amp;"'!D"&amp;ROW())),"",INDIRECT("'"&amp;$Q$2&amp;"'!D"&amp;ROW())),""))</f>
        <v>249272</v>
      </c>
      <c r="F18" s="33" t="n">
        <f aca="false">IF(OR(D18="",E18=""),"",D18-E18)</f>
        <v>-118212</v>
      </c>
      <c r="G18" s="34" t="n">
        <f aca="false">IFERROR(F18/E18,"")</f>
        <v>-0.474228954716133</v>
      </c>
      <c r="H18" s="32" t="n">
        <v>1519</v>
      </c>
      <c r="I18" s="32" t="n">
        <f aca="true">IF($H18="","",IFERROR(IF(ISBLANK(INDIRECT("'"&amp;$Q$2&amp;"'!H"&amp;ROW())),"",INDIRECT("'"&amp;$Q$2&amp;"'!H"&amp;ROW())),""))</f>
        <v>2460</v>
      </c>
      <c r="J18" s="33" t="n">
        <f aca="false">IF(OR(H18="",I18=""),"",H18-I18)</f>
        <v>-941</v>
      </c>
      <c r="K18" s="34" t="n">
        <f aca="false">IFERROR(J18/I18,"")</f>
        <v>-0.382520325203252</v>
      </c>
      <c r="L18" s="32" t="n">
        <f aca="false">IFERROR(D18/C18,"")</f>
        <v>2016.30769230769</v>
      </c>
      <c r="M18" s="32" t="n">
        <f aca="false">IFERROR(H18/D18*1000,"")</f>
        <v>11.5901113993591</v>
      </c>
      <c r="N18" s="32" t="n">
        <v>18165</v>
      </c>
      <c r="O18" s="33" t="n">
        <f aca="true">IFERROR(IF(OR(N18="",ISBLANK(INDIRECT("'"&amp;$Q$2&amp;"'!N"&amp;ROW()))),"",N18-INDIRECT("'"&amp;$Q$2&amp;"'!N"&amp;ROW())),"")</f>
        <v>14</v>
      </c>
      <c r="P18" s="3"/>
      <c r="Q18" s="3"/>
      <c r="R18" s="3"/>
      <c r="S18" s="15" t="n">
        <f aca="true">IFERROR(IF(ISBLANK(INDIRECT("'"&amp;$Q$2&amp;"'!G"&amp;ROW())),"",INDIRECT("'"&amp;$Q$2&amp;"'!G"&amp;ROW())),"")</f>
        <v>0.342959044037626</v>
      </c>
      <c r="T18" s="16" t="n">
        <f aca="false">IF(OR($G18="",$S18=""),"",$G18-$S18)</f>
        <v>-0.81718799875376</v>
      </c>
      <c r="U18" s="15" t="n">
        <f aca="true">IFERROR(IF(ISBLANK(INDIRECT("'"&amp;$Q$2&amp;"'!K"&amp;ROW())),"",INDIRECT("'"&amp;$Q$2&amp;"'!K"&amp;ROW())),"")</f>
        <v>0.780028943560058</v>
      </c>
      <c r="V18" s="16" t="n">
        <f aca="false">IF(OR($K18="",$U18=""),"",$K18-$U18)</f>
        <v>-1.16254926876331</v>
      </c>
      <c r="W18" s="17" t="n">
        <f aca="true">IFERROR(IF(ISBLANK(INDIRECT("'"&amp;$Q$2&amp;"'!O"&amp;ROW())),"",INDIRECT("'"&amp;$Q$2&amp;"'!O"&amp;ROW())),"")</f>
        <v>29</v>
      </c>
      <c r="X18" s="17" t="n">
        <f aca="false">IF(OR($O18="",$W18=""),"",$O18-$W18)</f>
        <v>-15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66</v>
      </c>
      <c r="D19" s="32" t="n">
        <v>95175</v>
      </c>
      <c r="E19" s="32" t="n">
        <f aca="true">IF($D19="","",IFERROR(IF(ISBLANK(INDIRECT("'"&amp;$Q$2&amp;"'!D"&amp;ROW())),"",INDIRECT("'"&amp;$Q$2&amp;"'!D"&amp;ROW())),""))</f>
        <v>137530</v>
      </c>
      <c r="F19" s="33" t="n">
        <f aca="false">IF(OR(D19="",E19=""),"",D19-E19)</f>
        <v>-42355</v>
      </c>
      <c r="G19" s="34" t="n">
        <f aca="false">IFERROR(F19/E19,"")</f>
        <v>-0.30796917036283</v>
      </c>
      <c r="H19" s="32" t="n">
        <v>856</v>
      </c>
      <c r="I19" s="32" t="n">
        <f aca="true">IF($H19="","",IFERROR(IF(ISBLANK(INDIRECT("'"&amp;$Q$2&amp;"'!H"&amp;ROW())),"",INDIRECT("'"&amp;$Q$2&amp;"'!H"&amp;ROW())),""))</f>
        <v>1450</v>
      </c>
      <c r="J19" s="33" t="n">
        <f aca="false">IF(OR(H19="",I19=""),"",H19-I19)</f>
        <v>-594</v>
      </c>
      <c r="K19" s="34" t="n">
        <f aca="false">IFERROR(J19/I19,"")</f>
        <v>-0.409655172413793</v>
      </c>
      <c r="L19" s="32" t="n">
        <f aca="false">IFERROR(D19/C19,"")</f>
        <v>1442.04545454545</v>
      </c>
      <c r="M19" s="32" t="n">
        <f aca="false">IFERROR(H19/D19*1000,"")</f>
        <v>8.9939584975046</v>
      </c>
      <c r="N19" s="32" t="n">
        <v>18956</v>
      </c>
      <c r="O19" s="33" t="n">
        <f aca="true">IFERROR(IF(OR(N19="",ISBLANK(INDIRECT("'"&amp;$Q$2&amp;"'!N"&amp;ROW()))),"",N19-INDIRECT("'"&amp;$Q$2&amp;"'!N"&amp;ROW())),"")</f>
        <v>26</v>
      </c>
      <c r="P19" s="3"/>
      <c r="Q19" s="3"/>
      <c r="R19" s="3"/>
      <c r="S19" s="15" t="n">
        <f aca="true">IFERROR(IF(ISBLANK(INDIRECT("'"&amp;$Q$2&amp;"'!G"&amp;ROW())),"",INDIRECT("'"&amp;$Q$2&amp;"'!G"&amp;ROW())),"")</f>
        <v>-0.567536122509945</v>
      </c>
      <c r="T19" s="16" t="n">
        <f aca="false">IF(OR($G19="",$S19=""),"",$G19-$S19)</f>
        <v>0.259566952147115</v>
      </c>
      <c r="U19" s="15" t="n">
        <f aca="true">IFERROR(IF(ISBLANK(INDIRECT("'"&amp;$Q$2&amp;"'!K"&amp;ROW())),"",INDIRECT("'"&amp;$Q$2&amp;"'!K"&amp;ROW())),"")</f>
        <v>-0.605871160641479</v>
      </c>
      <c r="V19" s="16" t="n">
        <f aca="false">IF(OR($K19="",$U19=""),"",$K19-$U19)</f>
        <v>0.196215988227686</v>
      </c>
      <c r="W19" s="17" t="n">
        <f aca="true">IFERROR(IF(ISBLANK(INDIRECT("'"&amp;$Q$2&amp;"'!O"&amp;ROW())),"",INDIRECT("'"&amp;$Q$2&amp;"'!O"&amp;ROW())),"")</f>
        <v>21</v>
      </c>
      <c r="X19" s="17" t="n">
        <f aca="false">IF(OR($O19="",$W19=""),"",$O19-$W19)</f>
        <v>5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72937</v>
      </c>
      <c r="E20" s="32" t="n">
        <f aca="true">IF($D20="","",IFERROR(IF(ISBLANK(INDIRECT("'"&amp;$Q$2&amp;"'!D"&amp;ROW())),"",INDIRECT("'"&amp;$Q$2&amp;"'!D"&amp;ROW())),""))</f>
        <v>94264</v>
      </c>
      <c r="F20" s="33" t="n">
        <f aca="false">IF(OR(D20="",E20=""),"",D20-E20)</f>
        <v>-21327</v>
      </c>
      <c r="G20" s="34" t="n">
        <f aca="false">IFERROR(F20/E20,"")</f>
        <v>-0.226247560044131</v>
      </c>
      <c r="H20" s="32" t="n">
        <v>1638</v>
      </c>
      <c r="I20" s="32" t="n">
        <f aca="true">IF($H20="","",IFERROR(IF(ISBLANK(INDIRECT("'"&amp;$Q$2&amp;"'!H"&amp;ROW())),"",INDIRECT("'"&amp;$Q$2&amp;"'!H"&amp;ROW())),""))</f>
        <v>1404</v>
      </c>
      <c r="J20" s="33" t="n">
        <f aca="false">IF(OR(H20="",I20=""),"",H20-I20)</f>
        <v>234</v>
      </c>
      <c r="K20" s="34" t="n">
        <f aca="false">IFERROR(J20/I20,"")</f>
        <v>0.166666666666667</v>
      </c>
      <c r="L20" s="32" t="n">
        <f aca="false">IFERROR(D20/C20,"")</f>
        <v>3171.17391304348</v>
      </c>
      <c r="M20" s="32" t="n">
        <f aca="false">IFERROR(H20/D20*1000,"")</f>
        <v>22.4577374994859</v>
      </c>
      <c r="N20" s="32" t="n">
        <v>14506</v>
      </c>
      <c r="O20" s="33" t="n">
        <f aca="true">IFERROR(IF(OR(N20="",ISBLANK(INDIRECT("'"&amp;$Q$2&amp;"'!N"&amp;ROW()))),"",N20-INDIRECT("'"&amp;$Q$2&amp;"'!N"&amp;ROW())),"")</f>
        <v>49</v>
      </c>
      <c r="P20" s="3"/>
      <c r="Q20" s="3"/>
      <c r="R20" s="3"/>
      <c r="S20" s="15" t="n">
        <f aca="true">IFERROR(IF(ISBLANK(INDIRECT("'"&amp;$Q$2&amp;"'!G"&amp;ROW())),"",INDIRECT("'"&amp;$Q$2&amp;"'!G"&amp;ROW())),"")</f>
        <v>-0.524296391245326</v>
      </c>
      <c r="T20" s="16" t="n">
        <f aca="false">IF(OR($G20="",$S20=""),"",$G20-$S20)</f>
        <v>0.298048831201194</v>
      </c>
      <c r="U20" s="15" t="n">
        <f aca="true">IFERROR(IF(ISBLANK(INDIRECT("'"&amp;$Q$2&amp;"'!K"&amp;ROW())),"",INDIRECT("'"&amp;$Q$2&amp;"'!K"&amp;ROW())),"")</f>
        <v>-0.256749602964532</v>
      </c>
      <c r="V20" s="16" t="n">
        <f aca="false">IF(OR($K20="",$U20=""),"",$K20-$U20)</f>
        <v>0.423416269631198</v>
      </c>
      <c r="W20" s="17" t="n">
        <f aca="true">IFERROR(IF(ISBLANK(INDIRECT("'"&amp;$Q$2&amp;"'!O"&amp;ROW())),"",INDIRECT("'"&amp;$Q$2&amp;"'!O"&amp;ROW())),"")</f>
        <v>89</v>
      </c>
      <c r="X20" s="17" t="n">
        <f aca="false">IF(OR($O20="",$W20=""),"",$O20-$W20)</f>
        <v>-40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6</v>
      </c>
      <c r="D21" s="32" t="n">
        <v>5597</v>
      </c>
      <c r="E21" s="32" t="n">
        <f aca="true">IF($D21="","",IFERROR(IF(ISBLANK(INDIRECT("'"&amp;$Q$2&amp;"'!D"&amp;ROW())),"",INDIRECT("'"&amp;$Q$2&amp;"'!D"&amp;ROW())),""))</f>
        <v>1574</v>
      </c>
      <c r="F21" s="33" t="n">
        <f aca="false">IF(OR(D21="",E21=""),"",D21-E21)</f>
        <v>4023</v>
      </c>
      <c r="G21" s="34" t="n">
        <f aca="false">IFERROR(F21/E21,"")</f>
        <v>2.5559085133418</v>
      </c>
      <c r="H21" s="32" t="n">
        <v>173</v>
      </c>
      <c r="I21" s="32" t="n">
        <f aca="true">IF($H21="","",IFERROR(IF(ISBLANK(INDIRECT("'"&amp;$Q$2&amp;"'!H"&amp;ROW())),"",INDIRECT("'"&amp;$Q$2&amp;"'!H"&amp;ROW())),""))</f>
        <v>31</v>
      </c>
      <c r="J21" s="33" t="n">
        <f aca="false">IF(OR(H21="",I21=""),"",H21-I21)</f>
        <v>142</v>
      </c>
      <c r="K21" s="34" t="n">
        <f aca="false">IFERROR(J21/I21,"")</f>
        <v>4.58064516129032</v>
      </c>
      <c r="L21" s="32" t="n">
        <f aca="false">IFERROR(D21/C21,"")</f>
        <v>932.833333333333</v>
      </c>
      <c r="M21" s="32" t="n">
        <f aca="false">IFERROR(H21/D21*1000,"")</f>
        <v>30.909415758442</v>
      </c>
      <c r="N21" s="32" t="n">
        <v>10602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n">
        <f aca="true">IFERROR(IF(ISBLANK(INDIRECT("'"&amp;$Q$2&amp;"'!G"&amp;ROW())),"",INDIRECT("'"&amp;$Q$2&amp;"'!G"&amp;ROW())),"")</f>
        <v>-0.363783346806791</v>
      </c>
      <c r="T21" s="16" t="n">
        <f aca="false">IF(OR($G21="",$S21=""),"",$G21-$S21)</f>
        <v>2.9196918601486</v>
      </c>
      <c r="U21" s="15" t="n">
        <f aca="true">IFERROR(IF(ISBLANK(INDIRECT("'"&amp;$Q$2&amp;"'!K"&amp;ROW())),"",INDIRECT("'"&amp;$Q$2&amp;"'!K"&amp;ROW())),"")</f>
        <v>-0.523076923076923</v>
      </c>
      <c r="V21" s="16" t="n">
        <f aca="false">IF(OR($K21="",$U21=""),"",$K21-$U21)</f>
        <v>5.10372208436725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0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6203</v>
      </c>
      <c r="E22" s="32" t="n">
        <f aca="true">IF($D22="","",IFERROR(IF(ISBLANK(INDIRECT("'"&amp;$Q$2&amp;"'!D"&amp;ROW())),"",INDIRECT("'"&amp;$Q$2&amp;"'!D"&amp;ROW())),""))</f>
        <v>11462</v>
      </c>
      <c r="F22" s="33" t="n">
        <f aca="false">IF(OR(D22="",E22=""),"",D22-E22)</f>
        <v>-5259</v>
      </c>
      <c r="G22" s="34" t="n">
        <f aca="false">IFERROR(F22/E22,"")</f>
        <v>-0.458820450183214</v>
      </c>
      <c r="H22" s="32" t="n">
        <v>198</v>
      </c>
      <c r="I22" s="32" t="n">
        <f aca="true">IF($H22="","",IFERROR(IF(ISBLANK(INDIRECT("'"&amp;$Q$2&amp;"'!H"&amp;ROW())),"",INDIRECT("'"&amp;$Q$2&amp;"'!H"&amp;ROW())),""))</f>
        <v>206</v>
      </c>
      <c r="J22" s="33" t="n">
        <f aca="false">IF(OR(H22="",I22=""),"",H22-I22)</f>
        <v>-8</v>
      </c>
      <c r="K22" s="34" t="n">
        <f aca="false">IFERROR(J22/I22,"")</f>
        <v>-0.0388349514563107</v>
      </c>
      <c r="L22" s="32" t="n">
        <f aca="false">IFERROR(D22/C22,"")</f>
        <v>238.576923076923</v>
      </c>
      <c r="M22" s="32" t="n">
        <f aca="false">IFERROR(H22/D22*1000,"")</f>
        <v>31.920038690956</v>
      </c>
      <c r="N22" s="32" t="n">
        <v>7381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9.70214752567694</v>
      </c>
      <c r="T22" s="16" t="n">
        <f aca="false">IF(OR($G22="",$S22=""),"",$G22-$S22)</f>
        <v>-10.1609679758602</v>
      </c>
      <c r="U22" s="15" t="n">
        <f aca="true">IFERROR(IF(ISBLANK(INDIRECT("'"&amp;$Q$2&amp;"'!K"&amp;ROW())),"",INDIRECT("'"&amp;$Q$2&amp;"'!K"&amp;ROW())),"")</f>
        <v>4.28205128205128</v>
      </c>
      <c r="V22" s="16" t="n">
        <f aca="false">IF(OR($K22="",$U22=""),"",$K22-$U22)</f>
        <v>-4.32088623350759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13590</v>
      </c>
      <c r="E23" s="32" t="n">
        <f aca="true">IF($D23="","",IFERROR(IF(ISBLANK(INDIRECT("'"&amp;$Q$2&amp;"'!D"&amp;ROW())),"",INDIRECT("'"&amp;$Q$2&amp;"'!D"&amp;ROW())),""))</f>
        <v>2570</v>
      </c>
      <c r="F23" s="33" t="n">
        <f aca="false">IF(OR(D23="",E23=""),"",D23-E23)</f>
        <v>11020</v>
      </c>
      <c r="G23" s="34" t="n">
        <f aca="false">IFERROR(F23/E23,"")</f>
        <v>4.28793774319066</v>
      </c>
      <c r="H23" s="32" t="n">
        <v>332</v>
      </c>
      <c r="I23" s="32" t="n">
        <f aca="true">IF($H23="","",IFERROR(IF(ISBLANK(INDIRECT("'"&amp;$Q$2&amp;"'!H"&amp;ROW())),"",INDIRECT("'"&amp;$Q$2&amp;"'!H"&amp;ROW())),""))</f>
        <v>168</v>
      </c>
      <c r="J23" s="33" t="n">
        <f aca="false">IF(OR(H23="",I23=""),"",H23-I23)</f>
        <v>164</v>
      </c>
      <c r="K23" s="34" t="n">
        <f aca="false">IFERROR(J23/I23,"")</f>
        <v>0.976190476190476</v>
      </c>
      <c r="L23" s="32" t="n">
        <f aca="false">IFERROR(D23/C23,"")</f>
        <v>1510</v>
      </c>
      <c r="M23" s="32" t="n">
        <f aca="false">IFERROR(H23/D23*1000,"")</f>
        <v>24.429727740986</v>
      </c>
      <c r="N23" s="32" t="n">
        <v>5614</v>
      </c>
      <c r="O23" s="33" t="n">
        <f aca="true">IFERROR(IF(OR(N23="",ISBLANK(INDIRECT("'"&amp;$Q$2&amp;"'!N"&amp;ROW()))),"",N23-INDIRECT("'"&amp;$Q$2&amp;"'!N"&amp;ROW())),"")</f>
        <v>14</v>
      </c>
      <c r="P23" s="3"/>
      <c r="Q23" s="3"/>
      <c r="R23" s="3"/>
      <c r="S23" s="15" t="n">
        <f aca="true">IFERROR(IF(ISBLANK(INDIRECT("'"&amp;$Q$2&amp;"'!G"&amp;ROW())),"",INDIRECT("'"&amp;$Q$2&amp;"'!G"&amp;ROW())),"")</f>
        <v>-0.646103001927844</v>
      </c>
      <c r="T23" s="16" t="n">
        <f aca="false">IF(OR($G23="",$S23=""),"",$G23-$S23)</f>
        <v>4.93404074511851</v>
      </c>
      <c r="U23" s="15" t="n">
        <f aca="true">IFERROR(IF(ISBLANK(INDIRECT("'"&amp;$Q$2&amp;"'!K"&amp;ROW())),"",INDIRECT("'"&amp;$Q$2&amp;"'!K"&amp;ROW())),"")</f>
        <v>-0.04</v>
      </c>
      <c r="V23" s="16" t="n">
        <f aca="false">IF(OR($K23="",$U23=""),"",$K23-$U23)</f>
        <v>1.01619047619048</v>
      </c>
      <c r="W23" s="17" t="n">
        <f aca="true">IFERROR(IF(ISBLANK(INDIRECT("'"&amp;$Q$2&amp;"'!O"&amp;ROW())),"",INDIRECT("'"&amp;$Q$2&amp;"'!O"&amp;ROW())),"")</f>
        <v>1</v>
      </c>
      <c r="X23" s="17" t="n">
        <f aca="false">IF(OR($O23="",$W23=""),"",$O23-$W23)</f>
        <v>13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14743</v>
      </c>
      <c r="E24" s="32" t="n">
        <f aca="true">IF($D24="","",IFERROR(IF(ISBLANK(INDIRECT("'"&amp;$Q$2&amp;"'!D"&amp;ROW())),"",INDIRECT("'"&amp;$Q$2&amp;"'!D"&amp;ROW())),""))</f>
        <v>9898</v>
      </c>
      <c r="F24" s="33" t="n">
        <f aca="false">IF(OR(D24="",E24=""),"",D24-E24)</f>
        <v>4845</v>
      </c>
      <c r="G24" s="34" t="n">
        <f aca="false">IFERROR(F24/E24,"")</f>
        <v>0.489492826833704</v>
      </c>
      <c r="H24" s="32" t="n">
        <v>351</v>
      </c>
      <c r="I24" s="32" t="n">
        <f aca="true">IF($H24="","",IFERROR(IF(ISBLANK(INDIRECT("'"&amp;$Q$2&amp;"'!H"&amp;ROW())),"",INDIRECT("'"&amp;$Q$2&amp;"'!H"&amp;ROW())),""))</f>
        <v>256</v>
      </c>
      <c r="J24" s="33" t="n">
        <f aca="false">IF(OR(H24="",I24=""),"",H24-I24)</f>
        <v>95</v>
      </c>
      <c r="K24" s="34" t="n">
        <f aca="false">IFERROR(J24/I24,"")</f>
        <v>0.37109375</v>
      </c>
      <c r="L24" s="32" t="n">
        <f aca="false">IFERROR(D24/C24,"")</f>
        <v>2106.14285714286</v>
      </c>
      <c r="M24" s="32" t="n">
        <f aca="false">IFERROR(H24/D24*1000,"")</f>
        <v>23.8079088380927</v>
      </c>
      <c r="N24" s="32" t="n">
        <v>2318</v>
      </c>
      <c r="O24" s="33" t="n">
        <f aca="true">IFERROR(IF(OR(N24="",ISBLANK(INDIRECT("'"&amp;$Q$2&amp;"'!N"&amp;ROW()))),"",N24-INDIRECT("'"&amp;$Q$2&amp;"'!N"&amp;ROW())),"")</f>
        <v>3</v>
      </c>
      <c r="P24" s="3"/>
      <c r="Q24" s="3"/>
      <c r="R24" s="3"/>
      <c r="S24" s="15" t="n">
        <f aca="true">IFERROR(IF(ISBLANK(INDIRECT("'"&amp;$Q$2&amp;"'!G"&amp;ROW())),"",INDIRECT("'"&amp;$Q$2&amp;"'!G"&amp;ROW())),"")</f>
        <v>0.325033467202142</v>
      </c>
      <c r="T24" s="16" t="n">
        <f aca="false">IF(OR($G24="",$S24=""),"",$G24-$S24)</f>
        <v>0.164459359631562</v>
      </c>
      <c r="U24" s="15" t="n">
        <f aca="true">IFERROR(IF(ISBLANK(INDIRECT("'"&amp;$Q$2&amp;"'!K"&amp;ROW())),"",INDIRECT("'"&amp;$Q$2&amp;"'!K"&amp;ROW())),"")</f>
        <v>0.306122448979592</v>
      </c>
      <c r="V24" s="16" t="n">
        <f aca="false">IF(OR($K24="",$U24=""),"",$K24-$U24)</f>
        <v>0.0649713010204082</v>
      </c>
      <c r="W24" s="17" t="n">
        <f aca="true">IFERROR(IF(ISBLANK(INDIRECT("'"&amp;$Q$2&amp;"'!O"&amp;ROW())),"",INDIRECT("'"&amp;$Q$2&amp;"'!O"&amp;ROW())),"")</f>
        <v>2</v>
      </c>
      <c r="X24" s="17" t="n">
        <f aca="false">IF(OR($O24="",$W24=""),"",$O24-$W24)</f>
        <v>1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113039</v>
      </c>
      <c r="E25" s="32" t="n">
        <f aca="true">IF($D25="","",IFERROR(IF(ISBLANK(INDIRECT("'"&amp;$Q$2&amp;"'!D"&amp;ROW())),"",INDIRECT("'"&amp;$Q$2&amp;"'!D"&amp;ROW())),""))</f>
        <v>16793</v>
      </c>
      <c r="F25" s="33" t="n">
        <f aca="false">IF(OR(D25="",E25=""),"",D25-E25)</f>
        <v>96246</v>
      </c>
      <c r="G25" s="34" t="n">
        <f aca="false">IFERROR(F25/E25,"")</f>
        <v>5.73131662002025</v>
      </c>
      <c r="H25" s="32" t="n">
        <v>670</v>
      </c>
      <c r="I25" s="32" t="n">
        <f aca="true">IF($H25="","",IFERROR(IF(ISBLANK(INDIRECT("'"&amp;$Q$2&amp;"'!H"&amp;ROW())),"",INDIRECT("'"&amp;$Q$2&amp;"'!H"&amp;ROW())),""))</f>
        <v>176</v>
      </c>
      <c r="J25" s="33" t="n">
        <f aca="false">IF(OR(H25="",I25=""),"",H25-I25)</f>
        <v>494</v>
      </c>
      <c r="K25" s="34" t="n">
        <f aca="false">IFERROR(J25/I25,"")</f>
        <v>2.80681818181818</v>
      </c>
      <c r="L25" s="32" t="n">
        <f aca="false">IFERROR(D25/C25,"")</f>
        <v>14129.875</v>
      </c>
      <c r="M25" s="32" t="n">
        <f aca="false">IFERROR(H25/D25*1000,"")</f>
        <v>5.92715788356231</v>
      </c>
      <c r="N25" s="32" t="n">
        <v>6169</v>
      </c>
      <c r="O25" s="33" t="n">
        <f aca="true">IFERROR(IF(OR(N25="",ISBLANK(INDIRECT("'"&amp;$Q$2&amp;"'!N"&amp;ROW()))),"",N25-INDIRECT("'"&amp;$Q$2&amp;"'!N"&amp;ROW())),"")</f>
        <v>15</v>
      </c>
      <c r="P25" s="3"/>
      <c r="Q25" s="3"/>
      <c r="R25" s="3"/>
      <c r="S25" s="15" t="n">
        <f aca="true">IFERROR(IF(ISBLANK(INDIRECT("'"&amp;$Q$2&amp;"'!G"&amp;ROW())),"",INDIRECT("'"&amp;$Q$2&amp;"'!G"&amp;ROW())),"")</f>
        <v>-0.601390965843006</v>
      </c>
      <c r="T25" s="16" t="n">
        <f aca="false">IF(OR($G25="",$S25=""),"",$G25-$S25)</f>
        <v>6.33270758586325</v>
      </c>
      <c r="U25" s="15" t="n">
        <f aca="true">IFERROR(IF(ISBLANK(INDIRECT("'"&amp;$Q$2&amp;"'!K"&amp;ROW())),"",INDIRECT("'"&amp;$Q$2&amp;"'!K"&amp;ROW())),"")</f>
        <v>-0.165876777251185</v>
      </c>
      <c r="V25" s="16" t="n">
        <f aca="false">IF(OR($K25="",$U25=""),"",$K25-$U25)</f>
        <v>2.97269495906937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234</v>
      </c>
      <c r="D26" s="32" t="n">
        <v>40025</v>
      </c>
      <c r="E26" s="32" t="n">
        <f aca="true">IF($D26="","",IFERROR(IF(ISBLANK(INDIRECT("'"&amp;$Q$2&amp;"'!D"&amp;ROW())),"",INDIRECT("'"&amp;$Q$2&amp;"'!D"&amp;ROW())),""))</f>
        <v>50551</v>
      </c>
      <c r="F26" s="33" t="n">
        <f aca="false">IF(OR(D26="",E26=""),"",D26-E26)</f>
        <v>-10526</v>
      </c>
      <c r="G26" s="34" t="n">
        <f aca="false">IFERROR(F26/E26,"")</f>
        <v>-0.208225356570592</v>
      </c>
      <c r="H26" s="32" t="n">
        <v>130</v>
      </c>
      <c r="I26" s="32" t="n">
        <f aca="true">IF($H26="","",IFERROR(IF(ISBLANK(INDIRECT("'"&amp;$Q$2&amp;"'!H"&amp;ROW())),"",INDIRECT("'"&amp;$Q$2&amp;"'!H"&amp;ROW())),""))</f>
        <v>129</v>
      </c>
      <c r="J26" s="33" t="n">
        <f aca="false">IF(OR(H26="",I26=""),"",H26-I26)</f>
        <v>1</v>
      </c>
      <c r="K26" s="34" t="n">
        <f aca="false">IFERROR(J26/I26,"")</f>
        <v>0.00775193798449612</v>
      </c>
      <c r="L26" s="32" t="n">
        <f aca="false">IFERROR(D26/C26,"")</f>
        <v>171.047008547009</v>
      </c>
      <c r="M26" s="32" t="n">
        <f aca="false">IFERROR(H26/D26*1000,"")</f>
        <v>3.24797001873829</v>
      </c>
      <c r="N26" s="32" t="n">
        <v>7898</v>
      </c>
      <c r="O26" s="33" t="n">
        <f aca="true">IFERROR(IF(OR(N26="",ISBLANK(INDIRECT("'"&amp;$Q$2&amp;"'!N"&amp;ROW()))),"",N26-INDIRECT("'"&amp;$Q$2&amp;"'!N"&amp;ROW())),"")</f>
        <v>9</v>
      </c>
      <c r="P26" s="3"/>
      <c r="Q26" s="3"/>
      <c r="R26" s="3"/>
      <c r="S26" s="15" t="n">
        <f aca="true">IFERROR(IF(ISBLANK(INDIRECT("'"&amp;$Q$2&amp;"'!G"&amp;ROW())),"",INDIRECT("'"&amp;$Q$2&amp;"'!G"&amp;ROW())),"")</f>
        <v>0.674927934793413</v>
      </c>
      <c r="T26" s="16" t="n">
        <f aca="false">IF(OR($G26="",$S26=""),"",$G26-$S26)</f>
        <v>-0.883153291364005</v>
      </c>
      <c r="U26" s="15" t="n">
        <f aca="true">IFERROR(IF(ISBLANK(INDIRECT("'"&amp;$Q$2&amp;"'!K"&amp;ROW())),"",INDIRECT("'"&amp;$Q$2&amp;"'!K"&amp;ROW())),"")</f>
        <v>0.162162162162162</v>
      </c>
      <c r="V26" s="16" t="n">
        <f aca="false">IF(OR($K26="",$U26=""),"",$K26-$U26)</f>
        <v>-0.154410224177666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1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1912</v>
      </c>
      <c r="E27" s="32" t="n">
        <f aca="true">IF($D27="","",IFERROR(IF(ISBLANK(INDIRECT("'"&amp;$Q$2&amp;"'!D"&amp;ROW())),"",INDIRECT("'"&amp;$Q$2&amp;"'!D"&amp;ROW())),""))</f>
        <v>2091</v>
      </c>
      <c r="F27" s="33" t="n">
        <f aca="false">IF(OR(D27="",E27=""),"",D27-E27)</f>
        <v>-179</v>
      </c>
      <c r="G27" s="34" t="n">
        <f aca="false">IFERROR(F27/E27,"")</f>
        <v>-0.0856049736967958</v>
      </c>
      <c r="H27" s="32" t="n">
        <v>37</v>
      </c>
      <c r="I27" s="32" t="n">
        <f aca="true">IF($H27="","",IFERROR(IF(ISBLANK(INDIRECT("'"&amp;$Q$2&amp;"'!H"&amp;ROW())),"",INDIRECT("'"&amp;$Q$2&amp;"'!H"&amp;ROW())),""))</f>
        <v>41</v>
      </c>
      <c r="J27" s="33" t="n">
        <f aca="false">IF(OR(H27="",I27=""),"",H27-I27)</f>
        <v>-4</v>
      </c>
      <c r="K27" s="34" t="n">
        <f aca="false">IFERROR(J27/I27,"")</f>
        <v>-0.0975609756097561</v>
      </c>
      <c r="L27" s="32" t="n">
        <f aca="false">IFERROR(D27/C27,"")</f>
        <v>191.2</v>
      </c>
      <c r="M27" s="32" t="n">
        <f aca="false">IFERROR(H27/D27*1000,"")</f>
        <v>19.3514644351464</v>
      </c>
      <c r="N27" s="32" t="n">
        <v>16721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0.368455497382199</v>
      </c>
      <c r="T27" s="16" t="n">
        <f aca="false">IF(OR($G27="",$S27=""),"",$G27-$S27)</f>
        <v>-0.454060471078995</v>
      </c>
      <c r="U27" s="15" t="n">
        <f aca="true">IFERROR(IF(ISBLANK(INDIRECT("'"&amp;$Q$2&amp;"'!K"&amp;ROW())),"",INDIRECT("'"&amp;$Q$2&amp;"'!K"&amp;ROW())),"")</f>
        <v>0.205882352941176</v>
      </c>
      <c r="V27" s="16" t="n">
        <f aca="false">IF(OR($K27="",$U27=""),"",$K27-$U27)</f>
        <v>-0.303443328550933</v>
      </c>
      <c r="W27" s="17" t="n">
        <f aca="true">IFERROR(IF(ISBLANK(INDIRECT("'"&amp;$Q$2&amp;"'!O"&amp;ROW())),"",INDIRECT("'"&amp;$Q$2&amp;"'!O"&amp;ROW())),"")</f>
        <v>-3</v>
      </c>
      <c r="X27" s="17" t="n">
        <f aca="false">IF(OR($O27="",$W27=""),"",$O27-$W27)</f>
        <v>2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4983</v>
      </c>
      <c r="E28" s="32" t="n">
        <f aca="true">IF($D28="","",IFERROR(IF(ISBLANK(INDIRECT("'"&amp;$Q$2&amp;"'!D"&amp;ROW())),"",INDIRECT("'"&amp;$Q$2&amp;"'!D"&amp;ROW())),""))</f>
        <v>7279</v>
      </c>
      <c r="F28" s="33" t="n">
        <f aca="false">IF(OR(D28="",E28=""),"",D28-E28)</f>
        <v>-2296</v>
      </c>
      <c r="G28" s="34" t="n">
        <f aca="false">IFERROR(F28/E28,"")</f>
        <v>-0.315427943398819</v>
      </c>
      <c r="H28" s="32" t="n">
        <v>31</v>
      </c>
      <c r="I28" s="32" t="n">
        <f aca="true">IF($H28="","",IFERROR(IF(ISBLANK(INDIRECT("'"&amp;$Q$2&amp;"'!H"&amp;ROW())),"",INDIRECT("'"&amp;$Q$2&amp;"'!H"&amp;ROW())),""))</f>
        <v>35</v>
      </c>
      <c r="J28" s="33" t="n">
        <f aca="false">IF(OR(H28="",I28=""),"",H28-I28)</f>
        <v>-4</v>
      </c>
      <c r="K28" s="34" t="n">
        <f aca="false">IFERROR(J28/I28,"")</f>
        <v>-0.114285714285714</v>
      </c>
      <c r="L28" s="32" t="n">
        <f aca="false">IFERROR(D28/C28,"")</f>
        <v>249.15</v>
      </c>
      <c r="M28" s="32" t="n">
        <f aca="false">IFERROR(H28/D28*1000,"")</f>
        <v>6.22115191651616</v>
      </c>
      <c r="N28" s="32" t="n">
        <v>21916</v>
      </c>
      <c r="O28" s="33" t="n">
        <f aca="true">IFERROR(IF(OR(N28="",ISBLANK(INDIRECT("'"&amp;$Q$2&amp;"'!N"&amp;ROW()))),"",N28-INDIRECT("'"&amp;$Q$2&amp;"'!N"&amp;ROW())),"")</f>
        <v>8</v>
      </c>
      <c r="P28" s="3"/>
      <c r="Q28" s="3"/>
      <c r="R28" s="3"/>
      <c r="S28" s="15" t="n">
        <f aca="true">IFERROR(IF(ISBLANK(INDIRECT("'"&amp;$Q$2&amp;"'!G"&amp;ROW())),"",INDIRECT("'"&amp;$Q$2&amp;"'!G"&amp;ROW())),"")</f>
        <v>-0.325893684015558</v>
      </c>
      <c r="T28" s="16" t="n">
        <f aca="false">IF(OR($G28="",$S28=""),"",$G28-$S28)</f>
        <v>0.0104657406167399</v>
      </c>
      <c r="U28" s="15" t="n">
        <f aca="true">IFERROR(IF(ISBLANK(INDIRECT("'"&amp;$Q$2&amp;"'!K"&amp;ROW())),"",INDIRECT("'"&amp;$Q$2&amp;"'!K"&amp;ROW())),"")</f>
        <v>0.129032258064516</v>
      </c>
      <c r="V28" s="16" t="n">
        <f aca="false">IF(OR($K28="",$U28=""),"",$K28-$U28)</f>
        <v>-0.24331797235023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37678</v>
      </c>
      <c r="E29" s="32" t="n">
        <f aca="true">IF($D29="","",IFERROR(IF(ISBLANK(INDIRECT("'"&amp;$Q$2&amp;"'!D"&amp;ROW())),"",INDIRECT("'"&amp;$Q$2&amp;"'!D"&amp;ROW())),""))</f>
        <v>14353</v>
      </c>
      <c r="F29" s="33" t="n">
        <f aca="false">IF(OR(D29="",E29=""),"",D29-E29)</f>
        <v>23325</v>
      </c>
      <c r="G29" s="34" t="n">
        <f aca="false">IFERROR(F29/E29,"")</f>
        <v>1.62509579878771</v>
      </c>
      <c r="H29" s="32" t="n">
        <v>52</v>
      </c>
      <c r="I29" s="32" t="n">
        <f aca="true">IF($H29="","",IFERROR(IF(ISBLANK(INDIRECT("'"&amp;$Q$2&amp;"'!H"&amp;ROW())),"",INDIRECT("'"&amp;$Q$2&amp;"'!H"&amp;ROW())),""))</f>
        <v>353</v>
      </c>
      <c r="J29" s="33" t="n">
        <f aca="false">IF(OR(H29="",I29=""),"",H29-I29)</f>
        <v>-301</v>
      </c>
      <c r="K29" s="34" t="n">
        <f aca="false">IFERROR(J29/I29,"")</f>
        <v>-0.852691218130312</v>
      </c>
      <c r="L29" s="32" t="n">
        <f aca="false">IFERROR(D29/C29,"")</f>
        <v>6279.66666666667</v>
      </c>
      <c r="M29" s="32" t="n">
        <f aca="false">IFERROR(H29/D29*1000,"")</f>
        <v>1.38011571739477</v>
      </c>
      <c r="N29" s="32" t="n">
        <v>9572</v>
      </c>
      <c r="O29" s="33" t="n">
        <f aca="true">IFERROR(IF(OR(N29="",ISBLANK(INDIRECT("'"&amp;$Q$2&amp;"'!N"&amp;ROW()))),"",N29-INDIRECT("'"&amp;$Q$2&amp;"'!N"&amp;ROW())),"")</f>
        <v>34</v>
      </c>
      <c r="P29" s="3"/>
      <c r="Q29" s="3"/>
      <c r="R29" s="3"/>
      <c r="S29" s="15" t="n">
        <f aca="true">IFERROR(IF(ISBLANK(INDIRECT("'"&amp;$Q$2&amp;"'!G"&amp;ROW())),"",INDIRECT("'"&amp;$Q$2&amp;"'!G"&amp;ROW())),"")</f>
        <v>0.307790432801822</v>
      </c>
      <c r="T29" s="16" t="n">
        <f aca="false">IF(OR($G29="",$S29=""),"",$G29-$S29)</f>
        <v>1.31730536598589</v>
      </c>
      <c r="U29" s="15" t="n">
        <f aca="true">IFERROR(IF(ISBLANK(INDIRECT("'"&amp;$Q$2&amp;"'!K"&amp;ROW())),"",INDIRECT("'"&amp;$Q$2&amp;"'!K"&amp;ROW())),"")</f>
        <v>0.452674897119342</v>
      </c>
      <c r="V29" s="16" t="n">
        <f aca="false">IF(OR($K29="",$U29=""),"",$K29-$U29)</f>
        <v>-1.30536611524965</v>
      </c>
      <c r="W29" s="17" t="n">
        <f aca="true">IFERROR(IF(ISBLANK(INDIRECT("'"&amp;$Q$2&amp;"'!O"&amp;ROW())),"",INDIRECT("'"&amp;$Q$2&amp;"'!O"&amp;ROW())),"")</f>
        <v>87</v>
      </c>
      <c r="X29" s="17" t="n">
        <f aca="false">IF(OR($O29="",$W29=""),"",$O29-$W29)</f>
        <v>-53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1991</v>
      </c>
      <c r="D30" s="36" t="n">
        <f aca="false">SUM(D3:D29)</f>
        <v>3019940</v>
      </c>
      <c r="E30" s="36" t="n">
        <f aca="false">SUM(E3:E29)</f>
        <v>3278814</v>
      </c>
      <c r="F30" s="37" t="n">
        <f aca="false">SUM(F3:F29)</f>
        <v>-258874</v>
      </c>
      <c r="G30" s="38" t="n">
        <f aca="false">IF(C30=0,"",IFERROR(F30/E30,""))</f>
        <v>-0.0789535484477009</v>
      </c>
      <c r="H30" s="36" t="n">
        <f aca="false">SUM(H3:H29)</f>
        <v>32490</v>
      </c>
      <c r="I30" s="36" t="n">
        <f aca="false">SUM(I3:I29)</f>
        <v>36042</v>
      </c>
      <c r="J30" s="37" t="n">
        <f aca="false">SUM(J3:J29)</f>
        <v>-3552</v>
      </c>
      <c r="K30" s="38" t="n">
        <f aca="false">IF(C30=0,"",IFERROR(J30/I30,""))</f>
        <v>-0.0985516896953554</v>
      </c>
      <c r="L30" s="36" t="n">
        <f aca="false">IFERROR(D30/C30,"")</f>
        <v>1516.7955801105</v>
      </c>
      <c r="M30" s="36" t="n">
        <f aca="false">IFERROR(H30/D30*1000,"")</f>
        <v>10.7584918905674</v>
      </c>
      <c r="N30" s="36" t="n">
        <f aca="false">SUM(N3:N29)</f>
        <v>461475</v>
      </c>
      <c r="O30" s="37" t="n">
        <f aca="false">SUM(O3:O29)</f>
        <v>1014</v>
      </c>
      <c r="P30" s="3"/>
      <c r="Q30" s="3"/>
      <c r="R30" s="3"/>
      <c r="S30" s="23" t="n">
        <f aca="true">IFERROR(IF(ISBLANK(INDIRECT("'"&amp;$Q$2&amp;"'!G"&amp;ROW())),"",INDIRECT("'"&amp;$Q$2&amp;"'!G"&amp;ROW())),"")</f>
        <v>0.052346200779403</v>
      </c>
      <c r="T30" s="24" t="n">
        <f aca="false">IF(OR($G30="",$S30=""),"",$G30-$S30)</f>
        <v>-0.131299749227104</v>
      </c>
      <c r="U30" s="23" t="n">
        <f aca="true">IFERROR(IF(ISBLANK(INDIRECT("'"&amp;$Q$2&amp;"'!K"&amp;ROW())),"",INDIRECT("'"&amp;$Q$2&amp;"'!K"&amp;ROW())),"")</f>
        <v>0.0705756549634646</v>
      </c>
      <c r="V30" s="24" t="n">
        <f aca="false">IF(OR($K30="",$U30=""),"",$K30-$U30)</f>
        <v>-0.16912734465882</v>
      </c>
      <c r="W30" s="25" t="n">
        <f aca="true">IFERROR(IF(ISBLANK(INDIRECT("'"&amp;$Q$2&amp;"'!O"&amp;ROW())),"",INDIRECT("'"&amp;$Q$2&amp;"'!O"&amp;ROW())),"")</f>
        <v>1042</v>
      </c>
      <c r="X30" s="25" t="n">
        <f aca="false">IF(OR(C30=0,$O30="",$W30=""),"",$O30-$W30)</f>
        <v>-28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138</v>
      </c>
      <c r="D31" s="32" t="n">
        <v>291577</v>
      </c>
      <c r="E31" s="32" t="n">
        <f aca="true">IF($D31="","",IFERROR(IF(ISBLANK(INDIRECT("'"&amp;$Q$2&amp;"'!D"&amp;ROW())),"",INDIRECT("'"&amp;$Q$2&amp;"'!D"&amp;ROW())),""))</f>
        <v>24426</v>
      </c>
      <c r="F31" s="33" t="n">
        <f aca="false">IF(OR(D31="",E31=""),"",D31-E31)</f>
        <v>267151</v>
      </c>
      <c r="G31" s="34" t="n">
        <f aca="false">IFERROR(F31/E31,"")</f>
        <v>10.9371571276509</v>
      </c>
      <c r="H31" s="32" t="n">
        <v>127</v>
      </c>
      <c r="I31" s="32" t="n">
        <f aca="true">IF($H31="","",IFERROR(IF(ISBLANK(INDIRECT("'"&amp;$Q$2&amp;"'!H"&amp;ROW())),"",INDIRECT("'"&amp;$Q$2&amp;"'!H"&amp;ROW())),""))</f>
        <v>79</v>
      </c>
      <c r="J31" s="33" t="n">
        <f aca="false">IF(OR(H31="",I31=""),"",H31-I31)</f>
        <v>48</v>
      </c>
      <c r="K31" s="34" t="n">
        <f aca="false">IFERROR(J31/I31,"")</f>
        <v>0.607594936708861</v>
      </c>
      <c r="L31" s="32" t="n">
        <f aca="false">IFERROR(D31/C31,"")</f>
        <v>2112.8768115942</v>
      </c>
      <c r="M31" s="32" t="n">
        <f aca="false">IFERROR(H31/D31*1000,"")</f>
        <v>0.435562475778268</v>
      </c>
      <c r="N31" s="32" t="n">
        <v>32473</v>
      </c>
      <c r="O31" s="33" t="n">
        <f aca="true">IFERROR(IF(OR(N31="",ISBLANK(INDIRECT("'"&amp;$Q$2&amp;"'!N"&amp;ROW()))),"",N31-INDIRECT("'"&amp;$Q$2&amp;"'!N"&amp;ROW())),"")</f>
        <v>10</v>
      </c>
      <c r="P31" s="3"/>
      <c r="Q31" s="3"/>
      <c r="R31" s="3"/>
      <c r="S31" s="15" t="n">
        <f aca="true">IFERROR(IF(ISBLANK(INDIRECT("'"&amp;$Q$2&amp;"'!G"&amp;ROW())),"",INDIRECT("'"&amp;$Q$2&amp;"'!G"&amp;ROW())),"")</f>
        <v>-0.121619677790564</v>
      </c>
      <c r="T31" s="16" t="n">
        <f aca="false">IF(OR($G31="",$S31=""),"",$G31-$S31)</f>
        <v>11.0587768054414</v>
      </c>
      <c r="U31" s="15" t="n">
        <f aca="true">IFERROR(IF(ISBLANK(INDIRECT("'"&amp;$Q$2&amp;"'!K"&amp;ROW())),"",INDIRECT("'"&amp;$Q$2&amp;"'!K"&amp;ROW())),"")</f>
        <v>0.295081967213115</v>
      </c>
      <c r="V31" s="16" t="n">
        <f aca="false">IF(OR($K31="",$U31=""),"",$K31-$U31)</f>
        <v>0.312512969495746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7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125</v>
      </c>
      <c r="D32" s="32" t="n">
        <v>40747</v>
      </c>
      <c r="E32" s="32" t="n">
        <f aca="true">IF($D32="","",IFERROR(IF(ISBLANK(INDIRECT("'"&amp;$Q$2&amp;"'!D"&amp;ROW())),"",INDIRECT("'"&amp;$Q$2&amp;"'!D"&amp;ROW())),""))</f>
        <v>35622</v>
      </c>
      <c r="F32" s="33" t="n">
        <f aca="false">IF(OR(D32="",E32=""),"",D32-E32)</f>
        <v>5125</v>
      </c>
      <c r="G32" s="34" t="n">
        <f aca="false">IFERROR(F32/E32,"")</f>
        <v>0.143871764639829</v>
      </c>
      <c r="H32" s="32" t="n">
        <v>68</v>
      </c>
      <c r="I32" s="32" t="n">
        <f aca="true">IF($H32="","",IFERROR(IF(ISBLANK(INDIRECT("'"&amp;$Q$2&amp;"'!H"&amp;ROW())),"",INDIRECT("'"&amp;$Q$2&amp;"'!H"&amp;ROW())),""))</f>
        <v>41</v>
      </c>
      <c r="J32" s="33" t="n">
        <f aca="false">IF(OR(H32="",I32=""),"",H32-I32)</f>
        <v>27</v>
      </c>
      <c r="K32" s="34" t="n">
        <f aca="false">IFERROR(J32/I32,"")</f>
        <v>0.658536585365854</v>
      </c>
      <c r="L32" s="32" t="n">
        <f aca="false">IFERROR(D32/C32,"")</f>
        <v>325.976</v>
      </c>
      <c r="M32" s="32" t="n">
        <f aca="false">IFERROR(H32/D32*1000,"")</f>
        <v>1.66883451542445</v>
      </c>
      <c r="N32" s="32" t="n">
        <v>21735</v>
      </c>
      <c r="O32" s="33" t="n">
        <f aca="true">IFERROR(IF(OR(N32="",ISBLANK(INDIRECT("'"&amp;$Q$2&amp;"'!N"&amp;ROW()))),"",N32-INDIRECT("'"&amp;$Q$2&amp;"'!N"&amp;ROW())),"")</f>
        <v>3</v>
      </c>
      <c r="P32" s="3"/>
      <c r="Q32" s="3"/>
      <c r="R32" s="3"/>
      <c r="S32" s="15" t="n">
        <f aca="true">IFERROR(IF(ISBLANK(INDIRECT("'"&amp;$Q$2&amp;"'!G"&amp;ROW())),"",INDIRECT("'"&amp;$Q$2&amp;"'!G"&amp;ROW())),"")</f>
        <v>0.0298649859782012</v>
      </c>
      <c r="T32" s="16" t="n">
        <f aca="false">IF(OR($G32="",$S32=""),"",$G32-$S32)</f>
        <v>0.114006778661628</v>
      </c>
      <c r="U32" s="15" t="n">
        <f aca="true">IFERROR(IF(ISBLANK(INDIRECT("'"&amp;$Q$2&amp;"'!K"&amp;ROW())),"",INDIRECT("'"&amp;$Q$2&amp;"'!K"&amp;ROW())),"")</f>
        <v>-0.0888888888888889</v>
      </c>
      <c r="V32" s="16" t="n">
        <f aca="false">IF(OR($K32="",$U32=""),"",$K32-$U32)</f>
        <v>0.747425474254743</v>
      </c>
      <c r="W32" s="17" t="n">
        <f aca="true">IFERROR(IF(ISBLANK(INDIRECT("'"&amp;$Q$2&amp;"'!O"&amp;ROW())),"",INDIRECT("'"&amp;$Q$2&amp;"'!O"&amp;ROW())),"")</f>
        <v>0</v>
      </c>
      <c r="X32" s="17" t="n">
        <f aca="false">IF(OR($O32="",$W32=""),"",$O32-$W32)</f>
        <v>3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87</v>
      </c>
      <c r="D33" s="32" t="n">
        <v>18335</v>
      </c>
      <c r="E33" s="32" t="n">
        <f aca="true">IF($D33="","",IFERROR(IF(ISBLANK(INDIRECT("'"&amp;$Q$2&amp;"'!D"&amp;ROW())),"",INDIRECT("'"&amp;$Q$2&amp;"'!D"&amp;ROW())),""))</f>
        <v>25717</v>
      </c>
      <c r="F33" s="33" t="n">
        <f aca="false">IF(OR(D33="",E33=""),"",D33-E33)</f>
        <v>-7382</v>
      </c>
      <c r="G33" s="34" t="n">
        <f aca="false">IFERROR(F33/E33,"")</f>
        <v>-0.287047478321733</v>
      </c>
      <c r="H33" s="32" t="n">
        <v>4</v>
      </c>
      <c r="I33" s="32" t="n">
        <f aca="true">IF($H33="","",IFERROR(IF(ISBLANK(INDIRECT("'"&amp;$Q$2&amp;"'!H"&amp;ROW())),"",INDIRECT("'"&amp;$Q$2&amp;"'!H"&amp;ROW())),""))</f>
        <v>6</v>
      </c>
      <c r="J33" s="33" t="n">
        <f aca="false">IF(OR(H33="",I33=""),"",H33-I33)</f>
        <v>-2</v>
      </c>
      <c r="K33" s="34" t="n">
        <f aca="false">IFERROR(J33/I33,"")</f>
        <v>-0.333333333333333</v>
      </c>
      <c r="L33" s="32" t="n">
        <f aca="false">IFERROR(D33/C33,"")</f>
        <v>210.747126436782</v>
      </c>
      <c r="M33" s="32" t="n">
        <f aca="false">IFERROR(H33/D33*1000,"")</f>
        <v>0.218161985274066</v>
      </c>
      <c r="N33" s="32" t="n">
        <v>8961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n">
        <f aca="true">IFERROR(IF(ISBLANK(INDIRECT("'"&amp;$Q$2&amp;"'!G"&amp;ROW())),"",INDIRECT("'"&amp;$Q$2&amp;"'!G"&amp;ROW())),"")</f>
        <v>0.160619189457532</v>
      </c>
      <c r="T33" s="16" t="n">
        <f aca="false">IF(OR($G33="",$S33=""),"",$G33-$S33)</f>
        <v>-0.447666667779265</v>
      </c>
      <c r="U33" s="15" t="n">
        <f aca="true">IFERROR(IF(ISBLANK(INDIRECT("'"&amp;$Q$2&amp;"'!K"&amp;ROW())),"",INDIRECT("'"&amp;$Q$2&amp;"'!K"&amp;ROW())),"")</f>
        <v>0.2</v>
      </c>
      <c r="V33" s="16" t="n">
        <f aca="false">IF(OR($K33="",$U33=""),"",$K33-$U33)</f>
        <v>-0.533333333333333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0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91</v>
      </c>
      <c r="D34" s="32" t="n">
        <v>905</v>
      </c>
      <c r="E34" s="32" t="n">
        <f aca="true">IF($D34="","",IFERROR(IF(ISBLANK(INDIRECT("'"&amp;$Q$2&amp;"'!D"&amp;ROW())),"",INDIRECT("'"&amp;$Q$2&amp;"'!D"&amp;ROW())),""))</f>
        <v>1655</v>
      </c>
      <c r="F34" s="33" t="n">
        <f aca="false">IF(OR(D34="",E34=""),"",D34-E34)</f>
        <v>-750</v>
      </c>
      <c r="G34" s="34" t="n">
        <f aca="false">IFERROR(F34/E34,"")</f>
        <v>-0.453172205438066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9.94505494505495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0.521139705882353</v>
      </c>
      <c r="T34" s="16" t="n">
        <f aca="false">IF(OR($G34="",$S34=""),"",$G34-$S34)</f>
        <v>-0.974311911320419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1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96</v>
      </c>
      <c r="D35" s="32" t="n">
        <v>10237</v>
      </c>
      <c r="E35" s="32" t="n">
        <f aca="true">IF($D35="","",IFERROR(IF(ISBLANK(INDIRECT("'"&amp;$Q$2&amp;"'!D"&amp;ROW())),"",INDIRECT("'"&amp;$Q$2&amp;"'!D"&amp;ROW())),""))</f>
        <v>10205</v>
      </c>
      <c r="F35" s="33" t="n">
        <f aca="false">IF(OR(D35="",E35=""),"",D35-E35)</f>
        <v>32</v>
      </c>
      <c r="G35" s="34" t="n">
        <f aca="false">IFERROR(F35/E35,"")</f>
        <v>0.00313571778539931</v>
      </c>
      <c r="H35" s="32" t="n">
        <v>126</v>
      </c>
      <c r="I35" s="32" t="n">
        <f aca="true">IF($H35="","",IFERROR(IF(ISBLANK(INDIRECT("'"&amp;$Q$2&amp;"'!H"&amp;ROW())),"",INDIRECT("'"&amp;$Q$2&amp;"'!H"&amp;ROW())),""))</f>
        <v>158</v>
      </c>
      <c r="J35" s="33" t="n">
        <f aca="false">IF(OR(H35="",I35=""),"",H35-I35)</f>
        <v>-32</v>
      </c>
      <c r="K35" s="34" t="n">
        <f aca="false">IFERROR(J35/I35,"")</f>
        <v>-0.20253164556962</v>
      </c>
      <c r="L35" s="32" t="n">
        <f aca="false">IFERROR(D35/C35,"")</f>
        <v>106.635416666667</v>
      </c>
      <c r="M35" s="32" t="n">
        <f aca="false">IFERROR(H35/D35*1000,"")</f>
        <v>12.3082934453453</v>
      </c>
      <c r="N35" s="32" t="n">
        <v>1937</v>
      </c>
      <c r="O35" s="33" t="n">
        <f aca="true">IFERROR(IF(OR(N35="",ISBLANK(INDIRECT("'"&amp;$Q$2&amp;"'!N"&amp;ROW()))),"",N35-INDIRECT("'"&amp;$Q$2&amp;"'!N"&amp;ROW())),"")</f>
        <v>1</v>
      </c>
      <c r="P35" s="3"/>
      <c r="Q35" s="3"/>
      <c r="R35" s="3"/>
      <c r="S35" s="15" t="n">
        <f aca="true">IFERROR(IF(ISBLANK(INDIRECT("'"&amp;$Q$2&amp;"'!G"&amp;ROW())),"",INDIRECT("'"&amp;$Q$2&amp;"'!G"&amp;ROW())),"")</f>
        <v>-0.200736215538847</v>
      </c>
      <c r="T35" s="16" t="n">
        <f aca="false">IF(OR($G35="",$S35=""),"",$G35-$S35)</f>
        <v>0.203871933324246</v>
      </c>
      <c r="U35" s="15" t="n">
        <f aca="true">IFERROR(IF(ISBLANK(INDIRECT("'"&amp;$Q$2&amp;"'!K"&amp;ROW())),"",INDIRECT("'"&amp;$Q$2&amp;"'!K"&amp;ROW())),"")</f>
        <v>0.0821917808219178</v>
      </c>
      <c r="V35" s="16" t="n">
        <f aca="false">IF(OR($K35="",$U35=""),"",$K35-$U35)</f>
        <v>-0.284723426391538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-1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90</v>
      </c>
      <c r="D36" s="32" t="n">
        <v>40666</v>
      </c>
      <c r="E36" s="32" t="n">
        <f aca="true">IF($D36="","",IFERROR(IF(ISBLANK(INDIRECT("'"&amp;$Q$2&amp;"'!D"&amp;ROW())),"",INDIRECT("'"&amp;$Q$2&amp;"'!D"&amp;ROW())),""))</f>
        <v>43443</v>
      </c>
      <c r="F36" s="33" t="n">
        <f aca="false">IF(OR(D36="",E36=""),"",D36-E36)</f>
        <v>-2777</v>
      </c>
      <c r="G36" s="34" t="n">
        <f aca="false">IFERROR(F36/E36,"")</f>
        <v>-0.0639228414243952</v>
      </c>
      <c r="H36" s="32" t="n">
        <v>944</v>
      </c>
      <c r="I36" s="32" t="n">
        <f aca="true">IF($H36="","",IFERROR(IF(ISBLANK(INDIRECT("'"&amp;$Q$2&amp;"'!H"&amp;ROW())),"",INDIRECT("'"&amp;$Q$2&amp;"'!H"&amp;ROW())),""))</f>
        <v>922</v>
      </c>
      <c r="J36" s="33" t="n">
        <f aca="false">IF(OR(H36="",I36=""),"",H36-I36)</f>
        <v>22</v>
      </c>
      <c r="K36" s="34" t="n">
        <f aca="false">IFERROR(J36/I36,"")</f>
        <v>0.0238611713665944</v>
      </c>
      <c r="L36" s="32" t="n">
        <f aca="false">IFERROR(D36/C36,"")</f>
        <v>451.844444444444</v>
      </c>
      <c r="M36" s="32" t="n">
        <f aca="false">IFERROR(H36/D36*1000,"")</f>
        <v>23.2134953032017</v>
      </c>
      <c r="N36" s="32" t="n">
        <v>5881</v>
      </c>
      <c r="O36" s="33" t="n">
        <f aca="true">IFERROR(IF(OR(N36="",ISBLANK(INDIRECT("'"&amp;$Q$2&amp;"'!N"&amp;ROW()))),"",N36-INDIRECT("'"&amp;$Q$2&amp;"'!N"&amp;ROW())),"")</f>
        <v>2</v>
      </c>
      <c r="P36" s="3"/>
      <c r="Q36" s="3"/>
      <c r="R36" s="3"/>
      <c r="S36" s="15" t="n">
        <f aca="true">IFERROR(IF(ISBLANK(INDIRECT("'"&amp;$Q$2&amp;"'!G"&amp;ROW())),"",INDIRECT("'"&amp;$Q$2&amp;"'!G"&amp;ROW())),"")</f>
        <v>0.161515426982514</v>
      </c>
      <c r="T36" s="16" t="n">
        <f aca="false">IF(OR($G36="",$S36=""),"",$G36-$S36)</f>
        <v>-0.22543826840691</v>
      </c>
      <c r="U36" s="15" t="n">
        <f aca="true">IFERROR(IF(ISBLANK(INDIRECT("'"&amp;$Q$2&amp;"'!K"&amp;ROW())),"",INDIRECT("'"&amp;$Q$2&amp;"'!K"&amp;ROW())),"")</f>
        <v>0.516447368421053</v>
      </c>
      <c r="V36" s="16" t="n">
        <f aca="false">IF(OR($K36="",$U36=""),"",$K36-$U36)</f>
        <v>-0.492586197054458</v>
      </c>
      <c r="W36" s="17" t="n">
        <f aca="true">IFERROR(IF(ISBLANK(INDIRECT("'"&amp;$Q$2&amp;"'!O"&amp;ROW())),"",INDIRECT("'"&amp;$Q$2&amp;"'!O"&amp;ROW())),"")</f>
        <v>4</v>
      </c>
      <c r="X36" s="17" t="n">
        <f aca="false">IF(OR($O36="",$W36=""),"",$O36-$W36)</f>
        <v>-2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146</v>
      </c>
      <c r="D37" s="32" t="n">
        <v>7612</v>
      </c>
      <c r="E37" s="32" t="n">
        <f aca="true">IF($D37="","",IFERROR(IF(ISBLANK(INDIRECT("'"&amp;$Q$2&amp;"'!D"&amp;ROW())),"",INDIRECT("'"&amp;$Q$2&amp;"'!D"&amp;ROW())),""))</f>
        <v>5494</v>
      </c>
      <c r="F37" s="33" t="n">
        <f aca="false">IF(OR(D37="",E37=""),"",D37-E37)</f>
        <v>2118</v>
      </c>
      <c r="G37" s="34" t="n">
        <f aca="false">IFERROR(F37/E37,"")</f>
        <v>0.385511467054969</v>
      </c>
      <c r="H37" s="32" t="n">
        <v>59</v>
      </c>
      <c r="I37" s="32" t="n">
        <f aca="true">IF($H37="","",IFERROR(IF(ISBLANK(INDIRECT("'"&amp;$Q$2&amp;"'!H"&amp;ROW())),"",INDIRECT("'"&amp;$Q$2&amp;"'!H"&amp;ROW())),""))</f>
        <v>23</v>
      </c>
      <c r="J37" s="33" t="n">
        <f aca="false">IF(OR(H37="",I37=""),"",H37-I37)</f>
        <v>36</v>
      </c>
      <c r="K37" s="34" t="n">
        <f aca="false">IFERROR(J37/I37,"")</f>
        <v>1.56521739130435</v>
      </c>
      <c r="L37" s="32" t="n">
        <f aca="false">IFERROR(D37/C37,"")</f>
        <v>52.1369863013699</v>
      </c>
      <c r="M37" s="32" t="n">
        <f aca="false">IFERROR(H37/D37*1000,"")</f>
        <v>7.75091960063058</v>
      </c>
      <c r="N37" s="32" t="n">
        <v>3236</v>
      </c>
      <c r="O37" s="33" t="n">
        <f aca="true">IFERROR(IF(OR(N37="",ISBLANK(INDIRECT("'"&amp;$Q$2&amp;"'!N"&amp;ROW()))),"",N37-INDIRECT("'"&amp;$Q$2&amp;"'!N"&amp;ROW())),"")</f>
        <v>2</v>
      </c>
      <c r="P37" s="3"/>
      <c r="Q37" s="3"/>
      <c r="R37" s="3"/>
      <c r="S37" s="15" t="n">
        <f aca="true">IFERROR(IF(ISBLANK(INDIRECT("'"&amp;$Q$2&amp;"'!G"&amp;ROW())),"",INDIRECT("'"&amp;$Q$2&amp;"'!G"&amp;ROW())),"")</f>
        <v>-0.169965251548572</v>
      </c>
      <c r="T37" s="16" t="n">
        <f aca="false">IF(OR($G37="",$S37=""),"",$G37-$S37)</f>
        <v>0.555476718603541</v>
      </c>
      <c r="U37" s="15" t="n">
        <f aca="true">IFERROR(IF(ISBLANK(INDIRECT("'"&amp;$Q$2&amp;"'!K"&amp;ROW())),"",INDIRECT("'"&amp;$Q$2&amp;"'!K"&amp;ROW())),"")</f>
        <v>-0.258064516129032</v>
      </c>
      <c r="V37" s="16" t="n">
        <f aca="false">IF(OR($K37="",$U37=""),"",$K37-$U37)</f>
        <v>1.82328190743338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114</v>
      </c>
      <c r="D38" s="32" t="n">
        <v>8056</v>
      </c>
      <c r="E38" s="32" t="n">
        <f aca="true">IF($D38="","",IFERROR(IF(ISBLANK(INDIRECT("'"&amp;$Q$2&amp;"'!D"&amp;ROW())),"",INDIRECT("'"&amp;$Q$2&amp;"'!D"&amp;ROW())),""))</f>
        <v>7276</v>
      </c>
      <c r="F38" s="33" t="n">
        <f aca="false">IF(OR(D38="",E38=""),"",D38-E38)</f>
        <v>780</v>
      </c>
      <c r="G38" s="34" t="n">
        <f aca="false">IFERROR(F38/E38,"")</f>
        <v>0.107201759208356</v>
      </c>
      <c r="H38" s="32" t="n">
        <v>172</v>
      </c>
      <c r="I38" s="32" t="n">
        <f aca="true">IF($H38="","",IFERROR(IF(ISBLANK(INDIRECT("'"&amp;$Q$2&amp;"'!H"&amp;ROW())),"",INDIRECT("'"&amp;$Q$2&amp;"'!H"&amp;ROW())),""))</f>
        <v>85</v>
      </c>
      <c r="J38" s="33" t="n">
        <f aca="false">IF(OR(H38="",I38=""),"",H38-I38)</f>
        <v>87</v>
      </c>
      <c r="K38" s="34" t="n">
        <f aca="false">IFERROR(J38/I38,"")</f>
        <v>1.02352941176471</v>
      </c>
      <c r="L38" s="32" t="n">
        <f aca="false">IFERROR(D38/C38,"")</f>
        <v>70.6666666666667</v>
      </c>
      <c r="M38" s="32" t="n">
        <f aca="false">IFERROR(H38/D38*1000,"")</f>
        <v>21.3505461767627</v>
      </c>
      <c r="N38" s="32" t="n">
        <v>1705</v>
      </c>
      <c r="O38" s="33" t="n">
        <f aca="true">IFERROR(IF(OR(N38="",ISBLANK(INDIRECT("'"&amp;$Q$2&amp;"'!N"&amp;ROW()))),"",N38-INDIRECT("'"&amp;$Q$2&amp;"'!N"&amp;ROW())),"")</f>
        <v>10</v>
      </c>
      <c r="P38" s="3"/>
      <c r="Q38" s="3"/>
      <c r="R38" s="3"/>
      <c r="S38" s="15" t="n">
        <f aca="true">IFERROR(IF(ISBLANK(INDIRECT("'"&amp;$Q$2&amp;"'!G"&amp;ROW())),"",INDIRECT("'"&amp;$Q$2&amp;"'!G"&amp;ROW())),"")</f>
        <v>0.348406226834692</v>
      </c>
      <c r="T38" s="16" t="n">
        <f aca="false">IF(OR($G38="",$S38=""),"",$G38-$S38)</f>
        <v>-0.241204467626336</v>
      </c>
      <c r="U38" s="15" t="n">
        <f aca="true">IFERROR(IF(ISBLANK(INDIRECT("'"&amp;$Q$2&amp;"'!K"&amp;ROW())),"",INDIRECT("'"&amp;$Q$2&amp;"'!K"&amp;ROW())),"")</f>
        <v>3.72222222222222</v>
      </c>
      <c r="V38" s="16" t="n">
        <f aca="false">IF(OR($K38="",$U38=""),"",$K38-$U38)</f>
        <v>-2.69869281045752</v>
      </c>
      <c r="W38" s="17" t="n">
        <f aca="true">IFERROR(IF(ISBLANK(INDIRECT("'"&amp;$Q$2&amp;"'!O"&amp;ROW())),"",INDIRECT("'"&amp;$Q$2&amp;"'!O"&amp;ROW())),"")</f>
        <v>2</v>
      </c>
      <c r="X38" s="17" t="n">
        <f aca="false">IF(OR($O38="",$W38=""),"",$O38-$W38)</f>
        <v>8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74</v>
      </c>
      <c r="D39" s="32" t="n">
        <v>1941</v>
      </c>
      <c r="E39" s="32" t="n">
        <f aca="true">IF($D39="","",IFERROR(IF(ISBLANK(INDIRECT("'"&amp;$Q$2&amp;"'!D"&amp;ROW())),"",INDIRECT("'"&amp;$Q$2&amp;"'!D"&amp;ROW())),""))</f>
        <v>3006</v>
      </c>
      <c r="F39" s="33" t="n">
        <f aca="false">IF(OR(D39="",E39=""),"",D39-E39)</f>
        <v>-1065</v>
      </c>
      <c r="G39" s="34" t="n">
        <f aca="false">IFERROR(F39/E39,"")</f>
        <v>-0.354291417165669</v>
      </c>
      <c r="H39" s="32" t="n">
        <v>10</v>
      </c>
      <c r="I39" s="32" t="n">
        <f aca="true">IF($H39="","",IFERROR(IF(ISBLANK(INDIRECT("'"&amp;$Q$2&amp;"'!H"&amp;ROW())),"",INDIRECT("'"&amp;$Q$2&amp;"'!H"&amp;ROW())),""))</f>
        <v>46</v>
      </c>
      <c r="J39" s="33" t="n">
        <f aca="false">IF(OR(H39="",I39=""),"",H39-I39)</f>
        <v>-36</v>
      </c>
      <c r="K39" s="34" t="n">
        <f aca="false">IFERROR(J39/I39,"")</f>
        <v>-0.782608695652174</v>
      </c>
      <c r="L39" s="32" t="n">
        <f aca="false">IFERROR(D39/C39,"")</f>
        <v>26.2297297297297</v>
      </c>
      <c r="M39" s="32" t="n">
        <f aca="false">IFERROR(H39/D39*1000,"")</f>
        <v>5.15198351365276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0.0785791173304629</v>
      </c>
      <c r="T39" s="16" t="n">
        <f aca="false">IF(OR($G39="",$S39=""),"",$G39-$S39)</f>
        <v>-0.432870534496132</v>
      </c>
      <c r="U39" s="15" t="n">
        <f aca="true">IFERROR(IF(ISBLANK(INDIRECT("'"&amp;$Q$2&amp;"'!K"&amp;ROW())),"",INDIRECT("'"&amp;$Q$2&amp;"'!K"&amp;ROW())),"")</f>
        <v>14.3333333333333</v>
      </c>
      <c r="V39" s="16" t="n">
        <f aca="false">IF(OR($K39="",$U39=""),"",$K39-$U39)</f>
        <v>-15.1159420289855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50</v>
      </c>
      <c r="D40" s="32" t="n">
        <v>6191</v>
      </c>
      <c r="E40" s="32" t="n">
        <f aca="true">IF($D40="","",IFERROR(IF(ISBLANK(INDIRECT("'"&amp;$Q$2&amp;"'!D"&amp;ROW())),"",INDIRECT("'"&amp;$Q$2&amp;"'!D"&amp;ROW())),""))</f>
        <v>8243</v>
      </c>
      <c r="F40" s="33" t="n">
        <f aca="false">IF(OR(D40="",E40=""),"",D40-E40)</f>
        <v>-2052</v>
      </c>
      <c r="G40" s="34" t="n">
        <f aca="false">IFERROR(F40/E40,"")</f>
        <v>-0.248938493267014</v>
      </c>
      <c r="H40" s="32" t="n">
        <v>94</v>
      </c>
      <c r="I40" s="32" t="n">
        <f aca="true">IF($H40="","",IFERROR(IF(ISBLANK(INDIRECT("'"&amp;$Q$2&amp;"'!H"&amp;ROW())),"",INDIRECT("'"&amp;$Q$2&amp;"'!H"&amp;ROW())),""))</f>
        <v>132</v>
      </c>
      <c r="J40" s="33" t="n">
        <f aca="false">IF(OR(H40="",I40=""),"",H40-I40)</f>
        <v>-38</v>
      </c>
      <c r="K40" s="34" t="n">
        <f aca="false">IFERROR(J40/I40,"")</f>
        <v>-0.287878787878788</v>
      </c>
      <c r="L40" s="32" t="n">
        <f aca="false">IFERROR(D40/C40,"")</f>
        <v>123.82</v>
      </c>
      <c r="M40" s="32" t="n">
        <f aca="false">IFERROR(H40/D40*1000,"")</f>
        <v>15.1833306412534</v>
      </c>
      <c r="N40" s="32" t="n">
        <v>4957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n">
        <f aca="true">IFERROR(IF(ISBLANK(INDIRECT("'"&amp;$Q$2&amp;"'!G"&amp;ROW())),"",INDIRECT("'"&amp;$Q$2&amp;"'!G"&amp;ROW())),"")</f>
        <v>0.936340145642471</v>
      </c>
      <c r="T40" s="16" t="n">
        <f aca="false">IF(OR($G40="",$S40=""),"",$G40-$S40)</f>
        <v>-1.18527863890949</v>
      </c>
      <c r="U40" s="15" t="n">
        <f aca="true">IFERROR(IF(ISBLANK(INDIRECT("'"&amp;$Q$2&amp;"'!K"&amp;ROW())),"",INDIRECT("'"&amp;$Q$2&amp;"'!K"&amp;ROW())),"")</f>
        <v>7.8</v>
      </c>
      <c r="V40" s="16" t="n">
        <f aca="false">IF(OR($K40="",$U40=""),"",$K40-$U40)</f>
        <v>-8.08787878787879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0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58</v>
      </c>
      <c r="D41" s="32" t="n">
        <v>8540</v>
      </c>
      <c r="E41" s="32" t="n">
        <f aca="true">IF($D41="","",IFERROR(IF(ISBLANK(INDIRECT("'"&amp;$Q$2&amp;"'!D"&amp;ROW())),"",INDIRECT("'"&amp;$Q$2&amp;"'!D"&amp;ROW())),""))</f>
        <v>7631</v>
      </c>
      <c r="F41" s="33" t="n">
        <f aca="false">IF(OR(D41="",E41=""),"",D41-E41)</f>
        <v>909</v>
      </c>
      <c r="G41" s="34" t="n">
        <f aca="false">IFERROR(F41/E41,"")</f>
        <v>0.119119381470318</v>
      </c>
      <c r="H41" s="32" t="n">
        <v>111</v>
      </c>
      <c r="I41" s="32" t="n">
        <f aca="true">IF($H41="","",IFERROR(IF(ISBLANK(INDIRECT("'"&amp;$Q$2&amp;"'!H"&amp;ROW())),"",INDIRECT("'"&amp;$Q$2&amp;"'!H"&amp;ROW())),""))</f>
        <v>69</v>
      </c>
      <c r="J41" s="33" t="n">
        <f aca="false">IF(OR(H41="",I41=""),"",H41-I41)</f>
        <v>42</v>
      </c>
      <c r="K41" s="34" t="n">
        <f aca="false">IFERROR(J41/I41,"")</f>
        <v>0.608695652173913</v>
      </c>
      <c r="L41" s="32" t="n">
        <f aca="false">IFERROR(D41/C41,"")</f>
        <v>147.241379310345</v>
      </c>
      <c r="M41" s="32" t="n">
        <f aca="false">IFERROR(H41/D41*1000,"")</f>
        <v>12.9976580796253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n">
        <f aca="true">IFERROR(IF(ISBLANK(INDIRECT("'"&amp;$Q$2&amp;"'!G"&amp;ROW())),"",INDIRECT("'"&amp;$Q$2&amp;"'!G"&amp;ROW())),"")</f>
        <v>0.0699663488502524</v>
      </c>
      <c r="T41" s="16" t="n">
        <f aca="false">IF(OR($G41="",$S41=""),"",$G41-$S41)</f>
        <v>0.0491530326200661</v>
      </c>
      <c r="U41" s="15" t="n">
        <f aca="true">IFERROR(IF(ISBLANK(INDIRECT("'"&amp;$Q$2&amp;"'!K"&amp;ROW())),"",INDIRECT("'"&amp;$Q$2&amp;"'!K"&amp;ROW())),"")</f>
        <v>0.210526315789474</v>
      </c>
      <c r="V41" s="16" t="n">
        <f aca="false">IF(OR($K41="",$U41=""),"",$K41-$U41)</f>
        <v>0.398169336384439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0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31</v>
      </c>
      <c r="D42" s="32" t="n">
        <v>6081</v>
      </c>
      <c r="E42" s="32" t="n">
        <f aca="true">IF($D42="","",IFERROR(IF(ISBLANK(INDIRECT("'"&amp;$Q$2&amp;"'!D"&amp;ROW())),"",INDIRECT("'"&amp;$Q$2&amp;"'!D"&amp;ROW())),""))</f>
        <v>8146</v>
      </c>
      <c r="F42" s="33" t="n">
        <f aca="false">IF(OR(D42="",E42=""),"",D42-E42)</f>
        <v>-2065</v>
      </c>
      <c r="G42" s="34" t="n">
        <f aca="false">IFERROR(F42/E42,"")</f>
        <v>-0.253498649643997</v>
      </c>
      <c r="H42" s="32" t="n">
        <v>248</v>
      </c>
      <c r="I42" s="32" t="n">
        <f aca="true">IF($H42="","",IFERROR(IF(ISBLANK(INDIRECT("'"&amp;$Q$2&amp;"'!H"&amp;ROW())),"",INDIRECT("'"&amp;$Q$2&amp;"'!H"&amp;ROW())),""))</f>
        <v>293</v>
      </c>
      <c r="J42" s="33" t="n">
        <f aca="false">IF(OR(H42="",I42=""),"",H42-I42)</f>
        <v>-45</v>
      </c>
      <c r="K42" s="34" t="n">
        <f aca="false">IFERROR(J42/I42,"")</f>
        <v>-0.15358361774744</v>
      </c>
      <c r="L42" s="32" t="n">
        <f aca="false">IFERROR(D42/C42,"")</f>
        <v>196.161290322581</v>
      </c>
      <c r="M42" s="32" t="n">
        <f aca="false">IFERROR(H42/D42*1000,"")</f>
        <v>40.7827659924355</v>
      </c>
      <c r="N42" s="32" t="n">
        <v>650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-0.131371294519087</v>
      </c>
      <c r="T42" s="16" t="n">
        <f aca="false">IF(OR($G42="",$S42=""),"",$G42-$S42)</f>
        <v>-0.12212735512491</v>
      </c>
      <c r="U42" s="15" t="n">
        <f aca="true">IFERROR(IF(ISBLANK(INDIRECT("'"&amp;$Q$2&amp;"'!K"&amp;ROW())),"",INDIRECT("'"&amp;$Q$2&amp;"'!K"&amp;ROW())),"")</f>
        <v>0.575268817204301</v>
      </c>
      <c r="V42" s="16" t="n">
        <f aca="false">IF(OR($K42="",$U42=""),"",$K42-$U42)</f>
        <v>-0.728852434951741</v>
      </c>
      <c r="W42" s="17" t="n">
        <f aca="true">IFERROR(IF(ISBLANK(INDIRECT("'"&amp;$Q$2&amp;"'!O"&amp;ROW())),"",INDIRECT("'"&amp;$Q$2&amp;"'!O"&amp;ROW())),"")</f>
        <v>5</v>
      </c>
      <c r="X42" s="17" t="n">
        <f aca="false">IF(OR($O42="",$W42=""),"",$O42-$W42)</f>
        <v>-3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62</v>
      </c>
      <c r="D43" s="32" t="n">
        <v>5062</v>
      </c>
      <c r="E43" s="32" t="n">
        <f aca="true">IF($D43="","",IFERROR(IF(ISBLANK(INDIRECT("'"&amp;$Q$2&amp;"'!D"&amp;ROW())),"",INDIRECT("'"&amp;$Q$2&amp;"'!D"&amp;ROW())),""))</f>
        <v>4493</v>
      </c>
      <c r="F43" s="33" t="n">
        <f aca="false">IF(OR(D43="",E43=""),"",D43-E43)</f>
        <v>569</v>
      </c>
      <c r="G43" s="34" t="n">
        <f aca="false">IFERROR(F43/E43,"")</f>
        <v>0.12664144224349</v>
      </c>
      <c r="H43" s="32" t="n">
        <v>57</v>
      </c>
      <c r="I43" s="32" t="n">
        <f aca="true">IF($H43="","",IFERROR(IF(ISBLANK(INDIRECT("'"&amp;$Q$2&amp;"'!H"&amp;ROW())),"",INDIRECT("'"&amp;$Q$2&amp;"'!H"&amp;ROW())),""))</f>
        <v>53</v>
      </c>
      <c r="J43" s="33" t="n">
        <f aca="false">IF(OR(H43="",I43=""),"",H43-I43)</f>
        <v>4</v>
      </c>
      <c r="K43" s="34" t="n">
        <f aca="false">IFERROR(J43/I43,"")</f>
        <v>0.0754716981132075</v>
      </c>
      <c r="L43" s="32" t="n">
        <f aca="false">IFERROR(D43/C43,"")</f>
        <v>81.6451612903226</v>
      </c>
      <c r="M43" s="32" t="n">
        <f aca="false">IFERROR(H43/D43*1000,"")</f>
        <v>11.2603713947057</v>
      </c>
      <c r="N43" s="32" t="n">
        <v>1952</v>
      </c>
      <c r="O43" s="33" t="n">
        <f aca="true">IFERROR(IF(OR(N43="",ISBLANK(INDIRECT("'"&amp;$Q$2&amp;"'!N"&amp;ROW()))),"",N43-INDIRECT("'"&amp;$Q$2&amp;"'!N"&amp;ROW())),"")</f>
        <v>1</v>
      </c>
      <c r="P43" s="3"/>
      <c r="Q43" s="3"/>
      <c r="R43" s="3"/>
      <c r="S43" s="15" t="n">
        <f aca="true">IFERROR(IF(ISBLANK(INDIRECT("'"&amp;$Q$2&amp;"'!G"&amp;ROW())),"",INDIRECT("'"&amp;$Q$2&amp;"'!G"&amp;ROW())),"")</f>
        <v>0.216955579631636</v>
      </c>
      <c r="T43" s="16" t="n">
        <f aca="false">IF(OR($G43="",$S43=""),"",$G43-$S43)</f>
        <v>-0.0903141373881461</v>
      </c>
      <c r="U43" s="15" t="n">
        <f aca="true">IFERROR(IF(ISBLANK(INDIRECT("'"&amp;$Q$2&amp;"'!K"&amp;ROW())),"",INDIRECT("'"&amp;$Q$2&amp;"'!K"&amp;ROW())),"")</f>
        <v>1.12</v>
      </c>
      <c r="V43" s="16" t="n">
        <f aca="false">IF(OR($K43="",$U43=""),"",$K43-$U43)</f>
        <v>-1.04452830188679</v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-2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63</v>
      </c>
      <c r="D44" s="32" t="n">
        <v>22611</v>
      </c>
      <c r="E44" s="32" t="n">
        <f aca="true">IF($D44="","",IFERROR(IF(ISBLANK(INDIRECT("'"&amp;$Q$2&amp;"'!D"&amp;ROW())),"",INDIRECT("'"&amp;$Q$2&amp;"'!D"&amp;ROW())),""))</f>
        <v>13849</v>
      </c>
      <c r="F44" s="33" t="n">
        <f aca="false">IF(OR(D44="",E44=""),"",D44-E44)</f>
        <v>8762</v>
      </c>
      <c r="G44" s="34" t="n">
        <f aca="false">IFERROR(F44/E44,"")</f>
        <v>0.632681060004332</v>
      </c>
      <c r="H44" s="32" t="n">
        <v>568</v>
      </c>
      <c r="I44" s="32" t="n">
        <f aca="true">IF($H44="","",IFERROR(IF(ISBLANK(INDIRECT("'"&amp;$Q$2&amp;"'!H"&amp;ROW())),"",INDIRECT("'"&amp;$Q$2&amp;"'!H"&amp;ROW())),""))</f>
        <v>374</v>
      </c>
      <c r="J44" s="33" t="n">
        <f aca="false">IF(OR(H44="",I44=""),"",H44-I44)</f>
        <v>194</v>
      </c>
      <c r="K44" s="34" t="n">
        <f aca="false">IFERROR(J44/I44,"")</f>
        <v>0.518716577540107</v>
      </c>
      <c r="L44" s="32" t="n">
        <f aca="false">IFERROR(D44/C44,"")</f>
        <v>358.904761904762</v>
      </c>
      <c r="M44" s="32" t="n">
        <f aca="false">IFERROR(H44/D44*1000,"")</f>
        <v>25.120516562735</v>
      </c>
      <c r="N44" s="32" t="n">
        <v>4890</v>
      </c>
      <c r="O44" s="33" t="n">
        <f aca="true">IFERROR(IF(OR(N44="",ISBLANK(INDIRECT("'"&amp;$Q$2&amp;"'!N"&amp;ROW()))),"",N44-INDIRECT("'"&amp;$Q$2&amp;"'!N"&amp;ROW())),"")</f>
        <v>4</v>
      </c>
      <c r="P44" s="3"/>
      <c r="Q44" s="3"/>
      <c r="R44" s="3"/>
      <c r="S44" s="15" t="n">
        <f aca="true">IFERROR(IF(ISBLANK(INDIRECT("'"&amp;$Q$2&amp;"'!G"&amp;ROW())),"",INDIRECT("'"&amp;$Q$2&amp;"'!G"&amp;ROW())),"")</f>
        <v>0.430681818181818</v>
      </c>
      <c r="T44" s="16" t="n">
        <f aca="false">IF(OR($G44="",$S44=""),"",$G44-$S44)</f>
        <v>0.201999241822514</v>
      </c>
      <c r="U44" s="15" t="n">
        <f aca="true">IFERROR(IF(ISBLANK(INDIRECT("'"&amp;$Q$2&amp;"'!K"&amp;ROW())),"",INDIRECT("'"&amp;$Q$2&amp;"'!K"&amp;ROW())),"")</f>
        <v>4.66666666666667</v>
      </c>
      <c r="V44" s="16" t="n">
        <f aca="false">IF(OR($K44="",$U44=""),"",$K44-$U44)</f>
        <v>-4.14795008912656</v>
      </c>
      <c r="W44" s="17" t="n">
        <f aca="true">IFERROR(IF(ISBLANK(INDIRECT("'"&amp;$Q$2&amp;"'!O"&amp;ROW())),"",INDIRECT("'"&amp;$Q$2&amp;"'!O"&amp;ROW())),"")</f>
        <v>2</v>
      </c>
      <c r="X44" s="17" t="n">
        <f aca="false">IF(OR($O44="",$W44=""),"",$O44-$W44)</f>
        <v>2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62</v>
      </c>
      <c r="D45" s="32" t="n">
        <v>20281</v>
      </c>
      <c r="E45" s="32" t="n">
        <f aca="true">IF($D45="","",IFERROR(IF(ISBLANK(INDIRECT("'"&amp;$Q$2&amp;"'!D"&amp;ROW())),"",INDIRECT("'"&amp;$Q$2&amp;"'!D"&amp;ROW())),""))</f>
        <v>33212</v>
      </c>
      <c r="F45" s="33" t="n">
        <f aca="false">IF(OR(D45="",E45=""),"",D45-E45)</f>
        <v>-12931</v>
      </c>
      <c r="G45" s="34" t="n">
        <f aca="false">IFERROR(F45/E45,"")</f>
        <v>-0.389347223894978</v>
      </c>
      <c r="H45" s="32" t="n">
        <v>369</v>
      </c>
      <c r="I45" s="32" t="n">
        <f aca="true">IF($H45="","",IFERROR(IF(ISBLANK(INDIRECT("'"&amp;$Q$2&amp;"'!H"&amp;ROW())),"",INDIRECT("'"&amp;$Q$2&amp;"'!H"&amp;ROW())),""))</f>
        <v>566</v>
      </c>
      <c r="J45" s="33" t="n">
        <f aca="false">IF(OR(H45="",I45=""),"",H45-I45)</f>
        <v>-197</v>
      </c>
      <c r="K45" s="34" t="n">
        <f aca="false">IFERROR(J45/I45,"")</f>
        <v>-0.348056537102474</v>
      </c>
      <c r="L45" s="32" t="n">
        <f aca="false">IFERROR(D45/C45,"")</f>
        <v>327.112903225806</v>
      </c>
      <c r="M45" s="32" t="n">
        <f aca="false">IFERROR(H45/D45*1000,"")</f>
        <v>18.194369113949</v>
      </c>
      <c r="N45" s="32" t="n">
        <v>3743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n">
        <f aca="true">IFERROR(IF(ISBLANK(INDIRECT("'"&amp;$Q$2&amp;"'!G"&amp;ROW())),"",INDIRECT("'"&amp;$Q$2&amp;"'!G"&amp;ROW())),"")</f>
        <v>0.666599759132878</v>
      </c>
      <c r="T45" s="16" t="n">
        <f aca="false">IF(OR($G45="",$S45=""),"",$G45-$S45)</f>
        <v>-1.05594698302786</v>
      </c>
      <c r="U45" s="15" t="n">
        <f aca="true">IFERROR(IF(ISBLANK(INDIRECT("'"&amp;$Q$2&amp;"'!K"&amp;ROW())),"",INDIRECT("'"&amp;$Q$2&amp;"'!K"&amp;ROW())),"")</f>
        <v>1.57272727272727</v>
      </c>
      <c r="V45" s="16" t="n">
        <f aca="false">IF(OR($K45="",$U45=""),"",$K45-$U45)</f>
        <v>-1.92078380982975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0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19516</v>
      </c>
      <c r="E46" s="32" t="n">
        <f aca="true">IF($D46="","",IFERROR(IF(ISBLANK(INDIRECT("'"&amp;$Q$2&amp;"'!D"&amp;ROW())),"",INDIRECT("'"&amp;$Q$2&amp;"'!D"&amp;ROW())),""))</f>
        <v>27413</v>
      </c>
      <c r="F46" s="33" t="n">
        <f aca="false">IF(OR(D46="",E46=""),"",D46-E46)</f>
        <v>-7897</v>
      </c>
      <c r="G46" s="34" t="n">
        <f aca="false">IFERROR(F46/E46,"")</f>
        <v>-0.288075000911976</v>
      </c>
      <c r="H46" s="32" t="n">
        <v>345</v>
      </c>
      <c r="I46" s="32" t="n">
        <f aca="true">IF($H46="","",IFERROR(IF(ISBLANK(INDIRECT("'"&amp;$Q$2&amp;"'!H"&amp;ROW())),"",INDIRECT("'"&amp;$Q$2&amp;"'!H"&amp;ROW())),""))</f>
        <v>660</v>
      </c>
      <c r="J46" s="33" t="n">
        <f aca="false">IF(OR(H46="",I46=""),"",H46-I46)</f>
        <v>-315</v>
      </c>
      <c r="K46" s="34" t="n">
        <f aca="false">IFERROR(J46/I46,"")</f>
        <v>-0.477272727272727</v>
      </c>
      <c r="L46" s="32" t="n">
        <f aca="false">IFERROR(D46/C46,"")</f>
        <v>314.774193548387</v>
      </c>
      <c r="M46" s="32" t="n">
        <f aca="false">IFERROR(H46/D46*1000,"")</f>
        <v>17.6778028284485</v>
      </c>
      <c r="N46" s="32" t="n">
        <v>4504</v>
      </c>
      <c r="O46" s="33" t="n">
        <f aca="true">IFERROR(IF(OR(N46="",ISBLANK(INDIRECT("'"&amp;$Q$2&amp;"'!N"&amp;ROW()))),"",N46-INDIRECT("'"&amp;$Q$2&amp;"'!N"&amp;ROW())),"")</f>
        <v>2</v>
      </c>
      <c r="P46" s="3"/>
      <c r="Q46" s="3"/>
      <c r="R46" s="3"/>
      <c r="S46" s="15" t="n">
        <f aca="true">IFERROR(IF(ISBLANK(INDIRECT("'"&amp;$Q$2&amp;"'!G"&amp;ROW())),"",INDIRECT("'"&amp;$Q$2&amp;"'!G"&amp;ROW())),"")</f>
        <v>-0.35607911303204</v>
      </c>
      <c r="T46" s="16" t="n">
        <f aca="false">IF(OR($G46="",$S46=""),"",$G46-$S46)</f>
        <v>0.0680041121200637</v>
      </c>
      <c r="U46" s="15" t="n">
        <f aca="true">IFERROR(IF(ISBLANK(INDIRECT("'"&amp;$Q$2&amp;"'!K"&amp;ROW())),"",INDIRECT("'"&amp;$Q$2&amp;"'!K"&amp;ROW())),"")</f>
        <v>-0.0489913544668588</v>
      </c>
      <c r="V46" s="16" t="n">
        <f aca="false">IF(OR($K46="",$U46=""),"",$K46-$U46)</f>
        <v>-0.428281372805869</v>
      </c>
      <c r="W46" s="17" t="n">
        <f aca="true">IFERROR(IF(ISBLANK(INDIRECT("'"&amp;$Q$2&amp;"'!O"&amp;ROW())),"",INDIRECT("'"&amp;$Q$2&amp;"'!O"&amp;ROW())),"")</f>
        <v>6</v>
      </c>
      <c r="X46" s="17" t="n">
        <f aca="false">IF(OR($O46="",$W46=""),"",$O46-$W46)</f>
        <v>-4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666</v>
      </c>
      <c r="E47" s="32" t="n">
        <f aca="true">IF($D47="","",IFERROR(IF(ISBLANK(INDIRECT("'"&amp;$Q$2&amp;"'!D"&amp;ROW())),"",INDIRECT("'"&amp;$Q$2&amp;"'!D"&amp;ROW())),""))</f>
        <v>569</v>
      </c>
      <c r="F47" s="33" t="n">
        <f aca="false">IF(OR(D47="",E47=""),"",D47-E47)</f>
        <v>97</v>
      </c>
      <c r="G47" s="34" t="n">
        <f aca="false">IFERROR(F47/E47,"")</f>
        <v>0.170474516695958</v>
      </c>
      <c r="H47" s="32" t="n">
        <v>28</v>
      </c>
      <c r="I47" s="32" t="n">
        <f aca="true">IF($H47="","",IFERROR(IF(ISBLANK(INDIRECT("'"&amp;$Q$2&amp;"'!H"&amp;ROW())),"",INDIRECT("'"&amp;$Q$2&amp;"'!H"&amp;ROW())),""))</f>
        <v>99</v>
      </c>
      <c r="J47" s="33" t="n">
        <f aca="false">IF(OR(H47="",I47=""),"",H47-I47)</f>
        <v>-71</v>
      </c>
      <c r="K47" s="34" t="n">
        <f aca="false">IFERROR(J47/I47,"")</f>
        <v>-0.717171717171717</v>
      </c>
      <c r="L47" s="32" t="n">
        <f aca="false">IFERROR(D47/C47,"")</f>
        <v>111</v>
      </c>
      <c r="M47" s="32" t="n">
        <f aca="false">IFERROR(H47/D47*1000,"")</f>
        <v>42.0420420420421</v>
      </c>
      <c r="N47" s="32" t="n">
        <v>854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-0.260078023407022</v>
      </c>
      <c r="T47" s="16" t="n">
        <f aca="false">IF(OR($G47="",$S47=""),"",$G47-$S47)</f>
        <v>0.43055254010298</v>
      </c>
      <c r="U47" s="15" t="n">
        <f aca="true">IFERROR(IF(ISBLANK(INDIRECT("'"&amp;$Q$2&amp;"'!K"&amp;ROW())),"",INDIRECT("'"&amp;$Q$2&amp;"'!K"&amp;ROW())),"")</f>
        <v>5.1875</v>
      </c>
      <c r="V47" s="16" t="n">
        <f aca="false">IF(OR($K47="",$U47=""),"",$K47-$U47)</f>
        <v>-5.90467171717172</v>
      </c>
      <c r="W47" s="17" t="n">
        <f aca="true">IFERROR(IF(ISBLANK(INDIRECT("'"&amp;$Q$2&amp;"'!O"&amp;ROW())),"",INDIRECT("'"&amp;$Q$2&amp;"'!O"&amp;ROW())),"")</f>
        <v>-1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2932</v>
      </c>
      <c r="E48" s="32" t="n">
        <f aca="true">IF($D48="","",IFERROR(IF(ISBLANK(INDIRECT("'"&amp;$Q$2&amp;"'!D"&amp;ROW())),"",INDIRECT("'"&amp;$Q$2&amp;"'!D"&amp;ROW())),""))</f>
        <v>998</v>
      </c>
      <c r="F48" s="33" t="n">
        <f aca="false">IF(OR(D48="",E48=""),"",D48-E48)</f>
        <v>1934</v>
      </c>
      <c r="G48" s="34" t="n">
        <f aca="false">IFERROR(F48/E48,"")</f>
        <v>1.93787575150301</v>
      </c>
      <c r="H48" s="32" t="n">
        <v>206</v>
      </c>
      <c r="I48" s="32" t="n">
        <f aca="true">IF($H48="","",IFERROR(IF(ISBLANK(INDIRECT("'"&amp;$Q$2&amp;"'!H"&amp;ROW())),"",INDIRECT("'"&amp;$Q$2&amp;"'!H"&amp;ROW())),""))</f>
        <v>138</v>
      </c>
      <c r="J48" s="33" t="n">
        <f aca="false">IF(OR(H48="",I48=""),"",H48-I48)</f>
        <v>68</v>
      </c>
      <c r="K48" s="34" t="n">
        <f aca="false">IFERROR(J48/I48,"")</f>
        <v>0.492753623188406</v>
      </c>
      <c r="L48" s="32" t="n">
        <f aca="false">IFERROR(D48/C48,"")</f>
        <v>418.857142857143</v>
      </c>
      <c r="M48" s="32" t="n">
        <f aca="false">IFERROR(H48/D48*1000,"")</f>
        <v>70.2592087312415</v>
      </c>
      <c r="N48" s="32" t="n">
        <v>859</v>
      </c>
      <c r="O48" s="33" t="n">
        <f aca="true">IFERROR(IF(OR(N48="",ISBLANK(INDIRECT("'"&amp;$Q$2&amp;"'!N"&amp;ROW()))),"",N48-INDIRECT("'"&amp;$Q$2&amp;"'!N"&amp;ROW())),"")</f>
        <v>1</v>
      </c>
      <c r="P48" s="3"/>
      <c r="Q48" s="3"/>
      <c r="R48" s="3"/>
      <c r="S48" s="15" t="n">
        <f aca="true">IFERROR(IF(ISBLANK(INDIRECT("'"&amp;$Q$2&amp;"'!G"&amp;ROW())),"",INDIRECT("'"&amp;$Q$2&amp;"'!G"&amp;ROW())),"")</f>
        <v>1.9702380952381</v>
      </c>
      <c r="T48" s="16" t="n">
        <f aca="false">IF(OR($G48="",$S48=""),"",$G48-$S48)</f>
        <v>-0.0323623437350893</v>
      </c>
      <c r="U48" s="15" t="n">
        <f aca="true">IFERROR(IF(ISBLANK(INDIRECT("'"&amp;$Q$2&amp;"'!K"&amp;ROW())),"",INDIRECT("'"&amp;$Q$2&amp;"'!K"&amp;ROW())),"")</f>
        <v>9.61538461538462</v>
      </c>
      <c r="V48" s="16" t="n">
        <f aca="false">IF(OR($K48="",$U48=""),"",$K48-$U48)</f>
        <v>-9.12263099219621</v>
      </c>
      <c r="W48" s="17" t="n">
        <f aca="true">IFERROR(IF(ISBLANK(INDIRECT("'"&amp;$Q$2&amp;"'!O"&amp;ROW())),"",INDIRECT("'"&amp;$Q$2&amp;"'!O"&amp;ROW())),"")</f>
        <v>5</v>
      </c>
      <c r="X48" s="17" t="n">
        <f aca="false">IF(OR($O48="",$W48=""),"",$O48-$W48)</f>
        <v>-4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230</v>
      </c>
      <c r="D49" s="32" t="n">
        <v>6330</v>
      </c>
      <c r="E49" s="32" t="n">
        <f aca="true">IF($D49="","",IFERROR(IF(ISBLANK(INDIRECT("'"&amp;$Q$2&amp;"'!D"&amp;ROW())),"",INDIRECT("'"&amp;$Q$2&amp;"'!D"&amp;ROW())),""))</f>
        <v>6982</v>
      </c>
      <c r="F49" s="33" t="n">
        <f aca="false">IF(OR(D49="",E49=""),"",D49-E49)</f>
        <v>-652</v>
      </c>
      <c r="G49" s="34" t="n">
        <f aca="false">IFERROR(F49/E49,"")</f>
        <v>-0.0933829848181037</v>
      </c>
      <c r="H49" s="32" t="n">
        <v>2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1</v>
      </c>
      <c r="K49" s="34" t="n">
        <f aca="false">IFERROR(J49/I49,"")</f>
        <v>1</v>
      </c>
      <c r="L49" s="32" t="n">
        <f aca="false">IFERROR(D49/C49,"")</f>
        <v>27.5217391304348</v>
      </c>
      <c r="M49" s="32" t="n">
        <f aca="false">IFERROR(H49/D49*1000,"")</f>
        <v>0.315955766192733</v>
      </c>
      <c r="N49" s="32" t="n">
        <v>4817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81</v>
      </c>
      <c r="E50" s="32" t="n">
        <f aca="true">IF($D50="","",IFERROR(IF(ISBLANK(INDIRECT("'"&amp;$Q$2&amp;"'!D"&amp;ROW())),"",INDIRECT("'"&amp;$Q$2&amp;"'!D"&amp;ROW())),""))</f>
        <v>269</v>
      </c>
      <c r="F50" s="33" t="n">
        <f aca="false">IF(OR(D50="",E50=""),"",D50-E50)</f>
        <v>-188</v>
      </c>
      <c r="G50" s="34" t="n">
        <f aca="false">IFERROR(F50/E50,"")</f>
        <v>-0.698884758364312</v>
      </c>
      <c r="H50" s="32" t="n">
        <v>4</v>
      </c>
      <c r="I50" s="32" t="n">
        <f aca="true">IF($H50="","",IFERROR(IF(ISBLANK(INDIRECT("'"&amp;$Q$2&amp;"'!H"&amp;ROW())),"",INDIRECT("'"&amp;$Q$2&amp;"'!H"&amp;ROW())),""))</f>
        <v>9</v>
      </c>
      <c r="J50" s="33" t="n">
        <f aca="false">IF(OR(H50="",I50=""),"",H50-I50)</f>
        <v>-5</v>
      </c>
      <c r="K50" s="34" t="n">
        <f aca="false">IFERROR(J50/I50,"")</f>
        <v>-0.555555555555556</v>
      </c>
      <c r="L50" s="32" t="n">
        <f aca="false">IFERROR(D50/C50,"")</f>
        <v>16.2</v>
      </c>
      <c r="M50" s="32" t="n">
        <f aca="false">IFERROR(H50/D50*1000,"")</f>
        <v>49.3827160493827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1597</v>
      </c>
      <c r="D51" s="36" t="n">
        <f aca="false">SUM(D31:D50)</f>
        <v>518367</v>
      </c>
      <c r="E51" s="36" t="n">
        <f aca="false">SUM(E31:E50)</f>
        <v>268649</v>
      </c>
      <c r="F51" s="37" t="n">
        <f aca="false">SUM(F31:F50)</f>
        <v>249718</v>
      </c>
      <c r="G51" s="38" t="n">
        <f aca="false">IF(C51=0,"",IFERROR(F51/E51,""))</f>
        <v>0.929532587130419</v>
      </c>
      <c r="H51" s="36" t="n">
        <f aca="false">SUM(H31:H50)</f>
        <v>3542</v>
      </c>
      <c r="I51" s="36" t="n">
        <f aca="false">SUM(I31:I50)</f>
        <v>3754</v>
      </c>
      <c r="J51" s="37" t="n">
        <f aca="false">SUM(J31:J50)</f>
        <v>-212</v>
      </c>
      <c r="K51" s="38" t="n">
        <f aca="false">IF(C51=0,"",IFERROR(J51/I51,""))</f>
        <v>-0.0564730953649441</v>
      </c>
      <c r="L51" s="36" t="n">
        <f aca="false">IFERROR(D51/C51,"")</f>
        <v>324.587977457733</v>
      </c>
      <c r="M51" s="36" t="n">
        <f aca="false">IFERROR(H51/D51*1000,"")</f>
        <v>6.83299669924976</v>
      </c>
      <c r="N51" s="36" t="n">
        <f aca="false">SUM(N31:N50)</f>
        <v>106956</v>
      </c>
      <c r="O51" s="37" t="n">
        <f aca="false">SUM(O31:O50)</f>
        <v>49</v>
      </c>
      <c r="P51" s="3"/>
      <c r="Q51" s="3"/>
      <c r="R51" s="3"/>
      <c r="S51" s="23" t="n">
        <f aca="true">IFERROR(IF(ISBLANK(INDIRECT("'"&amp;$Q$2&amp;"'!G"&amp;ROW())),"",INDIRECT("'"&amp;$Q$2&amp;"'!G"&amp;ROW())),"")</f>
        <v>0.0525006140304962</v>
      </c>
      <c r="T51" s="24" t="n">
        <f aca="false">IF(OR($G51="",$S51=""),"",$G51-$S51)</f>
        <v>0.877031973099923</v>
      </c>
      <c r="U51" s="23" t="n">
        <f aca="true">IFERROR(IF(ISBLANK(INDIRECT("'"&amp;$Q$2&amp;"'!K"&amp;ROW())),"",INDIRECT("'"&amp;$Q$2&amp;"'!K"&amp;ROW())),"")</f>
        <v>0.694884563150747</v>
      </c>
      <c r="V51" s="24" t="n">
        <f aca="false">IF(OR($K51="",$U51=""),"",$K51-$U51)</f>
        <v>-0.751357658515691</v>
      </c>
      <c r="W51" s="25" t="n">
        <f aca="true">IFERROR(IF(ISBLANK(INDIRECT("'"&amp;$Q$2&amp;"'!O"&amp;ROW())),"",INDIRECT("'"&amp;$Q$2&amp;"'!O"&amp;ROW())),"")</f>
        <v>42</v>
      </c>
      <c r="X51" s="25" t="n">
        <f aca="false">IF(OR(C51=0,$O51="",$W51=""),"",$O51-$W51)</f>
        <v>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78442</v>
      </c>
      <c r="E52" s="32" t="n">
        <f aca="true">IF($D52="","",IFERROR(IF(ISBLANK(INDIRECT("'"&amp;$Q$2&amp;"'!D"&amp;ROW())),"",INDIRECT("'"&amp;$Q$2&amp;"'!D"&amp;ROW())),""))</f>
        <v>34890</v>
      </c>
      <c r="F52" s="33" t="n">
        <f aca="false">IF(OR(D52="",E52=""),"",D52-E52)</f>
        <v>43552</v>
      </c>
      <c r="G52" s="34" t="n">
        <f aca="false">IFERROR(F52/E52,"")</f>
        <v>1.24826597879048</v>
      </c>
      <c r="H52" s="32" t="n">
        <v>366</v>
      </c>
      <c r="I52" s="32" t="n">
        <f aca="true">IF($H52="","",IFERROR(IF(ISBLANK(INDIRECT("'"&amp;$Q$2&amp;"'!H"&amp;ROW())),"",INDIRECT("'"&amp;$Q$2&amp;"'!H"&amp;ROW())),""))</f>
        <v>229</v>
      </c>
      <c r="J52" s="33" t="n">
        <f aca="false">IF(OR(H52="",I52=""),"",H52-I52)</f>
        <v>137</v>
      </c>
      <c r="K52" s="34" t="n">
        <f aca="false">IFERROR(J52/I52,"")</f>
        <v>0.59825327510917</v>
      </c>
      <c r="L52" s="32" t="n">
        <f aca="false">IFERROR(D52/C52,"")</f>
        <v>544.736111111111</v>
      </c>
      <c r="M52" s="32" t="n">
        <f aca="false">IFERROR(H52/D52*1000,"")</f>
        <v>4.6658677749165</v>
      </c>
      <c r="N52" s="32" t="n">
        <v>11811</v>
      </c>
      <c r="O52" s="33" t="n">
        <f aca="true">IFERROR(IF(OR(N52="",ISBLANK(INDIRECT("'"&amp;$Q$2&amp;"'!N"&amp;ROW()))),"",N52-INDIRECT("'"&amp;$Q$2&amp;"'!N"&amp;ROW())),"")</f>
        <v>-10</v>
      </c>
      <c r="P52" s="3"/>
      <c r="Q52" s="3"/>
      <c r="R52" s="3"/>
      <c r="S52" s="15" t="n">
        <f aca="true">IFERROR(IF(ISBLANK(INDIRECT("'"&amp;$Q$2&amp;"'!G"&amp;ROW())),"",INDIRECT("'"&amp;$Q$2&amp;"'!G"&amp;ROW())),"")</f>
        <v>-0.105224014566717</v>
      </c>
      <c r="T52" s="16" t="n">
        <f aca="false">IF(OR($G52="",$S52=""),"",$G52-$S52)</f>
        <v>1.3534899933572</v>
      </c>
      <c r="U52" s="15" t="n">
        <f aca="true">IFERROR(IF(ISBLANK(INDIRECT("'"&amp;$Q$2&amp;"'!K"&amp;ROW())),"",INDIRECT("'"&amp;$Q$2&amp;"'!K"&amp;ROW())),"")</f>
        <v>0.301136363636364</v>
      </c>
      <c r="V52" s="16" t="n">
        <f aca="false">IF(OR($K52="",$U52=""),"",$K52-$U52)</f>
        <v>0.297116911472807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139</v>
      </c>
      <c r="D53" s="32" t="n">
        <v>17966</v>
      </c>
      <c r="E53" s="32" t="n">
        <f aca="true">IF($D53="","",IFERROR(IF(ISBLANK(INDIRECT("'"&amp;$Q$2&amp;"'!D"&amp;ROW())),"",INDIRECT("'"&amp;$Q$2&amp;"'!D"&amp;ROW())),""))</f>
        <v>32854</v>
      </c>
      <c r="F53" s="33" t="n">
        <f aca="false">IF(OR(D53="",E53=""),"",D53-E53)</f>
        <v>-14888</v>
      </c>
      <c r="G53" s="34" t="n">
        <f aca="false">IFERROR(F53/E53,"")</f>
        <v>-0.453156388871979</v>
      </c>
      <c r="H53" s="32" t="n">
        <v>50</v>
      </c>
      <c r="I53" s="32" t="n">
        <f aca="true">IF($H53="","",IFERROR(IF(ISBLANK(INDIRECT("'"&amp;$Q$2&amp;"'!H"&amp;ROW())),"",INDIRECT("'"&amp;$Q$2&amp;"'!H"&amp;ROW())),""))</f>
        <v>36</v>
      </c>
      <c r="J53" s="33" t="n">
        <f aca="false">IF(OR(H53="",I53=""),"",H53-I53)</f>
        <v>14</v>
      </c>
      <c r="K53" s="34" t="n">
        <f aca="false">IFERROR(J53/I53,"")</f>
        <v>0.388888888888889</v>
      </c>
      <c r="L53" s="32" t="n">
        <f aca="false">IFERROR(D53/C53,"")</f>
        <v>129.251798561151</v>
      </c>
      <c r="M53" s="32" t="n">
        <f aca="false">IFERROR(H53/D53*1000,"")</f>
        <v>2.78303462095069</v>
      </c>
      <c r="N53" s="32" t="n">
        <v>4815</v>
      </c>
      <c r="O53" s="33" t="n">
        <f aca="true">IFERROR(IF(OR(N53="",ISBLANK(INDIRECT("'"&amp;$Q$2&amp;"'!N"&amp;ROW()))),"",N53-INDIRECT("'"&amp;$Q$2&amp;"'!N"&amp;ROW())),"")</f>
        <v>-10</v>
      </c>
      <c r="P53" s="3"/>
      <c r="Q53" s="3"/>
      <c r="R53" s="3"/>
      <c r="S53" s="15" t="n">
        <f aca="true">IFERROR(IF(ISBLANK(INDIRECT("'"&amp;$Q$2&amp;"'!G"&amp;ROW())),"",INDIRECT("'"&amp;$Q$2&amp;"'!G"&amp;ROW())),"")</f>
        <v>-0.332927250208118</v>
      </c>
      <c r="T53" s="16" t="n">
        <f aca="false">IF(OR($G53="",$S53=""),"",$G53-$S53)</f>
        <v>-0.120229138663861</v>
      </c>
      <c r="U53" s="15" t="n">
        <f aca="true">IFERROR(IF(ISBLANK(INDIRECT("'"&amp;$Q$2&amp;"'!K"&amp;ROW())),"",INDIRECT("'"&amp;$Q$2&amp;"'!K"&amp;ROW())),"")</f>
        <v>0.2</v>
      </c>
      <c r="V53" s="16" t="n">
        <f aca="false">IF(OR($K53="",$U53=""),"",$K53-$U53)</f>
        <v>0.188888888888889</v>
      </c>
      <c r="W53" s="17" t="n">
        <f aca="true">IFERROR(IF(ISBLANK(INDIRECT("'"&amp;$Q$2&amp;"'!O"&amp;ROW())),"",INDIRECT("'"&amp;$Q$2&amp;"'!O"&amp;ROW())),"")</f>
        <v>-1</v>
      </c>
      <c r="X53" s="17" t="n">
        <f aca="false">IF(OR($O53="",$W53=""),"",$O53-$W53)</f>
        <v>-9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88</v>
      </c>
      <c r="D54" s="32" t="n">
        <v>2324</v>
      </c>
      <c r="E54" s="32" t="n">
        <f aca="true">IF($D54="","",IFERROR(IF(ISBLANK(INDIRECT("'"&amp;$Q$2&amp;"'!D"&amp;ROW())),"",INDIRECT("'"&amp;$Q$2&amp;"'!D"&amp;ROW())),""))</f>
        <v>1527</v>
      </c>
      <c r="F54" s="33" t="n">
        <f aca="false">IF(OR(D54="",E54=""),"",D54-E54)</f>
        <v>797</v>
      </c>
      <c r="G54" s="34" t="n">
        <f aca="false">IFERROR(F54/E54,"")</f>
        <v>0.521938441388343</v>
      </c>
      <c r="H54" s="32" t="n">
        <v>2</v>
      </c>
      <c r="I54" s="32" t="n">
        <f aca="true">IF($H54="","",IFERROR(IF(ISBLANK(INDIRECT("'"&amp;$Q$2&amp;"'!H"&amp;ROW())),"",INDIRECT("'"&amp;$Q$2&amp;"'!H"&amp;ROW())),""))</f>
        <v>4</v>
      </c>
      <c r="J54" s="33" t="n">
        <f aca="false">IF(OR(H54="",I54=""),"",H54-I54)</f>
        <v>-2</v>
      </c>
      <c r="K54" s="34" t="n">
        <f aca="false">IFERROR(J54/I54,"")</f>
        <v>-0.5</v>
      </c>
      <c r="L54" s="32" t="n">
        <f aca="false">IFERROR(D54/C54,"")</f>
        <v>26.4090909090909</v>
      </c>
      <c r="M54" s="32" t="n">
        <f aca="false">IFERROR(H54/D54*1000,"")</f>
        <v>0.860585197934596</v>
      </c>
      <c r="N54" s="32" t="n">
        <v>876</v>
      </c>
      <c r="O54" s="33" t="n">
        <f aca="true">IFERROR(IF(OR(N54="",ISBLANK(INDIRECT("'"&amp;$Q$2&amp;"'!N"&amp;ROW()))),"",N54-INDIRECT("'"&amp;$Q$2&amp;"'!N"&amp;ROW())),"")</f>
        <v>3</v>
      </c>
      <c r="P54" s="3"/>
      <c r="Q54" s="3"/>
      <c r="R54" s="3"/>
      <c r="S54" s="15" t="n">
        <f aca="true">IFERROR(IF(ISBLANK(INDIRECT("'"&amp;$Q$2&amp;"'!G"&amp;ROW())),"",INDIRECT("'"&amp;$Q$2&amp;"'!G"&amp;ROW())),"")</f>
        <v>-0.238783649052841</v>
      </c>
      <c r="T54" s="16" t="n">
        <f aca="false">IF(OR($G54="",$S54=""),"",$G54-$S54)</f>
        <v>0.760722090441185</v>
      </c>
      <c r="U54" s="15" t="n">
        <f aca="true">IFERROR(IF(ISBLANK(INDIRECT("'"&amp;$Q$2&amp;"'!K"&amp;ROW())),"",INDIRECT("'"&amp;$Q$2&amp;"'!K"&amp;ROW())),"")</f>
        <v>-0.333333333333333</v>
      </c>
      <c r="V54" s="16" t="n">
        <f aca="false">IF(OR($K54="",$U54=""),"",$K54-$U54)</f>
        <v>-0.166666666666667</v>
      </c>
      <c r="W54" s="17" t="n">
        <f aca="true">IFERROR(IF(ISBLANK(INDIRECT("'"&amp;$Q$2&amp;"'!O"&amp;ROW())),"",INDIRECT("'"&amp;$Q$2&amp;"'!O"&amp;ROW())),"")</f>
        <v>1</v>
      </c>
      <c r="X54" s="17" t="n">
        <f aca="false">IF(OR($O54="",$W54=""),"",$O54-$W54)</f>
        <v>2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25402</v>
      </c>
      <c r="E55" s="32" t="n">
        <f aca="true">IF($D55="","",IFERROR(IF(ISBLANK(INDIRECT("'"&amp;$Q$2&amp;"'!D"&amp;ROW())),"",INDIRECT("'"&amp;$Q$2&amp;"'!D"&amp;ROW())),""))</f>
        <v>3759</v>
      </c>
      <c r="F55" s="33" t="n">
        <f aca="false">IF(OR(D55="",E55=""),"",D55-E55)</f>
        <v>21643</v>
      </c>
      <c r="G55" s="34" t="n">
        <f aca="false">IFERROR(F55/E55,"")</f>
        <v>5.75764831072094</v>
      </c>
      <c r="H55" s="32" t="n">
        <v>31</v>
      </c>
      <c r="I55" s="32" t="n">
        <f aca="true">IF($H55="","",IFERROR(IF(ISBLANK(INDIRECT("'"&amp;$Q$2&amp;"'!H"&amp;ROW())),"",INDIRECT("'"&amp;$Q$2&amp;"'!H"&amp;ROW())),""))</f>
        <v>18</v>
      </c>
      <c r="J55" s="33" t="n">
        <f aca="false">IF(OR(H55="",I55=""),"",H55-I55)</f>
        <v>13</v>
      </c>
      <c r="K55" s="34" t="n">
        <f aca="false">IFERROR(J55/I55,"")</f>
        <v>0.722222222222222</v>
      </c>
      <c r="L55" s="32" t="n">
        <f aca="false">IFERROR(D55/C55,"")</f>
        <v>3628.85714285714</v>
      </c>
      <c r="M55" s="32" t="n">
        <f aca="false">IFERROR(H55/D55*1000,"")</f>
        <v>1.22037634831903</v>
      </c>
      <c r="N55" s="32" t="n">
        <v>13835</v>
      </c>
      <c r="O55" s="33" t="n">
        <f aca="true">IFERROR(IF(OR(N55="",ISBLANK(INDIRECT("'"&amp;$Q$2&amp;"'!N"&amp;ROW()))),"",N55-INDIRECT("'"&amp;$Q$2&amp;"'!N"&amp;ROW())),"")</f>
        <v>-22</v>
      </c>
      <c r="P55" s="3"/>
      <c r="Q55" s="3"/>
      <c r="R55" s="3"/>
      <c r="S55" s="15" t="n">
        <f aca="true">IFERROR(IF(ISBLANK(INDIRECT("'"&amp;$Q$2&amp;"'!G"&amp;ROW())),"",INDIRECT("'"&amp;$Q$2&amp;"'!G"&amp;ROW())),"")</f>
        <v>-0.841090678503488</v>
      </c>
      <c r="T55" s="16" t="n">
        <f aca="false">IF(OR($G55="",$S55=""),"",$G55-$S55)</f>
        <v>6.59873898922442</v>
      </c>
      <c r="U55" s="15" t="n">
        <f aca="true">IFERROR(IF(ISBLANK(INDIRECT("'"&amp;$Q$2&amp;"'!K"&amp;ROW())),"",INDIRECT("'"&amp;$Q$2&amp;"'!K"&amp;ROW())),"")</f>
        <v>-0.181818181818182</v>
      </c>
      <c r="V55" s="16" t="n">
        <f aca="false">IF(OR($K55="",$U55=""),"",$K55-$U55)</f>
        <v>0.904040404040404</v>
      </c>
      <c r="W55" s="17" t="n">
        <f aca="true">IFERROR(IF(ISBLANK(INDIRECT("'"&amp;$Q$2&amp;"'!O"&amp;ROW())),"",INDIRECT("'"&amp;$Q$2&amp;"'!O"&amp;ROW())),"")</f>
        <v>-29</v>
      </c>
      <c r="X55" s="17" t="n">
        <f aca="false">IF(OR($O55="",$W55=""),"",$O55-$W55)</f>
        <v>7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395</v>
      </c>
      <c r="E56" s="32" t="n">
        <f aca="true">IF($D56="","",IFERROR(IF(ISBLANK(INDIRECT("'"&amp;$Q$2&amp;"'!D"&amp;ROW())),"",INDIRECT("'"&amp;$Q$2&amp;"'!D"&amp;ROW())),""))</f>
        <v>2886</v>
      </c>
      <c r="F56" s="33" t="n">
        <f aca="false">IF(OR(D56="",E56=""),"",D56-E56)</f>
        <v>-2491</v>
      </c>
      <c r="G56" s="34" t="n">
        <f aca="false">IFERROR(F56/E56,"")</f>
        <v>-0.863132363132363</v>
      </c>
      <c r="H56" s="32" t="n">
        <v>15</v>
      </c>
      <c r="I56" s="32" t="n">
        <f aca="true">IF($H56="","",IFERROR(IF(ISBLANK(INDIRECT("'"&amp;$Q$2&amp;"'!H"&amp;ROW())),"",INDIRECT("'"&amp;$Q$2&amp;"'!H"&amp;ROW())),""))</f>
        <v>9</v>
      </c>
      <c r="J56" s="33" t="n">
        <f aca="false">IF(OR(H56="",I56=""),"",H56-I56)</f>
        <v>6</v>
      </c>
      <c r="K56" s="34" t="n">
        <f aca="false">IFERROR(J56/I56,"")</f>
        <v>0.666666666666667</v>
      </c>
      <c r="L56" s="32" t="n">
        <f aca="false">IFERROR(D56/C56,"")</f>
        <v>56.4285714285714</v>
      </c>
      <c r="M56" s="32" t="n">
        <f aca="false">IFERROR(H56/D56*1000,"")</f>
        <v>37.9746835443038</v>
      </c>
      <c r="N56" s="32" t="n">
        <v>8664</v>
      </c>
      <c r="O56" s="33" t="n">
        <f aca="true">IFERROR(IF(OR(N56="",ISBLANK(INDIRECT("'"&amp;$Q$2&amp;"'!N"&amp;ROW()))),"",N56-INDIRECT("'"&amp;$Q$2&amp;"'!N"&amp;ROW())),"")</f>
        <v>-14</v>
      </c>
      <c r="P56" s="3"/>
      <c r="Q56" s="3"/>
      <c r="R56" s="3"/>
      <c r="S56" s="15" t="n">
        <f aca="true">IFERROR(IF(ISBLANK(INDIRECT("'"&amp;$Q$2&amp;"'!G"&amp;ROW())),"",INDIRECT("'"&amp;$Q$2&amp;"'!G"&amp;ROW())),"")</f>
        <v>6.215</v>
      </c>
      <c r="T56" s="16" t="n">
        <f aca="false">IF(OR($G56="",$S56=""),"",$G56-$S56)</f>
        <v>-7.07813236313236</v>
      </c>
      <c r="U56" s="15" t="n">
        <f aca="true">IFERROR(IF(ISBLANK(INDIRECT("'"&amp;$Q$2&amp;"'!K"&amp;ROW())),"",INDIRECT("'"&amp;$Q$2&amp;"'!K"&amp;ROW())),"")</f>
        <v>2</v>
      </c>
      <c r="V56" s="16" t="n">
        <f aca="false">IF(OR($K56="",$U56=""),"",$K56-$U56)</f>
        <v>-1.33333333333333</v>
      </c>
      <c r="W56" s="17" t="n">
        <f aca="true">IFERROR(IF(ISBLANK(INDIRECT("'"&amp;$Q$2&amp;"'!O"&amp;ROW())),"",INDIRECT("'"&amp;$Q$2&amp;"'!O"&amp;ROW())),"")</f>
        <v>-7</v>
      </c>
      <c r="X56" s="17" t="n">
        <f aca="false">IF(OR($O56="",$W56=""),"",$O56-$W56)</f>
        <v>-7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105</v>
      </c>
      <c r="D57" s="32" t="n">
        <v>116631</v>
      </c>
      <c r="E57" s="32" t="n">
        <f aca="true">IF($D57="","",IFERROR(IF(ISBLANK(INDIRECT("'"&amp;$Q$2&amp;"'!D"&amp;ROW())),"",INDIRECT("'"&amp;$Q$2&amp;"'!D"&amp;ROW())),""))</f>
        <v>87361</v>
      </c>
      <c r="F57" s="33" t="n">
        <f aca="false">IF(OR(D57="",E57=""),"",D57-E57)</f>
        <v>29270</v>
      </c>
      <c r="G57" s="34" t="n">
        <f aca="false">IFERROR(F57/E57,"")</f>
        <v>0.335046531060771</v>
      </c>
      <c r="H57" s="32" t="n">
        <v>563</v>
      </c>
      <c r="I57" s="32" t="n">
        <f aca="true">IF($H57="","",IFERROR(IF(ISBLANK(INDIRECT("'"&amp;$Q$2&amp;"'!H"&amp;ROW())),"",INDIRECT("'"&amp;$Q$2&amp;"'!H"&amp;ROW())),""))</f>
        <v>359</v>
      </c>
      <c r="J57" s="33" t="n">
        <f aca="false">IF(OR(H57="",I57=""),"",H57-I57)</f>
        <v>204</v>
      </c>
      <c r="K57" s="34" t="n">
        <f aca="false">IFERROR(J57/I57,"")</f>
        <v>0.568245125348189</v>
      </c>
      <c r="L57" s="32" t="n">
        <f aca="false">IFERROR(D57/C57,"")</f>
        <v>1110.77142857143</v>
      </c>
      <c r="M57" s="32" t="n">
        <f aca="false">IFERROR(H57/D57*1000,"")</f>
        <v>4.8271900266653</v>
      </c>
      <c r="N57" s="32" t="n">
        <v>10928</v>
      </c>
      <c r="O57" s="33" t="n">
        <f aca="true">IFERROR(IF(OR(N57="",ISBLANK(INDIRECT("'"&amp;$Q$2&amp;"'!N"&amp;ROW()))),"",N57-INDIRECT("'"&amp;$Q$2&amp;"'!N"&amp;ROW())),"")</f>
        <v>53</v>
      </c>
      <c r="P57" s="3"/>
      <c r="Q57" s="3"/>
      <c r="R57" s="3"/>
      <c r="S57" s="15" t="n">
        <f aca="true">IFERROR(IF(ISBLANK(INDIRECT("'"&amp;$Q$2&amp;"'!G"&amp;ROW())),"",INDIRECT("'"&amp;$Q$2&amp;"'!G"&amp;ROW())),"")</f>
        <v>0.361951234721876</v>
      </c>
      <c r="T57" s="16" t="n">
        <f aca="false">IF(OR($G57="",$S57=""),"",$G57-$S57)</f>
        <v>-0.026904703661105</v>
      </c>
      <c r="U57" s="15" t="n">
        <f aca="true">IFERROR(IF(ISBLANK(INDIRECT("'"&amp;$Q$2&amp;"'!K"&amp;ROW())),"",INDIRECT("'"&amp;$Q$2&amp;"'!K"&amp;ROW())),"")</f>
        <v>0.315018315018315</v>
      </c>
      <c r="V57" s="16" t="n">
        <f aca="false">IF(OR($K57="",$U57=""),"",$K57-$U57)</f>
        <v>0.253226810329874</v>
      </c>
      <c r="W57" s="17" t="n">
        <f aca="true">IFERROR(IF(ISBLANK(INDIRECT("'"&amp;$Q$2&amp;"'!O"&amp;ROW())),"",INDIRECT("'"&amp;$Q$2&amp;"'!O"&amp;ROW())),"")</f>
        <v>12</v>
      </c>
      <c r="X57" s="17" t="n">
        <f aca="false">IF(OR($O57="",$W57=""),"",$O57-$W57)</f>
        <v>41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107</v>
      </c>
      <c r="D58" s="32" t="n">
        <v>21703</v>
      </c>
      <c r="E58" s="32" t="n">
        <f aca="true">IF($D58="","",IFERROR(IF(ISBLANK(INDIRECT("'"&amp;$Q$2&amp;"'!D"&amp;ROW())),"",INDIRECT("'"&amp;$Q$2&amp;"'!D"&amp;ROW())),""))</f>
        <v>25697</v>
      </c>
      <c r="F58" s="33" t="n">
        <f aca="false">IF(OR(D58="",E58=""),"",D58-E58)</f>
        <v>-3994</v>
      </c>
      <c r="G58" s="34" t="n">
        <f aca="false">IFERROR(F58/E58,"")</f>
        <v>-0.155426703506246</v>
      </c>
      <c r="H58" s="32" t="n">
        <v>293</v>
      </c>
      <c r="I58" s="32" t="n">
        <f aca="true">IF($H58="","",IFERROR(IF(ISBLANK(INDIRECT("'"&amp;$Q$2&amp;"'!H"&amp;ROW())),"",INDIRECT("'"&amp;$Q$2&amp;"'!H"&amp;ROW())),""))</f>
        <v>274</v>
      </c>
      <c r="J58" s="33" t="n">
        <f aca="false">IF(OR(H58="",I58=""),"",H58-I58)</f>
        <v>19</v>
      </c>
      <c r="K58" s="34" t="n">
        <f aca="false">IFERROR(J58/I58,"")</f>
        <v>0.0693430656934307</v>
      </c>
      <c r="L58" s="32" t="n">
        <f aca="false">IFERROR(D58/C58,"")</f>
        <v>202.831775700935</v>
      </c>
      <c r="M58" s="32" t="n">
        <f aca="false">IFERROR(H58/D58*1000,"")</f>
        <v>13.5004377275031</v>
      </c>
      <c r="N58" s="32" t="n">
        <v>4120</v>
      </c>
      <c r="O58" s="33" t="n">
        <f aca="true">IFERROR(IF(OR(N58="",ISBLANK(INDIRECT("'"&amp;$Q$2&amp;"'!N"&amp;ROW()))),"",N58-INDIRECT("'"&amp;$Q$2&amp;"'!N"&amp;ROW())),"")</f>
        <v>-12</v>
      </c>
      <c r="P58" s="3"/>
      <c r="Q58" s="3"/>
      <c r="R58" s="3"/>
      <c r="S58" s="15" t="n">
        <f aca="true">IFERROR(IF(ISBLANK(INDIRECT("'"&amp;$Q$2&amp;"'!G"&amp;ROW())),"",INDIRECT("'"&amp;$Q$2&amp;"'!G"&amp;ROW())),"")</f>
        <v>0.157887622223224</v>
      </c>
      <c r="T58" s="16" t="n">
        <f aca="false">IF(OR($G58="",$S58=""),"",$G58-$S58)</f>
        <v>-0.313314325729469</v>
      </c>
      <c r="U58" s="15" t="n">
        <f aca="true">IFERROR(IF(ISBLANK(INDIRECT("'"&amp;$Q$2&amp;"'!K"&amp;ROW())),"",INDIRECT("'"&amp;$Q$2&amp;"'!K"&amp;ROW())),"")</f>
        <v>0.011070110701107</v>
      </c>
      <c r="V58" s="16" t="n">
        <f aca="false">IF(OR($K58="",$U58=""),"",$K58-$U58)</f>
        <v>0.0582729549923236</v>
      </c>
      <c r="W58" s="17" t="n">
        <f aca="true">IFERROR(IF(ISBLANK(INDIRECT("'"&amp;$Q$2&amp;"'!O"&amp;ROW())),"",INDIRECT("'"&amp;$Q$2&amp;"'!O"&amp;ROW())),"")</f>
        <v>-17</v>
      </c>
      <c r="X58" s="17" t="n">
        <f aca="false">IF(OR($O58="",$W58=""),"",$O58-$W58)</f>
        <v>5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99</v>
      </c>
      <c r="D59" s="32" t="n">
        <v>35309</v>
      </c>
      <c r="E59" s="32" t="n">
        <f aca="true">IF($D59="","",IFERROR(IF(ISBLANK(INDIRECT("'"&amp;$Q$2&amp;"'!D"&amp;ROW())),"",INDIRECT("'"&amp;$Q$2&amp;"'!D"&amp;ROW())),""))</f>
        <v>39791</v>
      </c>
      <c r="F59" s="33" t="n">
        <f aca="false">IF(OR(D59="",E59=""),"",D59-E59)</f>
        <v>-4482</v>
      </c>
      <c r="G59" s="34" t="n">
        <f aca="false">IFERROR(F59/E59,"")</f>
        <v>-0.112638536352442</v>
      </c>
      <c r="H59" s="32" t="n">
        <v>269</v>
      </c>
      <c r="I59" s="32" t="n">
        <f aca="true">IF($H59="","",IFERROR(IF(ISBLANK(INDIRECT("'"&amp;$Q$2&amp;"'!H"&amp;ROW())),"",INDIRECT("'"&amp;$Q$2&amp;"'!H"&amp;ROW())),""))</f>
        <v>421</v>
      </c>
      <c r="J59" s="33" t="n">
        <f aca="false">IF(OR(H59="",I59=""),"",H59-I59)</f>
        <v>-152</v>
      </c>
      <c r="K59" s="34" t="n">
        <f aca="false">IFERROR(J59/I59,"")</f>
        <v>-0.36104513064133</v>
      </c>
      <c r="L59" s="32" t="n">
        <f aca="false">IFERROR(D59/C59,"")</f>
        <v>356.656565656566</v>
      </c>
      <c r="M59" s="32" t="n">
        <f aca="false">IFERROR(H59/D59*1000,"")</f>
        <v>7.61845421847121</v>
      </c>
      <c r="N59" s="32" t="n">
        <v>5549</v>
      </c>
      <c r="O59" s="33" t="n">
        <f aca="true">IFERROR(IF(OR(N59="",ISBLANK(INDIRECT("'"&amp;$Q$2&amp;"'!N"&amp;ROW()))),"",N59-INDIRECT("'"&amp;$Q$2&amp;"'!N"&amp;ROW())),"")</f>
        <v>0</v>
      </c>
      <c r="P59" s="3"/>
      <c r="Q59" s="3"/>
      <c r="R59" s="3"/>
      <c r="S59" s="15" t="n">
        <f aca="true">IFERROR(IF(ISBLANK(INDIRECT("'"&amp;$Q$2&amp;"'!G"&amp;ROW())),"",INDIRECT("'"&amp;$Q$2&amp;"'!G"&amp;ROW())),"")</f>
        <v>0.303212917171585</v>
      </c>
      <c r="T59" s="16" t="n">
        <f aca="false">IF(OR($G59="",$S59=""),"",$G59-$S59)</f>
        <v>-0.415851453524026</v>
      </c>
      <c r="U59" s="15" t="n">
        <f aca="true">IFERROR(IF(ISBLANK(INDIRECT("'"&amp;$Q$2&amp;"'!K"&amp;ROW())),"",INDIRECT("'"&amp;$Q$2&amp;"'!K"&amp;ROW())),"")</f>
        <v>1.21578947368421</v>
      </c>
      <c r="V59" s="16" t="n">
        <f aca="false">IF(OR($K59="",$U59=""),"",$K59-$U59)</f>
        <v>-1.57683460432554</v>
      </c>
      <c r="W59" s="17" t="n">
        <f aca="true">IFERROR(IF(ISBLANK(INDIRECT("'"&amp;$Q$2&amp;"'!O"&amp;ROW())),"",INDIRECT("'"&amp;$Q$2&amp;"'!O"&amp;ROW())),"")</f>
        <v>-2</v>
      </c>
      <c r="X59" s="17" t="n">
        <f aca="false">IF(OR($O59="",$W59=""),"",$O59-$W59)</f>
        <v>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152</v>
      </c>
      <c r="D60" s="32" t="n">
        <v>71836</v>
      </c>
      <c r="E60" s="32" t="n">
        <f aca="true">IF($D60="","",IFERROR(IF(ISBLANK(INDIRECT("'"&amp;$Q$2&amp;"'!D"&amp;ROW())),"",INDIRECT("'"&amp;$Q$2&amp;"'!D"&amp;ROW())),""))</f>
        <v>51592</v>
      </c>
      <c r="F60" s="33" t="n">
        <f aca="false">IF(OR(D60="",E60=""),"",D60-E60)</f>
        <v>20244</v>
      </c>
      <c r="G60" s="34" t="n">
        <f aca="false">IFERROR(F60/E60,"")</f>
        <v>0.392386416498682</v>
      </c>
      <c r="H60" s="32" t="n">
        <v>267</v>
      </c>
      <c r="I60" s="32" t="n">
        <f aca="true">IF($H60="","",IFERROR(IF(ISBLANK(INDIRECT("'"&amp;$Q$2&amp;"'!H"&amp;ROW())),"",INDIRECT("'"&amp;$Q$2&amp;"'!H"&amp;ROW())),""))</f>
        <v>226</v>
      </c>
      <c r="J60" s="33" t="n">
        <f aca="false">IF(OR(H60="",I60=""),"",H60-I60)</f>
        <v>41</v>
      </c>
      <c r="K60" s="34" t="n">
        <f aca="false">IFERROR(J60/I60,"")</f>
        <v>0.18141592920354</v>
      </c>
      <c r="L60" s="32" t="n">
        <f aca="false">IFERROR(D60/C60,"")</f>
        <v>472.605263157895</v>
      </c>
      <c r="M60" s="32" t="n">
        <f aca="false">IFERROR(H60/D60*1000,"")</f>
        <v>3.71679937635726</v>
      </c>
      <c r="N60" s="32" t="n">
        <v>10447</v>
      </c>
      <c r="O60" s="33" t="n">
        <f aca="true">IFERROR(IF(OR(N60="",ISBLANK(INDIRECT("'"&amp;$Q$2&amp;"'!N"&amp;ROW()))),"",N60-INDIRECT("'"&amp;$Q$2&amp;"'!N"&amp;ROW())),"")</f>
        <v>-12</v>
      </c>
      <c r="P60" s="3"/>
      <c r="Q60" s="3"/>
      <c r="R60" s="3"/>
      <c r="S60" s="15" t="n">
        <f aca="true">IFERROR(IF(ISBLANK(INDIRECT("'"&amp;$Q$2&amp;"'!G"&amp;ROW())),"",INDIRECT("'"&amp;$Q$2&amp;"'!G"&amp;ROW())),"")</f>
        <v>0.0562823741375427</v>
      </c>
      <c r="T60" s="16" t="n">
        <f aca="false">IF(OR($G60="",$S60=""),"",$G60-$S60)</f>
        <v>0.336104042361139</v>
      </c>
      <c r="U60" s="15" t="n">
        <f aca="true">IFERROR(IF(ISBLANK(INDIRECT("'"&amp;$Q$2&amp;"'!K"&amp;ROW())),"",INDIRECT("'"&amp;$Q$2&amp;"'!K"&amp;ROW())),"")</f>
        <v>0.118811881188119</v>
      </c>
      <c r="V60" s="16" t="n">
        <f aca="false">IF(OR($K60="",$U60=""),"",$K60-$U60)</f>
        <v>0.062604048015421</v>
      </c>
      <c r="W60" s="17" t="n">
        <f aca="true">IFERROR(IF(ISBLANK(INDIRECT("'"&amp;$Q$2&amp;"'!O"&amp;ROW())),"",INDIRECT("'"&amp;$Q$2&amp;"'!O"&amp;ROW())),"")</f>
        <v>-27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83</v>
      </c>
      <c r="D61" s="32" t="n">
        <v>10230</v>
      </c>
      <c r="E61" s="32" t="n">
        <f aca="true">IF($D61="","",IFERROR(IF(ISBLANK(INDIRECT("'"&amp;$Q$2&amp;"'!D"&amp;ROW())),"",INDIRECT("'"&amp;$Q$2&amp;"'!D"&amp;ROW())),""))</f>
        <v>8127</v>
      </c>
      <c r="F61" s="33" t="n">
        <f aca="false">IF(OR(D61="",E61=""),"",D61-E61)</f>
        <v>2103</v>
      </c>
      <c r="G61" s="34" t="n">
        <f aca="false">IFERROR(F61/E61,"")</f>
        <v>0.258767072720561</v>
      </c>
      <c r="H61" s="32" t="n">
        <v>88</v>
      </c>
      <c r="I61" s="32" t="n">
        <f aca="true">IF($H61="","",IFERROR(IF(ISBLANK(INDIRECT("'"&amp;$Q$2&amp;"'!H"&amp;ROW())),"",INDIRECT("'"&amp;$Q$2&amp;"'!H"&amp;ROW())),""))</f>
        <v>13</v>
      </c>
      <c r="J61" s="33" t="n">
        <f aca="false">IF(OR(H61="",I61=""),"",H61-I61)</f>
        <v>75</v>
      </c>
      <c r="K61" s="34" t="n">
        <f aca="false">IFERROR(J61/I61,"")</f>
        <v>5.76923076923077</v>
      </c>
      <c r="L61" s="32" t="n">
        <f aca="false">IFERROR(D61/C61,"")</f>
        <v>123.253012048193</v>
      </c>
      <c r="M61" s="32" t="n">
        <f aca="false">IFERROR(H61/D61*1000,"")</f>
        <v>8.60215053763441</v>
      </c>
      <c r="N61" s="32" t="n">
        <v>2319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-0.40665839234869</v>
      </c>
      <c r="T61" s="16" t="n">
        <f aca="false">IF(OR($G61="",$S61=""),"",$G61-$S61)</f>
        <v>0.665425465069251</v>
      </c>
      <c r="U61" s="15" t="n">
        <f aca="true">IFERROR(IF(ISBLANK(INDIRECT("'"&amp;$Q$2&amp;"'!K"&amp;ROW())),"",INDIRECT("'"&amp;$Q$2&amp;"'!K"&amp;ROW())),"")</f>
        <v>-0.380952380952381</v>
      </c>
      <c r="V61" s="16" t="n">
        <f aca="false">IF(OR($K61="",$U61=""),"",$K61-$U61)</f>
        <v>6.15018315018315</v>
      </c>
      <c r="W61" s="17" t="n">
        <f aca="true">IFERROR(IF(ISBLANK(INDIRECT("'"&amp;$Q$2&amp;"'!O"&amp;ROW())),"",INDIRECT("'"&amp;$Q$2&amp;"'!O"&amp;ROW())),"")</f>
        <v>-1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36</v>
      </c>
      <c r="D62" s="32" t="n">
        <v>3879</v>
      </c>
      <c r="E62" s="32" t="n">
        <f aca="true">IF($D62="","",IFERROR(IF(ISBLANK(INDIRECT("'"&amp;$Q$2&amp;"'!D"&amp;ROW())),"",INDIRECT("'"&amp;$Q$2&amp;"'!D"&amp;ROW())),""))</f>
        <v>3697</v>
      </c>
      <c r="F62" s="33" t="n">
        <f aca="false">IF(OR(D62="",E62=""),"",D62-E62)</f>
        <v>182</v>
      </c>
      <c r="G62" s="34" t="n">
        <f aca="false">IFERROR(F62/E62,"")</f>
        <v>0.0492291046794698</v>
      </c>
      <c r="H62" s="32" t="n">
        <v>75</v>
      </c>
      <c r="I62" s="32" t="n">
        <f aca="true">IF($H62="","",IFERROR(IF(ISBLANK(INDIRECT("'"&amp;$Q$2&amp;"'!H"&amp;ROW())),"",INDIRECT("'"&amp;$Q$2&amp;"'!H"&amp;ROW())),""))</f>
        <v>31</v>
      </c>
      <c r="J62" s="33" t="n">
        <f aca="false">IF(OR(H62="",I62=""),"",H62-I62)</f>
        <v>44</v>
      </c>
      <c r="K62" s="34" t="n">
        <f aca="false">IFERROR(J62/I62,"")</f>
        <v>1.41935483870968</v>
      </c>
      <c r="L62" s="32" t="n">
        <f aca="false">IFERROR(D62/C62,"")</f>
        <v>107.75</v>
      </c>
      <c r="M62" s="32" t="n">
        <f aca="false">IFERROR(H62/D62*1000,"")</f>
        <v>19.3348801237432</v>
      </c>
      <c r="N62" s="32" t="n">
        <v>1382</v>
      </c>
      <c r="O62" s="33" t="n">
        <f aca="true">IFERROR(IF(OR(N62="",ISBLANK(INDIRECT("'"&amp;$Q$2&amp;"'!N"&amp;ROW()))),"",N62-INDIRECT("'"&amp;$Q$2&amp;"'!N"&amp;ROW())),"")</f>
        <v>4</v>
      </c>
      <c r="P62" s="3"/>
      <c r="Q62" s="3"/>
      <c r="R62" s="3"/>
      <c r="S62" s="15" t="n">
        <f aca="true">IFERROR(IF(ISBLANK(INDIRECT("'"&amp;$Q$2&amp;"'!G"&amp;ROW())),"",INDIRECT("'"&amp;$Q$2&amp;"'!G"&amp;ROW())),"")</f>
        <v>-0.236314810989465</v>
      </c>
      <c r="T62" s="16" t="n">
        <f aca="false">IF(OR($G62="",$S62=""),"",$G62-$S62)</f>
        <v>0.285543915668935</v>
      </c>
      <c r="U62" s="15" t="n">
        <f aca="true">IFERROR(IF(ISBLANK(INDIRECT("'"&amp;$Q$2&amp;"'!K"&amp;ROW())),"",INDIRECT("'"&amp;$Q$2&amp;"'!K"&amp;ROW())),"")</f>
        <v>-0.261904761904762</v>
      </c>
      <c r="V62" s="16" t="n">
        <f aca="false">IF(OR($K62="",$U62=""),"",$K62-$U62)</f>
        <v>1.68125960061444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7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60</v>
      </c>
      <c r="D63" s="32" t="n">
        <v>21971</v>
      </c>
      <c r="E63" s="32" t="n">
        <f aca="true">IF($D63="","",IFERROR(IF(ISBLANK(INDIRECT("'"&amp;$Q$2&amp;"'!D"&amp;ROW())),"",INDIRECT("'"&amp;$Q$2&amp;"'!D"&amp;ROW())),""))</f>
        <v>31198</v>
      </c>
      <c r="F63" s="33" t="n">
        <f aca="false">IF(OR(D63="",E63=""),"",D63-E63)</f>
        <v>-9227</v>
      </c>
      <c r="G63" s="34" t="n">
        <f aca="false">IFERROR(F63/E63,"")</f>
        <v>-0.295756138213988</v>
      </c>
      <c r="H63" s="32" t="n">
        <v>114</v>
      </c>
      <c r="I63" s="32" t="n">
        <f aca="true">IF($H63="","",IFERROR(IF(ISBLANK(INDIRECT("'"&amp;$Q$2&amp;"'!H"&amp;ROW())),"",INDIRECT("'"&amp;$Q$2&amp;"'!H"&amp;ROW())),""))</f>
        <v>146</v>
      </c>
      <c r="J63" s="33" t="n">
        <f aca="false">IF(OR(H63="",I63=""),"",H63-I63)</f>
        <v>-32</v>
      </c>
      <c r="K63" s="34" t="n">
        <f aca="false">IFERROR(J63/I63,"")</f>
        <v>-0.219178082191781</v>
      </c>
      <c r="L63" s="32" t="n">
        <f aca="false">IFERROR(D63/C63,"")</f>
        <v>366.183333333333</v>
      </c>
      <c r="M63" s="32" t="n">
        <f aca="false">IFERROR(H63/D63*1000,"")</f>
        <v>5.18865777615948</v>
      </c>
      <c r="N63" s="32" t="n">
        <v>5666</v>
      </c>
      <c r="O63" s="33" t="n">
        <f aca="true">IFERROR(IF(OR(N63="",ISBLANK(INDIRECT("'"&amp;$Q$2&amp;"'!N"&amp;ROW()))),"",N63-INDIRECT("'"&amp;$Q$2&amp;"'!N"&amp;ROW())),"")</f>
        <v>-21</v>
      </c>
      <c r="P63" s="3"/>
      <c r="Q63" s="3"/>
      <c r="R63" s="3"/>
      <c r="S63" s="15" t="n">
        <f aca="true">IFERROR(IF(ISBLANK(INDIRECT("'"&amp;$Q$2&amp;"'!G"&amp;ROW())),"",INDIRECT("'"&amp;$Q$2&amp;"'!G"&amp;ROW())),"")</f>
        <v>0.568684633950121</v>
      </c>
      <c r="T63" s="16" t="n">
        <f aca="false">IF(OR($G63="",$S63=""),"",$G63-$S63)</f>
        <v>-0.864440772164109</v>
      </c>
      <c r="U63" s="15" t="n">
        <f aca="true">IFERROR(IF(ISBLANK(INDIRECT("'"&amp;$Q$2&amp;"'!K"&amp;ROW())),"",INDIRECT("'"&amp;$Q$2&amp;"'!K"&amp;ROW())),"")</f>
        <v>0.780487804878049</v>
      </c>
      <c r="V63" s="16" t="n">
        <f aca="false">IF(OR($K63="",$U63=""),"",$K63-$U63)</f>
        <v>-0.99966588706983</v>
      </c>
      <c r="W63" s="17" t="n">
        <f aca="true">IFERROR(IF(ISBLANK(INDIRECT("'"&amp;$Q$2&amp;"'!O"&amp;ROW())),"",INDIRECT("'"&amp;$Q$2&amp;"'!O"&amp;ROW())),"")</f>
        <v>1</v>
      </c>
      <c r="X63" s="17" t="n">
        <f aca="false">IF(OR($O63="",$W63=""),"",$O63-$W63)</f>
        <v>-22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34</v>
      </c>
      <c r="D64" s="32" t="n">
        <v>3879</v>
      </c>
      <c r="E64" s="32" t="n">
        <f aca="true">IF($D64="","",IFERROR(IF(ISBLANK(INDIRECT("'"&amp;$Q$2&amp;"'!D"&amp;ROW())),"",INDIRECT("'"&amp;$Q$2&amp;"'!D"&amp;ROW())),""))</f>
        <v>3175</v>
      </c>
      <c r="F64" s="33" t="n">
        <f aca="false">IF(OR(D64="",E64=""),"",D64-E64)</f>
        <v>704</v>
      </c>
      <c r="G64" s="34" t="n">
        <f aca="false">IFERROR(F64/E64,"")</f>
        <v>0.221732283464567</v>
      </c>
      <c r="H64" s="32" t="n">
        <v>4</v>
      </c>
      <c r="I64" s="32" t="n">
        <f aca="true">IF($H64="","",IFERROR(IF(ISBLANK(INDIRECT("'"&amp;$Q$2&amp;"'!H"&amp;ROW())),"",INDIRECT("'"&amp;$Q$2&amp;"'!H"&amp;ROW())),""))</f>
        <v>2</v>
      </c>
      <c r="J64" s="33" t="n">
        <f aca="false">IF(OR(H64="",I64=""),"",H64-I64)</f>
        <v>2</v>
      </c>
      <c r="K64" s="34" t="n">
        <f aca="false">IFERROR(J64/I64,"")</f>
        <v>1</v>
      </c>
      <c r="L64" s="32" t="n">
        <f aca="false">IFERROR(D64/C64,"")</f>
        <v>114.088235294118</v>
      </c>
      <c r="M64" s="32" t="n">
        <f aca="false">IFERROR(H64/D64*1000,"")</f>
        <v>1.03119360659964</v>
      </c>
      <c r="N64" s="32" t="n">
        <v>1823</v>
      </c>
      <c r="O64" s="33" t="n">
        <f aca="true">IFERROR(IF(OR(N64="",ISBLANK(INDIRECT("'"&amp;$Q$2&amp;"'!N"&amp;ROW()))),"",N64-INDIRECT("'"&amp;$Q$2&amp;"'!N"&amp;ROW())),"")</f>
        <v>-2</v>
      </c>
      <c r="P64" s="3"/>
      <c r="Q64" s="3"/>
      <c r="R64" s="3"/>
      <c r="S64" s="15" t="n">
        <f aca="true">IFERROR(IF(ISBLANK(INDIRECT("'"&amp;$Q$2&amp;"'!G"&amp;ROW())),"",INDIRECT("'"&amp;$Q$2&amp;"'!G"&amp;ROW())),"")</f>
        <v>-0.363472333600642</v>
      </c>
      <c r="T64" s="16" t="n">
        <f aca="false">IF(OR($G64="",$S64=""),"",$G64-$S64)</f>
        <v>0.585204617065208</v>
      </c>
      <c r="U64" s="15" t="n">
        <f aca="true">IFERROR(IF(ISBLANK(INDIRECT("'"&amp;$Q$2&amp;"'!K"&amp;ROW())),"",INDIRECT("'"&amp;$Q$2&amp;"'!K"&amp;ROW())),"")</f>
        <v>-0.818181818181818</v>
      </c>
      <c r="V64" s="16" t="n">
        <f aca="false">IF(OR($K64="",$U64=""),"",$K64-$U64)</f>
        <v>1.81818181818182</v>
      </c>
      <c r="W64" s="17" t="n">
        <f aca="true">IFERROR(IF(ISBLANK(INDIRECT("'"&amp;$Q$2&amp;"'!O"&amp;ROW())),"",INDIRECT("'"&amp;$Q$2&amp;"'!O"&amp;ROW())),"")</f>
        <v>-3</v>
      </c>
      <c r="X64" s="17" t="n">
        <f aca="false">IF(OR($O64="",$W64=""),"",$O64-$W64)</f>
        <v>1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33</v>
      </c>
      <c r="D65" s="32" t="n">
        <v>2756</v>
      </c>
      <c r="E65" s="32" t="n">
        <f aca="true">IF($D65="","",IFERROR(IF(ISBLANK(INDIRECT("'"&amp;$Q$2&amp;"'!D"&amp;ROW())),"",INDIRECT("'"&amp;$Q$2&amp;"'!D"&amp;ROW())),""))</f>
        <v>2954</v>
      </c>
      <c r="F65" s="33" t="n">
        <f aca="false">IF(OR(D65="",E65=""),"",D65-E65)</f>
        <v>-198</v>
      </c>
      <c r="G65" s="34" t="n">
        <f aca="false">IFERROR(F65/E65,"")</f>
        <v>-0.0670277589708869</v>
      </c>
      <c r="H65" s="32" t="n">
        <v>5</v>
      </c>
      <c r="I65" s="32" t="n">
        <f aca="true">IF($H65="","",IFERROR(IF(ISBLANK(INDIRECT("'"&amp;$Q$2&amp;"'!H"&amp;ROW())),"",INDIRECT("'"&amp;$Q$2&amp;"'!H"&amp;ROW())),""))</f>
        <v>2</v>
      </c>
      <c r="J65" s="33" t="n">
        <f aca="false">IF(OR(H65="",I65=""),"",H65-I65)</f>
        <v>3</v>
      </c>
      <c r="K65" s="34" t="n">
        <f aca="false">IFERROR(J65/I65,"")</f>
        <v>1.5</v>
      </c>
      <c r="L65" s="32" t="n">
        <f aca="false">IFERROR(D65/C65,"")</f>
        <v>83.5151515151515</v>
      </c>
      <c r="M65" s="32" t="n">
        <f aca="false">IFERROR(H65/D65*1000,"")</f>
        <v>1.81422351233672</v>
      </c>
      <c r="N65" s="32" t="n">
        <v>873</v>
      </c>
      <c r="O65" s="33" t="n">
        <f aca="true">IFERROR(IF(OR(N65="",ISBLANK(INDIRECT("'"&amp;$Q$2&amp;"'!N"&amp;ROW()))),"",N65-INDIRECT("'"&amp;$Q$2&amp;"'!N"&amp;ROW())),"")</f>
        <v>-2</v>
      </c>
      <c r="P65" s="3"/>
      <c r="Q65" s="3"/>
      <c r="R65" s="3"/>
      <c r="S65" s="15" t="n">
        <f aca="true">IFERROR(IF(ISBLANK(INDIRECT("'"&amp;$Q$2&amp;"'!G"&amp;ROW())),"",INDIRECT("'"&amp;$Q$2&amp;"'!G"&amp;ROW())),"")</f>
        <v>0.117669315172153</v>
      </c>
      <c r="T65" s="16" t="n">
        <f aca="false">IF(OR($G65="",$S65=""),"",$G65-$S65)</f>
        <v>-0.18469707414304</v>
      </c>
      <c r="U65" s="15" t="n">
        <f aca="true">IFERROR(IF(ISBLANK(INDIRECT("'"&amp;$Q$2&amp;"'!K"&amp;ROW())),"",INDIRECT("'"&amp;$Q$2&amp;"'!K"&amp;ROW())),"")</f>
        <v>-0.882352941176471</v>
      </c>
      <c r="V65" s="16" t="n">
        <f aca="false">IF(OR($K65="",$U65=""),"",$K65-$U65)</f>
        <v>2.38235294117647</v>
      </c>
      <c r="W65" s="17" t="n">
        <f aca="true">IFERROR(IF(ISBLANK(INDIRECT("'"&amp;$Q$2&amp;"'!O"&amp;ROW())),"",INDIRECT("'"&amp;$Q$2&amp;"'!O"&amp;ROW())),"")</f>
        <v>0</v>
      </c>
      <c r="X65" s="17" t="n">
        <f aca="false">IF(OR($O65="",$W65=""),"",$O65-$W65)</f>
        <v>-2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53</v>
      </c>
      <c r="D66" s="32" t="n">
        <v>3491</v>
      </c>
      <c r="E66" s="32" t="n">
        <f aca="true">IF($D66="","",IFERROR(IF(ISBLANK(INDIRECT("'"&amp;$Q$2&amp;"'!D"&amp;ROW())),"",INDIRECT("'"&amp;$Q$2&amp;"'!D"&amp;ROW())),""))</f>
        <v>2452</v>
      </c>
      <c r="F66" s="33" t="n">
        <f aca="false">IF(OR(D66="",E66=""),"",D66-E66)</f>
        <v>1039</v>
      </c>
      <c r="G66" s="34" t="n">
        <f aca="false">IFERROR(F66/E66,"")</f>
        <v>0.42373572593801</v>
      </c>
      <c r="H66" s="32" t="n">
        <v>8</v>
      </c>
      <c r="I66" s="32" t="n">
        <f aca="true">IF($H66="","",IFERROR(IF(ISBLANK(INDIRECT("'"&amp;$Q$2&amp;"'!H"&amp;ROW())),"",INDIRECT("'"&amp;$Q$2&amp;"'!H"&amp;ROW())),""))</f>
        <v>1</v>
      </c>
      <c r="J66" s="33" t="n">
        <f aca="false">IF(OR(H66="",I66=""),"",H66-I66)</f>
        <v>7</v>
      </c>
      <c r="K66" s="34" t="n">
        <f aca="false">IFERROR(J66/I66,"")</f>
        <v>7</v>
      </c>
      <c r="L66" s="32" t="n">
        <f aca="false">IFERROR(D66/C66,"")</f>
        <v>65.8679245283019</v>
      </c>
      <c r="M66" s="32" t="n">
        <f aca="false">IFERROR(H66/D66*1000,"")</f>
        <v>2.29160698940132</v>
      </c>
      <c r="N66" s="32" t="n">
        <v>853</v>
      </c>
      <c r="O66" s="33" t="n">
        <f aca="true">IFERROR(IF(OR(N66="",ISBLANK(INDIRECT("'"&amp;$Q$2&amp;"'!N"&amp;ROW()))),"",N66-INDIRECT("'"&amp;$Q$2&amp;"'!N"&amp;ROW())),"")</f>
        <v>-2</v>
      </c>
      <c r="P66" s="3"/>
      <c r="Q66" s="3"/>
      <c r="R66" s="3"/>
      <c r="S66" s="15" t="n">
        <f aca="true">IFERROR(IF(ISBLANK(INDIRECT("'"&amp;$Q$2&amp;"'!G"&amp;ROW())),"",INDIRECT("'"&amp;$Q$2&amp;"'!G"&amp;ROW())),"")</f>
        <v>-0.296413199426112</v>
      </c>
      <c r="T66" s="16" t="n">
        <f aca="false">IF(OR($G66="",$S66=""),"",$G66-$S66)</f>
        <v>0.720148925364122</v>
      </c>
      <c r="U66" s="15" t="n">
        <f aca="true">IFERROR(IF(ISBLANK(INDIRECT("'"&amp;$Q$2&amp;"'!K"&amp;ROW())),"",INDIRECT("'"&amp;$Q$2&amp;"'!K"&amp;ROW())),"")</f>
        <v>-0.8</v>
      </c>
      <c r="V66" s="16" t="n">
        <f aca="false">IF(OR($K66="",$U66=""),"",$K66-$U66)</f>
        <v>7.8</v>
      </c>
      <c r="W66" s="17" t="n">
        <f aca="true">IFERROR(IF(ISBLANK(INDIRECT("'"&amp;$Q$2&amp;"'!O"&amp;ROW())),"",INDIRECT("'"&amp;$Q$2&amp;"'!O"&amp;ROW())),"")</f>
        <v>-8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33</v>
      </c>
      <c r="D67" s="32" t="n">
        <v>3794</v>
      </c>
      <c r="E67" s="32" t="n">
        <f aca="true">IF($D67="","",IFERROR(IF(ISBLANK(INDIRECT("'"&amp;$Q$2&amp;"'!D"&amp;ROW())),"",INDIRECT("'"&amp;$Q$2&amp;"'!D"&amp;ROW())),""))</f>
        <v>31476</v>
      </c>
      <c r="F67" s="33" t="n">
        <f aca="false">IF(OR(D67="",E67=""),"",D67-E67)</f>
        <v>-27682</v>
      </c>
      <c r="G67" s="34" t="n">
        <f aca="false">IFERROR(F67/E67,"")</f>
        <v>-0.879463718388614</v>
      </c>
      <c r="H67" s="32" t="n">
        <v>17</v>
      </c>
      <c r="I67" s="32" t="n">
        <f aca="true">IF($H67="","",IFERROR(IF(ISBLANK(INDIRECT("'"&amp;$Q$2&amp;"'!H"&amp;ROW())),"",INDIRECT("'"&amp;$Q$2&amp;"'!H"&amp;ROW())),""))</f>
        <v>26</v>
      </c>
      <c r="J67" s="33" t="n">
        <f aca="false">IF(OR(H67="",I67=""),"",H67-I67)</f>
        <v>-9</v>
      </c>
      <c r="K67" s="34" t="n">
        <f aca="false">IFERROR(J67/I67,"")</f>
        <v>-0.346153846153846</v>
      </c>
      <c r="L67" s="32" t="n">
        <f aca="false">IFERROR(D67/C67,"")</f>
        <v>114.969696969697</v>
      </c>
      <c r="M67" s="32" t="n">
        <f aca="false">IFERROR(H67/D67*1000,"")</f>
        <v>4.48075909330522</v>
      </c>
      <c r="N67" s="32" t="n">
        <v>1171</v>
      </c>
      <c r="O67" s="33" t="n">
        <f aca="true">IFERROR(IF(OR(N67="",ISBLANK(INDIRECT("'"&amp;$Q$2&amp;"'!N"&amp;ROW()))),"",N67-INDIRECT("'"&amp;$Q$2&amp;"'!N"&amp;ROW())),"")</f>
        <v>-6</v>
      </c>
      <c r="P67" s="3"/>
      <c r="Q67" s="3"/>
      <c r="R67" s="3"/>
      <c r="S67" s="15" t="n">
        <f aca="true">IFERROR(IF(ISBLANK(INDIRECT("'"&amp;$Q$2&amp;"'!G"&amp;ROW())),"",INDIRECT("'"&amp;$Q$2&amp;"'!G"&amp;ROW())),"")</f>
        <v>4.11888111888112</v>
      </c>
      <c r="T67" s="16" t="n">
        <f aca="false">IF(OR($G67="",$S67=""),"",$G67-$S67)</f>
        <v>-4.99834483726973</v>
      </c>
      <c r="U67" s="15" t="n">
        <f aca="true">IFERROR(IF(ISBLANK(INDIRECT("'"&amp;$Q$2&amp;"'!K"&amp;ROW())),"",INDIRECT("'"&amp;$Q$2&amp;"'!K"&amp;ROW())),"")</f>
        <v>-0.235294117647059</v>
      </c>
      <c r="V67" s="16" t="n">
        <f aca="false">IF(OR($K67="",$U67=""),"",$K67-$U67)</f>
        <v>-0.110859728506787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52</v>
      </c>
      <c r="D68" s="32" t="n">
        <v>17741</v>
      </c>
      <c r="E68" s="32" t="n">
        <f aca="true">IF($D68="","",IFERROR(IF(ISBLANK(INDIRECT("'"&amp;$Q$2&amp;"'!D"&amp;ROW())),"",INDIRECT("'"&amp;$Q$2&amp;"'!D"&amp;ROW())),""))</f>
        <v>22747</v>
      </c>
      <c r="F68" s="33" t="n">
        <f aca="false">IF(OR(D68="",E68=""),"",D68-E68)</f>
        <v>-5006</v>
      </c>
      <c r="G68" s="34" t="n">
        <f aca="false">IFERROR(F68/E68,"")</f>
        <v>-0.220072976656262</v>
      </c>
      <c r="H68" s="32" t="n">
        <v>98</v>
      </c>
      <c r="I68" s="32" t="n">
        <f aca="true">IF($H68="","",IFERROR(IF(ISBLANK(INDIRECT("'"&amp;$Q$2&amp;"'!H"&amp;ROW())),"",INDIRECT("'"&amp;$Q$2&amp;"'!H"&amp;ROW())),""))</f>
        <v>112</v>
      </c>
      <c r="J68" s="33" t="n">
        <f aca="false">IF(OR(H68="",I68=""),"",H68-I68)</f>
        <v>-14</v>
      </c>
      <c r="K68" s="34" t="n">
        <f aca="false">IFERROR(J68/I68,"")</f>
        <v>-0.125</v>
      </c>
      <c r="L68" s="32" t="n">
        <f aca="false">IFERROR(D68/C68,"")</f>
        <v>341.173076923077</v>
      </c>
      <c r="M68" s="32" t="n">
        <f aca="false">IFERROR(H68/D68*1000,"")</f>
        <v>5.52392762527479</v>
      </c>
      <c r="N68" s="32" t="n">
        <v>4423</v>
      </c>
      <c r="O68" s="33" t="n">
        <f aca="true">IFERROR(IF(OR(N68="",ISBLANK(INDIRECT("'"&amp;$Q$2&amp;"'!N"&amp;ROW()))),"",N68-INDIRECT("'"&amp;$Q$2&amp;"'!N"&amp;ROW())),"")</f>
        <v>2</v>
      </c>
      <c r="P68" s="3"/>
      <c r="Q68" s="3"/>
      <c r="R68" s="3"/>
      <c r="S68" s="15" t="n">
        <f aca="true">IFERROR(IF(ISBLANK(INDIRECT("'"&amp;$Q$2&amp;"'!G"&amp;ROW())),"",INDIRECT("'"&amp;$Q$2&amp;"'!G"&amp;ROW())),"")</f>
        <v>0.14802664782477</v>
      </c>
      <c r="T68" s="16" t="n">
        <f aca="false">IF(OR($G68="",$S68=""),"",$G68-$S68)</f>
        <v>-0.368099624481033</v>
      </c>
      <c r="U68" s="15" t="n">
        <f aca="true">IFERROR(IF(ISBLANK(INDIRECT("'"&amp;$Q$2&amp;"'!K"&amp;ROW())),"",INDIRECT("'"&amp;$Q$2&amp;"'!K"&amp;ROW())),"")</f>
        <v>0.577464788732394</v>
      </c>
      <c r="V68" s="16" t="n">
        <f aca="false">IF(OR($K68="",$U68=""),"",$K68-$U68)</f>
        <v>-0.702464788732394</v>
      </c>
      <c r="W68" s="17" t="n">
        <f aca="true">IFERROR(IF(ISBLANK(INDIRECT("'"&amp;$Q$2&amp;"'!O"&amp;ROW())),"",INDIRECT("'"&amp;$Q$2&amp;"'!O"&amp;ROW())),"")</f>
        <v>-4</v>
      </c>
      <c r="X68" s="17" t="n">
        <f aca="false">IF(OR($O68="",$W68=""),"",$O68-$W68)</f>
        <v>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59</v>
      </c>
      <c r="D69" s="32" t="n">
        <v>27146</v>
      </c>
      <c r="E69" s="32" t="n">
        <f aca="true">IF($D69="","",IFERROR(IF(ISBLANK(INDIRECT("'"&amp;$Q$2&amp;"'!D"&amp;ROW())),"",INDIRECT("'"&amp;$Q$2&amp;"'!D"&amp;ROW())),""))</f>
        <v>30498</v>
      </c>
      <c r="F69" s="33" t="n">
        <f aca="false">IF(OR(D69="",E69=""),"",D69-E69)</f>
        <v>-3352</v>
      </c>
      <c r="G69" s="34" t="n">
        <f aca="false">IFERROR(F69/E69,"")</f>
        <v>-0.109908846481737</v>
      </c>
      <c r="H69" s="32" t="n">
        <v>265</v>
      </c>
      <c r="I69" s="32" t="n">
        <f aca="true">IF($H69="","",IFERROR(IF(ISBLANK(INDIRECT("'"&amp;$Q$2&amp;"'!H"&amp;ROW())),"",INDIRECT("'"&amp;$Q$2&amp;"'!H"&amp;ROW())),""))</f>
        <v>282</v>
      </c>
      <c r="J69" s="33" t="n">
        <f aca="false">IF(OR(H69="",I69=""),"",H69-I69)</f>
        <v>-17</v>
      </c>
      <c r="K69" s="34" t="n">
        <f aca="false">IFERROR(J69/I69,"")</f>
        <v>-0.0602836879432624</v>
      </c>
      <c r="L69" s="32" t="n">
        <f aca="false">IFERROR(D69/C69,"")</f>
        <v>460.101694915254</v>
      </c>
      <c r="M69" s="32" t="n">
        <f aca="false">IFERROR(H69/D69*1000,"")</f>
        <v>9.76202755470419</v>
      </c>
      <c r="N69" s="32" t="n">
        <v>5528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-0.450882247029168</v>
      </c>
      <c r="T69" s="16" t="n">
        <f aca="false">IF(OR($G69="",$S69=""),"",$G69-$S69)</f>
        <v>0.340973400547432</v>
      </c>
      <c r="U69" s="15" t="n">
        <f aca="true">IFERROR(IF(ISBLANK(INDIRECT("'"&amp;$Q$2&amp;"'!K"&amp;ROW())),"",INDIRECT("'"&amp;$Q$2&amp;"'!K"&amp;ROW())),"")</f>
        <v>-0.347222222222222</v>
      </c>
      <c r="V69" s="16" t="n">
        <f aca="false">IF(OR($K69="",$U69=""),"",$K69-$U69)</f>
        <v>0.28693853427896</v>
      </c>
      <c r="W69" s="17" t="n">
        <f aca="true">IFERROR(IF(ISBLANK(INDIRECT("'"&amp;$Q$2&amp;"'!O"&amp;ROW())),"",INDIRECT("'"&amp;$Q$2&amp;"'!O"&amp;ROW())),"")</f>
        <v>-20</v>
      </c>
      <c r="X69" s="17" t="n">
        <f aca="false">IF(OR($O69="",$W69=""),"",$O69-$W69)</f>
        <v>-2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228</v>
      </c>
      <c r="D70" s="32" t="n">
        <v>3933</v>
      </c>
      <c r="E70" s="32" t="n">
        <f aca="true">IF($D70="","",IFERROR(IF(ISBLANK(INDIRECT("'"&amp;$Q$2&amp;"'!D"&amp;ROW())),"",INDIRECT("'"&amp;$Q$2&amp;"'!D"&amp;ROW())),""))</f>
        <v>3812</v>
      </c>
      <c r="F70" s="33" t="n">
        <f aca="false">IF(OR(D70="",E70=""),"",D70-E70)</f>
        <v>121</v>
      </c>
      <c r="G70" s="34" t="n">
        <f aca="false">IFERROR(F70/E70,"")</f>
        <v>0.0317418677859391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17.25</v>
      </c>
      <c r="M70" s="32" t="n">
        <f aca="false">IFERROR(H70/D70*1000,"")</f>
        <v>0.508517670989067</v>
      </c>
      <c r="N70" s="32" t="n">
        <v>692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n">
        <f aca="true">IFERROR(IF(ISBLANK(INDIRECT("'"&amp;$Q$2&amp;"'!G"&amp;ROW())),"",INDIRECT("'"&amp;$Q$2&amp;"'!G"&amp;ROW())),"")</f>
        <v>0.0630228667038483</v>
      </c>
      <c r="T70" s="16" t="n">
        <f aca="false">IF(OR($G70="",$S70=""),"",$G70-$S70)</f>
        <v>-0.0312809989179092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0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29</v>
      </c>
      <c r="D71" s="32" t="n">
        <v>7225</v>
      </c>
      <c r="E71" s="32" t="n">
        <f aca="true">IF($D71="","",IFERROR(IF(ISBLANK(INDIRECT("'"&amp;$Q$2&amp;"'!D"&amp;ROW())),"",INDIRECT("'"&amp;$Q$2&amp;"'!D"&amp;ROW())),""))</f>
        <v>7786</v>
      </c>
      <c r="F71" s="33" t="n">
        <f aca="false">IF(OR(D71="",E71=""),"",D71-E71)</f>
        <v>-561</v>
      </c>
      <c r="G71" s="34" t="n">
        <f aca="false">IFERROR(F71/E71,"")</f>
        <v>-0.0720524017467249</v>
      </c>
      <c r="H71" s="32" t="n">
        <v>595</v>
      </c>
      <c r="I71" s="32" t="n">
        <f aca="true">IF($H71="","",IFERROR(IF(ISBLANK(INDIRECT("'"&amp;$Q$2&amp;"'!H"&amp;ROW())),"",INDIRECT("'"&amp;$Q$2&amp;"'!H"&amp;ROW())),""))</f>
        <v>704</v>
      </c>
      <c r="J71" s="33" t="n">
        <f aca="false">IF(OR(H71="",I71=""),"",H71-I71)</f>
        <v>-109</v>
      </c>
      <c r="K71" s="34" t="n">
        <f aca="false">IFERROR(J71/I71,"")</f>
        <v>-0.154829545454545</v>
      </c>
      <c r="L71" s="32" t="n">
        <f aca="false">IFERROR(D71/C71,"")</f>
        <v>249.137931034483</v>
      </c>
      <c r="M71" s="32" t="n">
        <f aca="false">IFERROR(H71/D71*1000,"")</f>
        <v>82.3529411764706</v>
      </c>
      <c r="N71" s="32" t="n">
        <v>2497</v>
      </c>
      <c r="O71" s="33" t="n">
        <f aca="true">IFERROR(IF(OR(N71="",ISBLANK(INDIRECT("'"&amp;$Q$2&amp;"'!N"&amp;ROW()))),"",N71-INDIRECT("'"&amp;$Q$2&amp;"'!N"&amp;ROW())),"")</f>
        <v>-8</v>
      </c>
      <c r="P71" s="3"/>
      <c r="Q71" s="3"/>
      <c r="R71" s="3"/>
      <c r="S71" s="15" t="n">
        <f aca="true">IFERROR(IF(ISBLANK(INDIRECT("'"&amp;$Q$2&amp;"'!G"&amp;ROW())),"",INDIRECT("'"&amp;$Q$2&amp;"'!G"&amp;ROW())),"")</f>
        <v>0.0769017980636238</v>
      </c>
      <c r="T71" s="16" t="n">
        <f aca="false">IF(OR($G71="",$S71=""),"",$G71-$S71)</f>
        <v>-0.148954199810349</v>
      </c>
      <c r="U71" s="15" t="n">
        <f aca="true">IFERROR(IF(ISBLANK(INDIRECT("'"&amp;$Q$2&amp;"'!K"&amp;ROW())),"",INDIRECT("'"&amp;$Q$2&amp;"'!K"&amp;ROW())),"")</f>
        <v>0.303703703703704</v>
      </c>
      <c r="V71" s="16" t="n">
        <f aca="false">IF(OR($K71="",$U71=""),"",$K71-$U71)</f>
        <v>-0.458533249158249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-7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8</v>
      </c>
      <c r="D72" s="32" t="n">
        <v>800</v>
      </c>
      <c r="E72" s="32" t="n">
        <f aca="true">IF($D72="","",IFERROR(IF(ISBLANK(INDIRECT("'"&amp;$Q$2&amp;"'!D"&amp;ROW())),"",INDIRECT("'"&amp;$Q$2&amp;"'!D"&amp;ROW())),""))</f>
        <v>175</v>
      </c>
      <c r="F72" s="33" t="n">
        <f aca="false">IF(OR(D72="",E72=""),"",D72-E72)</f>
        <v>625</v>
      </c>
      <c r="G72" s="34" t="n">
        <f aca="false">IFERROR(F72/E72,"")</f>
        <v>3.57142857142857</v>
      </c>
      <c r="H72" s="32" t="n">
        <v>50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30</v>
      </c>
      <c r="K72" s="34" t="n">
        <f aca="false">IFERROR(J72/I72,"")</f>
        <v>1.5</v>
      </c>
      <c r="L72" s="32" t="n">
        <f aca="false">IFERROR(D72/C72,"")</f>
        <v>100</v>
      </c>
      <c r="M72" s="32" t="n">
        <f aca="false">IFERROR(H72/D72*1000,"")</f>
        <v>62.5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0.0670731707317073</v>
      </c>
      <c r="T72" s="16" t="n">
        <f aca="false">IF(OR($G72="",$S72=""),"",$G72-$S72)</f>
        <v>3.50435540069686</v>
      </c>
      <c r="U72" s="15" t="n">
        <f aca="true">IFERROR(IF(ISBLANK(INDIRECT("'"&amp;$Q$2&amp;"'!K"&amp;ROW())),"",INDIRECT("'"&amp;$Q$2&amp;"'!K"&amp;ROW())),"")</f>
        <v>-0.166666666666667</v>
      </c>
      <c r="V72" s="16" t="n">
        <f aca="false">IF(OR($K72="",$U72=""),"",$K72-$U72)</f>
        <v>1.66666666666667</v>
      </c>
      <c r="W72" s="17" t="n">
        <f aca="true">IFERROR(IF(ISBLANK(INDIRECT("'"&amp;$Q$2&amp;"'!O"&amp;ROW())),"",INDIRECT("'"&amp;$Q$2&amp;"'!O"&amp;ROW())),"")</f>
        <v>1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120</v>
      </c>
      <c r="E73" s="32" t="n">
        <f aca="true">IF($D73="","",IFERROR(IF(ISBLANK(INDIRECT("'"&amp;$Q$2&amp;"'!D"&amp;ROW())),"",INDIRECT("'"&amp;$Q$2&amp;"'!D"&amp;ROW())),""))</f>
        <v>2841</v>
      </c>
      <c r="F73" s="33" t="n">
        <f aca="false">IF(OR(D73="",E73=""),"",D73-E73)</f>
        <v>-2721</v>
      </c>
      <c r="G73" s="34" t="n">
        <f aca="false">IFERROR(F73/E73,"")</f>
        <v>-0.957761351636748</v>
      </c>
      <c r="H73" s="32" t="n">
        <v>18</v>
      </c>
      <c r="I73" s="32" t="n">
        <f aca="true">IF($H73="","",IFERROR(IF(ISBLANK(INDIRECT("'"&amp;$Q$2&amp;"'!H"&amp;ROW())),"",INDIRECT("'"&amp;$Q$2&amp;"'!H"&amp;ROW())),""))</f>
        <v>44</v>
      </c>
      <c r="J73" s="33" t="n">
        <f aca="false">IF(OR(H73="",I73=""),"",H73-I73)</f>
        <v>-26</v>
      </c>
      <c r="K73" s="34" t="n">
        <f aca="false">IFERROR(J73/I73,"")</f>
        <v>-0.590909090909091</v>
      </c>
      <c r="L73" s="32" t="n">
        <f aca="false">IFERROR(D73/C73,"")</f>
        <v>20</v>
      </c>
      <c r="M73" s="32" t="n">
        <f aca="false">IFERROR(H73/D73*1000,"")</f>
        <v>150</v>
      </c>
      <c r="N73" s="32" t="n">
        <v>53</v>
      </c>
      <c r="O73" s="33" t="n">
        <f aca="true">IFERROR(IF(OR(N73="",ISBLANK(INDIRECT("'"&amp;$Q$2&amp;"'!N"&amp;ROW()))),"",N73-INDIRECT("'"&amp;$Q$2&amp;"'!N"&amp;ROW())),"")</f>
        <v>0</v>
      </c>
      <c r="P73" s="3"/>
      <c r="Q73" s="3"/>
      <c r="R73" s="3"/>
      <c r="S73" s="15" t="n">
        <f aca="true">IFERROR(IF(ISBLANK(INDIRECT("'"&amp;$Q$2&amp;"'!G"&amp;ROW())),"",INDIRECT("'"&amp;$Q$2&amp;"'!G"&amp;ROW())),"")</f>
        <v>1.4768962510898</v>
      </c>
      <c r="T73" s="16" t="n">
        <f aca="false">IF(OR($G73="",$S73=""),"",$G73-$S73)</f>
        <v>-2.43465760272655</v>
      </c>
      <c r="U73" s="15" t="n">
        <f aca="true">IFERROR(IF(ISBLANK(INDIRECT("'"&amp;$Q$2&amp;"'!K"&amp;ROW())),"",INDIRECT("'"&amp;$Q$2&amp;"'!K"&amp;ROW())),"")</f>
        <v>0.222222222222222</v>
      </c>
      <c r="V73" s="16" t="n">
        <f aca="false">IF(OR($K73="",$U73=""),"",$K73-$U73)</f>
        <v>-0.813131313131313</v>
      </c>
      <c r="W73" s="17" t="n">
        <f aca="true">IFERROR(IF(ISBLANK(INDIRECT("'"&amp;$Q$2&amp;"'!O"&amp;ROW())),"",INDIRECT("'"&amp;$Q$2&amp;"'!O"&amp;ROW())),"")</f>
        <v>4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1562</v>
      </c>
      <c r="D74" s="36" t="n">
        <f aca="false">SUM(D52:D73)</f>
        <v>476973</v>
      </c>
      <c r="E74" s="36" t="n">
        <f aca="false">SUM(E52:E73)</f>
        <v>431295</v>
      </c>
      <c r="F74" s="37" t="n">
        <f aca="false">SUM(F52:F73)</f>
        <v>45678</v>
      </c>
      <c r="G74" s="38" t="n">
        <f aca="false">IF(C74=0,"",IFERROR(F74/E74,""))</f>
        <v>0.105908948631447</v>
      </c>
      <c r="H74" s="36" t="n">
        <f aca="false">SUM(H52:H73)</f>
        <v>3195</v>
      </c>
      <c r="I74" s="36" t="n">
        <f aca="false">SUM(I52:I73)</f>
        <v>2959</v>
      </c>
      <c r="J74" s="37" t="n">
        <f aca="false">SUM(J52:J73)</f>
        <v>236</v>
      </c>
      <c r="K74" s="38" t="n">
        <f aca="false">IF(C74=0,"",IFERROR(J74/I74,""))</f>
        <v>0.0797566745522136</v>
      </c>
      <c r="L74" s="36" t="n">
        <f aca="false">IFERROR(D74/C74,"")</f>
        <v>305.360435339309</v>
      </c>
      <c r="M74" s="36" t="n">
        <f aca="false">IFERROR(H74/D74*1000,"")</f>
        <v>6.6984923674925</v>
      </c>
      <c r="N74" s="36" t="n">
        <f aca="false">SUM(N52:N73)</f>
        <v>98498</v>
      </c>
      <c r="O74" s="37" t="n">
        <f aca="false">SUM(O52:O73)</f>
        <v>-81</v>
      </c>
      <c r="P74" s="3"/>
      <c r="Q74" s="3"/>
      <c r="R74" s="3"/>
      <c r="S74" s="23" t="n">
        <f aca="true">IFERROR(IF(ISBLANK(INDIRECT("'"&amp;$Q$2&amp;"'!G"&amp;ROW())),"",INDIRECT("'"&amp;$Q$2&amp;"'!G"&amp;ROW())),"")</f>
        <v>0.0191521538788724</v>
      </c>
      <c r="T74" s="24" t="n">
        <f aca="false">IF(OR($G74="",$S74=""),"",$G74-$S74)</f>
        <v>0.0867567947525748</v>
      </c>
      <c r="U74" s="23" t="n">
        <f aca="true">IFERROR(IF(ISBLANK(INDIRECT("'"&amp;$Q$2&amp;"'!K"&amp;ROW())),"",INDIRECT("'"&amp;$Q$2&amp;"'!K"&amp;ROW())),"")</f>
        <v>0.188353413654618</v>
      </c>
      <c r="V74" s="24" t="n">
        <f aca="false">IF(OR($K74="",$U74=""),"",$K74-$U74)</f>
        <v>-0.108596739102405</v>
      </c>
      <c r="W74" s="25" t="n">
        <f aca="true">IFERROR(IF(ISBLANK(INDIRECT("'"&amp;$Q$2&amp;"'!O"&amp;ROW())),"",INDIRECT("'"&amp;$Q$2&amp;"'!O"&amp;ROW())),"")</f>
        <v>-129</v>
      </c>
      <c r="X74" s="25" t="n">
        <f aca="false">IF(OR(C74=0,$O74="",$W74=""),"",$O74-$W74)</f>
        <v>48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147</v>
      </c>
      <c r="D75" s="32" t="n">
        <v>148551</v>
      </c>
      <c r="E75" s="32" t="n">
        <f aca="true">IF($D75="","",IFERROR(IF(ISBLANK(INDIRECT("'"&amp;$Q$2&amp;"'!D"&amp;ROW())),"",INDIRECT("'"&amp;$Q$2&amp;"'!D"&amp;ROW())),""))</f>
        <v>135695</v>
      </c>
      <c r="F75" s="33" t="n">
        <f aca="false">IF(OR(D75="",E75=""),"",D75-E75)</f>
        <v>12856</v>
      </c>
      <c r="G75" s="34" t="n">
        <f aca="false">IFERROR(F75/E75,"")</f>
        <v>0.0947418843730425</v>
      </c>
      <c r="H75" s="32" t="n">
        <v>1780</v>
      </c>
      <c r="I75" s="32" t="n">
        <f aca="true">IF($H75="","",IFERROR(IF(ISBLANK(INDIRECT("'"&amp;$Q$2&amp;"'!H"&amp;ROW())),"",INDIRECT("'"&amp;$Q$2&amp;"'!H"&amp;ROW())),""))</f>
        <v>1301</v>
      </c>
      <c r="J75" s="33" t="n">
        <f aca="false">IF(OR(H75="",I75=""),"",H75-I75)</f>
        <v>479</v>
      </c>
      <c r="K75" s="34" t="n">
        <f aca="false">IFERROR(J75/I75,"")</f>
        <v>0.368178324365872</v>
      </c>
      <c r="L75" s="32" t="n">
        <f aca="false">IFERROR(D75/C75,"")</f>
        <v>1010.55102040816</v>
      </c>
      <c r="M75" s="32" t="n">
        <f aca="false">IFERROR(H75/D75*1000,"")</f>
        <v>11.982416813081</v>
      </c>
      <c r="N75" s="32" t="n">
        <v>4281</v>
      </c>
      <c r="O75" s="33" t="n">
        <f aca="true">IFERROR(IF(OR(N75="",ISBLANK(INDIRECT("'"&amp;$Q$2&amp;"'!N"&amp;ROW()))),"",N75-INDIRECT("'"&amp;$Q$2&amp;"'!N"&amp;ROW())),"")</f>
        <v>93</v>
      </c>
      <c r="P75" s="3"/>
      <c r="Q75" s="3"/>
      <c r="R75" s="3"/>
      <c r="S75" s="15" t="n">
        <f aca="true">IFERROR(IF(ISBLANK(INDIRECT("'"&amp;$Q$2&amp;"'!G"&amp;ROW())),"",INDIRECT("'"&amp;$Q$2&amp;"'!G"&amp;ROW())),"")</f>
        <v>-0.0409434015605564</v>
      </c>
      <c r="T75" s="16" t="n">
        <f aca="false">IF(OR($G75="",$S75=""),"",$G75-$S75)</f>
        <v>0.135685285933599</v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53</v>
      </c>
      <c r="X75" s="17" t="n">
        <f aca="false">IF(OR($O75="",$W75=""),"",$O75-$W75)</f>
        <v>40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149</v>
      </c>
      <c r="D76" s="32" t="n">
        <v>70047</v>
      </c>
      <c r="E76" s="32" t="n">
        <f aca="true">IF($D76="","",IFERROR(IF(ISBLANK(INDIRECT("'"&amp;$Q$2&amp;"'!D"&amp;ROW())),"",INDIRECT("'"&amp;$Q$2&amp;"'!D"&amp;ROW())),""))</f>
        <v>60348</v>
      </c>
      <c r="F76" s="33" t="n">
        <f aca="false">IF(OR(D76="",E76=""),"",D76-E76)</f>
        <v>9699</v>
      </c>
      <c r="G76" s="34" t="n">
        <f aca="false">IFERROR(F76/E76,"")</f>
        <v>0.160717836548021</v>
      </c>
      <c r="H76" s="32" t="n">
        <v>295</v>
      </c>
      <c r="I76" s="32" t="n">
        <f aca="true">IF($H76="","",IFERROR(IF(ISBLANK(INDIRECT("'"&amp;$Q$2&amp;"'!H"&amp;ROW())),"",INDIRECT("'"&amp;$Q$2&amp;"'!H"&amp;ROW())),""))</f>
        <v>235</v>
      </c>
      <c r="J76" s="33" t="n">
        <f aca="false">IF(OR(H76="",I76=""),"",H76-I76)</f>
        <v>60</v>
      </c>
      <c r="K76" s="34" t="n">
        <f aca="false">IFERROR(J76/I76,"")</f>
        <v>0.25531914893617</v>
      </c>
      <c r="L76" s="32" t="n">
        <f aca="false">IFERROR(D76/C76,"")</f>
        <v>470.114093959732</v>
      </c>
      <c r="M76" s="32" t="n">
        <f aca="false">IFERROR(H76/D76*1000,"")</f>
        <v>4.21145802104301</v>
      </c>
      <c r="N76" s="32" t="n">
        <v>2221</v>
      </c>
      <c r="O76" s="33" t="n">
        <f aca="true">IFERROR(IF(OR(N76="",ISBLANK(INDIRECT("'"&amp;$Q$2&amp;"'!N"&amp;ROW()))),"",N76-INDIRECT("'"&amp;$Q$2&amp;"'!N"&amp;ROW())),"")</f>
        <v>14</v>
      </c>
      <c r="P76" s="3"/>
      <c r="Q76" s="3"/>
      <c r="R76" s="3"/>
      <c r="S76" s="15" t="n">
        <f aca="true">IFERROR(IF(ISBLANK(INDIRECT("'"&amp;$Q$2&amp;"'!G"&amp;ROW())),"",INDIRECT("'"&amp;$Q$2&amp;"'!G"&amp;ROW())),"")</f>
        <v>-0.123956624617127</v>
      </c>
      <c r="T76" s="16" t="n">
        <f aca="false">IF(OR($G76="",$S76=""),"",$G76-$S76)</f>
        <v>0.284674461165148</v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6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6026</v>
      </c>
      <c r="E77" s="32" t="n">
        <f aca="true">IF($D77="","",IFERROR(IF(ISBLANK(INDIRECT("'"&amp;$Q$2&amp;"'!D"&amp;ROW())),"",INDIRECT("'"&amp;$Q$2&amp;"'!D"&amp;ROW())),""))</f>
        <v>4997</v>
      </c>
      <c r="F77" s="33" t="n">
        <f aca="false">IF(OR(D77="",E77=""),"",D77-E77)</f>
        <v>1029</v>
      </c>
      <c r="G77" s="34" t="n">
        <f aca="false">IFERROR(F77/E77,"")</f>
        <v>0.205923554132479</v>
      </c>
      <c r="H77" s="32" t="n">
        <v>13</v>
      </c>
      <c r="I77" s="32" t="n">
        <f aca="true">IF($H77="","",IFERROR(IF(ISBLANK(INDIRECT("'"&amp;$Q$2&amp;"'!H"&amp;ROW())),"",INDIRECT("'"&amp;$Q$2&amp;"'!H"&amp;ROW())),""))</f>
        <v>9</v>
      </c>
      <c r="J77" s="33" t="n">
        <f aca="false">IF(OR(H77="",I77=""),"",H77-I77)</f>
        <v>4</v>
      </c>
      <c r="K77" s="34" t="n">
        <f aca="false">IFERROR(J77/I77,"")</f>
        <v>0.444444444444444</v>
      </c>
      <c r="L77" s="32" t="n">
        <f aca="false">IFERROR(D77/C77,"")</f>
        <v>68.4772727272727</v>
      </c>
      <c r="M77" s="32" t="n">
        <f aca="false">IFERROR(H77/D77*1000,"")</f>
        <v>2.15731828742118</v>
      </c>
      <c r="N77" s="32" t="n">
        <v>270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-0.224549968963377</v>
      </c>
      <c r="T77" s="16" t="n">
        <f aca="false">IF(OR($G77="",$S77=""),"",$G77-$S77)</f>
        <v>0.430473523095856</v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4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5</v>
      </c>
      <c r="D78" s="32" t="n">
        <v>6796</v>
      </c>
      <c r="E78" s="32" t="n">
        <f aca="true">IF($D78="","",IFERROR(IF(ISBLANK(INDIRECT("'"&amp;$Q$2&amp;"'!D"&amp;ROW())),"",INDIRECT("'"&amp;$Q$2&amp;"'!D"&amp;ROW())),""))</f>
        <v>984</v>
      </c>
      <c r="F78" s="33" t="n">
        <f aca="false">IF(OR(D78="",E78=""),"",D78-E78)</f>
        <v>5812</v>
      </c>
      <c r="G78" s="34" t="n">
        <f aca="false">IFERROR(F78/E78,"")</f>
        <v>5.90650406504065</v>
      </c>
      <c r="H78" s="32" t="n">
        <v>20</v>
      </c>
      <c r="I78" s="32" t="n">
        <f aca="true">IF($H78="","",IFERROR(IF(ISBLANK(INDIRECT("'"&amp;$Q$2&amp;"'!H"&amp;ROW())),"",INDIRECT("'"&amp;$Q$2&amp;"'!H"&amp;ROW())),""))</f>
        <v>17</v>
      </c>
      <c r="J78" s="33" t="n">
        <f aca="false">IF(OR(H78="",I78=""),"",H78-I78)</f>
        <v>3</v>
      </c>
      <c r="K78" s="34" t="n">
        <f aca="false">IFERROR(J78/I78,"")</f>
        <v>0.176470588235294</v>
      </c>
      <c r="L78" s="32" t="n">
        <f aca="false">IFERROR(D78/C78,"")</f>
        <v>1359.2</v>
      </c>
      <c r="M78" s="32" t="n">
        <f aca="false">IFERROR(H78/D78*1000,"")</f>
        <v>2.94290759270159</v>
      </c>
      <c r="N78" s="32" t="n">
        <v>207</v>
      </c>
      <c r="O78" s="33" t="n">
        <f aca="true">IFERROR(IF(OR(N78="",ISBLANK(INDIRECT("'"&amp;$Q$2&amp;"'!N"&amp;ROW()))),"",N78-INDIRECT("'"&amp;$Q$2&amp;"'!N"&amp;ROW())),"")</f>
        <v>13</v>
      </c>
      <c r="P78" s="3"/>
      <c r="Q78" s="3"/>
      <c r="R78" s="3"/>
      <c r="S78" s="15" t="n">
        <f aca="true">IFERROR(IF(ISBLANK(INDIRECT("'"&amp;$Q$2&amp;"'!G"&amp;ROW())),"",INDIRECT("'"&amp;$Q$2&amp;"'!G"&amp;ROW())),"")</f>
        <v>0.214814814814815</v>
      </c>
      <c r="T78" s="16" t="n">
        <f aca="false">IF(OR($G78="",$S78=""),"",$G78-$S78)</f>
        <v>5.69168925022584</v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9</v>
      </c>
      <c r="X78" s="17" t="n">
        <f aca="false">IF(OR($O78="",$W78=""),"",$O78-$W78)</f>
        <v>4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65</v>
      </c>
      <c r="E79" s="32" t="n">
        <f aca="true">IF($D79="","",IFERROR(IF(ISBLANK(INDIRECT("'"&amp;$Q$2&amp;"'!D"&amp;ROW())),"",INDIRECT("'"&amp;$Q$2&amp;"'!D"&amp;ROW())),""))</f>
        <v>102</v>
      </c>
      <c r="F79" s="33" t="n">
        <f aca="false">IF(OR(D79="",E79=""),"",D79-E79)</f>
        <v>-37</v>
      </c>
      <c r="G79" s="34" t="n">
        <f aca="false">IFERROR(F79/E79,"")</f>
        <v>-0.362745098039216</v>
      </c>
      <c r="H79" s="32" t="n">
        <v>0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0</v>
      </c>
      <c r="K79" s="34" t="str">
        <f aca="false">IFERROR(J79/I79,"")</f>
        <v/>
      </c>
      <c r="L79" s="32" t="n">
        <f aca="false">IFERROR(D79/C79,"")</f>
        <v>16.25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-0.346153846153846</v>
      </c>
      <c r="T79" s="16" t="n">
        <f aca="false">IF(OR($G79="",$S79=""),"",$G79-$S79)</f>
        <v>-0.0165912518853695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101</v>
      </c>
      <c r="D80" s="32" t="n">
        <v>173873</v>
      </c>
      <c r="E80" s="32" t="n">
        <f aca="true">IF($D80="","",IFERROR(IF(ISBLANK(INDIRECT("'"&amp;$Q$2&amp;"'!D"&amp;ROW())),"",INDIRECT("'"&amp;$Q$2&amp;"'!D"&amp;ROW())),""))</f>
        <v>207073</v>
      </c>
      <c r="F80" s="33" t="n">
        <f aca="false">IF(OR(D80="",E80=""),"",D80-E80)</f>
        <v>-33200</v>
      </c>
      <c r="G80" s="34" t="n">
        <f aca="false">IFERROR(F80/E80,"")</f>
        <v>-0.160329931956363</v>
      </c>
      <c r="H80" s="32" t="n">
        <v>1956</v>
      </c>
      <c r="I80" s="32" t="n">
        <f aca="true">IF($H80="","",IFERROR(IF(ISBLANK(INDIRECT("'"&amp;$Q$2&amp;"'!H"&amp;ROW())),"",INDIRECT("'"&amp;$Q$2&amp;"'!H"&amp;ROW())),""))</f>
        <v>2041</v>
      </c>
      <c r="J80" s="33" t="n">
        <f aca="false">IF(OR(H80="",I80=""),"",H80-I80)</f>
        <v>-85</v>
      </c>
      <c r="K80" s="34" t="n">
        <f aca="false">IFERROR(J80/I80,"")</f>
        <v>-0.0416462518373346</v>
      </c>
      <c r="L80" s="32" t="n">
        <f aca="false">IFERROR(D80/C80,"")</f>
        <v>1721.51485148515</v>
      </c>
      <c r="M80" s="32" t="n">
        <f aca="false">IFERROR(H80/D80*1000,"")</f>
        <v>11.2495902181477</v>
      </c>
      <c r="N80" s="32" t="n">
        <v>4314</v>
      </c>
      <c r="O80" s="33" t="n">
        <f aca="true">IFERROR(IF(OR(N80="",ISBLANK(INDIRECT("'"&amp;$Q$2&amp;"'!N"&amp;ROW()))),"",N80-INDIRECT("'"&amp;$Q$2&amp;"'!N"&amp;ROW())),"")</f>
        <v>225</v>
      </c>
      <c r="P80" s="3"/>
      <c r="Q80" s="3"/>
      <c r="R80" s="3"/>
      <c r="S80" s="15" t="n">
        <f aca="true">IFERROR(IF(ISBLANK(INDIRECT("'"&amp;$Q$2&amp;"'!G"&amp;ROW())),"",INDIRECT("'"&amp;$Q$2&amp;"'!G"&amp;ROW())),"")</f>
        <v>0.459463078733886</v>
      </c>
      <c r="T80" s="16" t="n">
        <f aca="false">IF(OR($G80="",$S80=""),"",$G80-$S80)</f>
        <v>-0.61979301069025</v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315</v>
      </c>
      <c r="X80" s="17" t="n">
        <f aca="false">IF(OR($O80="",$W80=""),"",$O80-$W80)</f>
        <v>-90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99</v>
      </c>
      <c r="D81" s="32" t="n">
        <v>80926</v>
      </c>
      <c r="E81" s="32" t="n">
        <f aca="true">IF($D81="","",IFERROR(IF(ISBLANK(INDIRECT("'"&amp;$Q$2&amp;"'!D"&amp;ROW())),"",INDIRECT("'"&amp;$Q$2&amp;"'!D"&amp;ROW())),""))</f>
        <v>88661</v>
      </c>
      <c r="F81" s="33" t="n">
        <f aca="false">IF(OR(D81="",E81=""),"",D81-E81)</f>
        <v>-7735</v>
      </c>
      <c r="G81" s="34" t="n">
        <f aca="false">IFERROR(F81/E81,"")</f>
        <v>-0.0872424177485027</v>
      </c>
      <c r="H81" s="32" t="n">
        <v>2027</v>
      </c>
      <c r="I81" s="32" t="n">
        <f aca="true">IF($H81="","",IFERROR(IF(ISBLANK(INDIRECT("'"&amp;$Q$2&amp;"'!H"&amp;ROW())),"",INDIRECT("'"&amp;$Q$2&amp;"'!H"&amp;ROW())),""))</f>
        <v>2596</v>
      </c>
      <c r="J81" s="33" t="n">
        <f aca="false">IF(OR(H81="",I81=""),"",H81-I81)</f>
        <v>-569</v>
      </c>
      <c r="K81" s="34" t="n">
        <f aca="false">IFERROR(J81/I81,"")</f>
        <v>-0.219183359013867</v>
      </c>
      <c r="L81" s="32" t="n">
        <f aca="false">IFERROR(D81/C81,"")</f>
        <v>817.434343434343</v>
      </c>
      <c r="M81" s="32" t="n">
        <f aca="false">IFERROR(H81/D81*1000,"")</f>
        <v>25.0475743271631</v>
      </c>
      <c r="N81" s="32" t="n">
        <v>2431</v>
      </c>
      <c r="O81" s="33" t="n">
        <f aca="true">IFERROR(IF(OR(N81="",ISBLANK(INDIRECT("'"&amp;$Q$2&amp;"'!N"&amp;ROW()))),"",N81-INDIRECT("'"&amp;$Q$2&amp;"'!N"&amp;ROW())),"")</f>
        <v>261</v>
      </c>
      <c r="P81" s="3"/>
      <c r="Q81" s="3"/>
      <c r="R81" s="3"/>
      <c r="S81" s="15" t="n">
        <f aca="true">IFERROR(IF(ISBLANK(INDIRECT("'"&amp;$Q$2&amp;"'!G"&amp;ROW())),"",INDIRECT("'"&amp;$Q$2&amp;"'!G"&amp;ROW())),"")</f>
        <v>0.253761524973132</v>
      </c>
      <c r="T81" s="16" t="n">
        <f aca="false">IF(OR($G81="",$S81=""),"",$G81-$S81)</f>
        <v>-0.341003942721635</v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217</v>
      </c>
      <c r="X81" s="17" t="n">
        <f aca="false">IF(OR($O81="",$W81=""),"",$O81-$W81)</f>
        <v>44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102</v>
      </c>
      <c r="D82" s="32" t="n">
        <v>165424</v>
      </c>
      <c r="E82" s="32" t="n">
        <f aca="true">IF($D82="","",IFERROR(IF(ISBLANK(INDIRECT("'"&amp;$Q$2&amp;"'!D"&amp;ROW())),"",INDIRECT("'"&amp;$Q$2&amp;"'!D"&amp;ROW())),""))</f>
        <v>188707</v>
      </c>
      <c r="F82" s="33" t="n">
        <f aca="false">IF(OR(D82="",E82=""),"",D82-E82)</f>
        <v>-23283</v>
      </c>
      <c r="G82" s="34" t="n">
        <f aca="false">IFERROR(F82/E82,"")</f>
        <v>-0.123381750544495</v>
      </c>
      <c r="H82" s="32" t="n">
        <v>3383</v>
      </c>
      <c r="I82" s="32" t="n">
        <f aca="true">IF($H82="","",IFERROR(IF(ISBLANK(INDIRECT("'"&amp;$Q$2&amp;"'!H"&amp;ROW())),"",INDIRECT("'"&amp;$Q$2&amp;"'!H"&amp;ROW())),""))</f>
        <v>4640</v>
      </c>
      <c r="J82" s="33" t="n">
        <f aca="false">IF(OR(H82="",I82=""),"",H82-I82)</f>
        <v>-1257</v>
      </c>
      <c r="K82" s="34" t="n">
        <f aca="false">IFERROR(J82/I82,"")</f>
        <v>-0.270905172413793</v>
      </c>
      <c r="L82" s="32" t="n">
        <f aca="false">IFERROR(D82/C82,"")</f>
        <v>1621.80392156863</v>
      </c>
      <c r="M82" s="32" t="n">
        <f aca="false">IFERROR(H82/D82*1000,"")</f>
        <v>20.4504787697069</v>
      </c>
      <c r="N82" s="32" t="n">
        <v>3658</v>
      </c>
      <c r="O82" s="33" t="n">
        <f aca="true">IFERROR(IF(OR(N82="",ISBLANK(INDIRECT("'"&amp;$Q$2&amp;"'!N"&amp;ROW()))),"",N82-INDIRECT("'"&amp;$Q$2&amp;"'!N"&amp;ROW())),"")</f>
        <v>41</v>
      </c>
      <c r="P82" s="3"/>
      <c r="Q82" s="3"/>
      <c r="R82" s="3"/>
      <c r="S82" s="15" t="n">
        <f aca="true">IFERROR(IF(ISBLANK(INDIRECT("'"&amp;$Q$2&amp;"'!G"&amp;ROW())),"",INDIRECT("'"&amp;$Q$2&amp;"'!G"&amp;ROW())),"")</f>
        <v>0.401036446384688</v>
      </c>
      <c r="T82" s="16" t="n">
        <f aca="false">IF(OR($G82="",$S82=""),"",$G82-$S82)</f>
        <v>-0.524418196929183</v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108</v>
      </c>
      <c r="X82" s="17" t="n">
        <f aca="false">IF(OR($O82="",$W82=""),"",$O82-$W82)</f>
        <v>-67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151</v>
      </c>
      <c r="D83" s="32" t="n">
        <v>97765</v>
      </c>
      <c r="E83" s="32" t="n">
        <f aca="true">IF($D83="","",IFERROR(IF(ISBLANK(INDIRECT("'"&amp;$Q$2&amp;"'!D"&amp;ROW())),"",INDIRECT("'"&amp;$Q$2&amp;"'!D"&amp;ROW())),""))</f>
        <v>63728</v>
      </c>
      <c r="F83" s="33" t="n">
        <f aca="false">IF(OR(D83="",E83=""),"",D83-E83)</f>
        <v>34037</v>
      </c>
      <c r="G83" s="34" t="n">
        <f aca="false">IFERROR(F83/E83,"")</f>
        <v>0.534098041677128</v>
      </c>
      <c r="H83" s="32" t="n">
        <v>764</v>
      </c>
      <c r="I83" s="32" t="n">
        <f aca="true">IF($H83="","",IFERROR(IF(ISBLANK(INDIRECT("'"&amp;$Q$2&amp;"'!H"&amp;ROW())),"",INDIRECT("'"&amp;$Q$2&amp;"'!H"&amp;ROW())),""))</f>
        <v>586</v>
      </c>
      <c r="J83" s="33" t="n">
        <f aca="false">IF(OR(H83="",I83=""),"",H83-I83)</f>
        <v>178</v>
      </c>
      <c r="K83" s="34" t="n">
        <f aca="false">IFERROR(J83/I83,"")</f>
        <v>0.303754266211604</v>
      </c>
      <c r="L83" s="32" t="n">
        <f aca="false">IFERROR(D83/C83,"")</f>
        <v>647.450331125828</v>
      </c>
      <c r="M83" s="32" t="n">
        <f aca="false">IFERROR(H83/D83*1000,"")</f>
        <v>7.81465759729965</v>
      </c>
      <c r="N83" s="32" t="n">
        <v>1782</v>
      </c>
      <c r="O83" s="33" t="n">
        <f aca="true">IFERROR(IF(OR(N83="",ISBLANK(INDIRECT("'"&amp;$Q$2&amp;"'!N"&amp;ROW()))),"",N83-INDIRECT("'"&amp;$Q$2&amp;"'!N"&amp;ROW())),"")</f>
        <v>186</v>
      </c>
      <c r="P83" s="3"/>
      <c r="Q83" s="3"/>
      <c r="R83" s="3"/>
      <c r="S83" s="15" t="n">
        <f aca="true">IFERROR(IF(ISBLANK(INDIRECT("'"&amp;$Q$2&amp;"'!G"&amp;ROW())),"",INDIRECT("'"&amp;$Q$2&amp;"'!G"&amp;ROW())),"")</f>
        <v>0.127689694224236</v>
      </c>
      <c r="T83" s="16" t="n">
        <f aca="false">IF(OR($G83="",$S83=""),"",$G83-$S83)</f>
        <v>0.406408347452892</v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77</v>
      </c>
      <c r="X83" s="17" t="n">
        <f aca="false">IF(OR($O83="",$W83=""),"",$O83-$W83)</f>
        <v>109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24831</v>
      </c>
      <c r="E84" s="32" t="n">
        <f aca="true">IF($D84="","",IFERROR(IF(ISBLANK(INDIRECT("'"&amp;$Q$2&amp;"'!D"&amp;ROW())),"",INDIRECT("'"&amp;$Q$2&amp;"'!D"&amp;ROW())),""))</f>
        <v>25850</v>
      </c>
      <c r="F84" s="33" t="n">
        <f aca="false">IF(OR(D84="",E84=""),"",D84-E84)</f>
        <v>-1019</v>
      </c>
      <c r="G84" s="34" t="n">
        <f aca="false">IFERROR(F84/E84,"")</f>
        <v>-0.0394197292069633</v>
      </c>
      <c r="H84" s="32" t="n">
        <v>265</v>
      </c>
      <c r="I84" s="32" t="n">
        <f aca="true">IF($H84="","",IFERROR(IF(ISBLANK(INDIRECT("'"&amp;$Q$2&amp;"'!H"&amp;ROW())),"",INDIRECT("'"&amp;$Q$2&amp;"'!H"&amp;ROW())),""))</f>
        <v>336</v>
      </c>
      <c r="J84" s="33" t="n">
        <f aca="false">IF(OR(H84="",I84=""),"",H84-I84)</f>
        <v>-71</v>
      </c>
      <c r="K84" s="34" t="n">
        <f aca="false">IFERROR(J84/I84,"")</f>
        <v>-0.211309523809524</v>
      </c>
      <c r="L84" s="32" t="n">
        <f aca="false">IFERROR(D84/C84,"")</f>
        <v>248.31</v>
      </c>
      <c r="M84" s="32" t="n">
        <f aca="false">IFERROR(H84/D84*1000,"")</f>
        <v>10.6721436913535</v>
      </c>
      <c r="N84" s="32" t="n">
        <v>735</v>
      </c>
      <c r="O84" s="33" t="n">
        <f aca="true">IFERROR(IF(OR(N84="",ISBLANK(INDIRECT("'"&amp;$Q$2&amp;"'!N"&amp;ROW()))),"",N84-INDIRECT("'"&amp;$Q$2&amp;"'!N"&amp;ROW())),"")</f>
        <v>6</v>
      </c>
      <c r="P84" s="3"/>
      <c r="Q84" s="3"/>
      <c r="R84" s="3"/>
      <c r="S84" s="15" t="n">
        <f aca="true">IFERROR(IF(ISBLANK(INDIRECT("'"&amp;$Q$2&amp;"'!G"&amp;ROW())),"",INDIRECT("'"&amp;$Q$2&amp;"'!G"&amp;ROW())),"")</f>
        <v>0.0674319692777801</v>
      </c>
      <c r="T84" s="16" t="n">
        <f aca="false">IF(OR($G84="",$S84=""),"",$G84-$S84)</f>
        <v>-0.106851698484743</v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11</v>
      </c>
      <c r="X84" s="17" t="n">
        <f aca="false">IF(OR($O84="",$W84=""),"",$O84-$W84)</f>
        <v>-5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76</v>
      </c>
      <c r="D85" s="32" t="n">
        <v>10703</v>
      </c>
      <c r="E85" s="32" t="n">
        <f aca="true">IF($D85="","",IFERROR(IF(ISBLANK(INDIRECT("'"&amp;$Q$2&amp;"'!D"&amp;ROW())),"",INDIRECT("'"&amp;$Q$2&amp;"'!D"&amp;ROW())),""))</f>
        <v>8238</v>
      </c>
      <c r="F85" s="33" t="n">
        <f aca="false">IF(OR(D85="",E85=""),"",D85-E85)</f>
        <v>2465</v>
      </c>
      <c r="G85" s="34" t="n">
        <f aca="false">IFERROR(F85/E85,"")</f>
        <v>0.299223112405924</v>
      </c>
      <c r="H85" s="32" t="n">
        <v>870</v>
      </c>
      <c r="I85" s="32" t="n">
        <f aca="true">IF($H85="","",IFERROR(IF(ISBLANK(INDIRECT("'"&amp;$Q$2&amp;"'!H"&amp;ROW())),"",INDIRECT("'"&amp;$Q$2&amp;"'!H"&amp;ROW())),""))</f>
        <v>705</v>
      </c>
      <c r="J85" s="33" t="n">
        <f aca="false">IF(OR(H85="",I85=""),"",H85-I85)</f>
        <v>165</v>
      </c>
      <c r="K85" s="34" t="n">
        <f aca="false">IFERROR(J85/I85,"")</f>
        <v>0.234042553191489</v>
      </c>
      <c r="L85" s="32" t="n">
        <f aca="false">IFERROR(D85/C85,"")</f>
        <v>140.828947368421</v>
      </c>
      <c r="M85" s="32" t="n">
        <f aca="false">IFERROR(H85/D85*1000,"")</f>
        <v>81.2856208539662</v>
      </c>
      <c r="N85" s="32" t="n">
        <v>282</v>
      </c>
      <c r="O85" s="33" t="n">
        <f aca="true">IFERROR(IF(OR(N85="",ISBLANK(INDIRECT("'"&amp;$Q$2&amp;"'!N"&amp;ROW()))),"",N85-INDIRECT("'"&amp;$Q$2&amp;"'!N"&amp;ROW())),"")</f>
        <v>19</v>
      </c>
      <c r="P85" s="3"/>
      <c r="Q85" s="3"/>
      <c r="R85" s="3"/>
      <c r="S85" s="15" t="n">
        <f aca="true">IFERROR(IF(ISBLANK(INDIRECT("'"&amp;$Q$2&amp;"'!G"&amp;ROW())),"",INDIRECT("'"&amp;$Q$2&amp;"'!G"&amp;ROW())),"")</f>
        <v>0.0312969454181272</v>
      </c>
      <c r="T85" s="16" t="n">
        <f aca="false">IF(OR($G85="",$S85=""),"",$G85-$S85)</f>
        <v>0.267926166987797</v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6</v>
      </c>
      <c r="X85" s="17" t="n">
        <f aca="false">IF(OR($O85="",$W85=""),"",$O85-$W85)</f>
        <v>13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60</v>
      </c>
      <c r="D86" s="32" t="n">
        <v>50438</v>
      </c>
      <c r="E86" s="32" t="n">
        <f aca="true">IF($D86="","",IFERROR(IF(ISBLANK(INDIRECT("'"&amp;$Q$2&amp;"'!D"&amp;ROW())),"",INDIRECT("'"&amp;$Q$2&amp;"'!D"&amp;ROW())),""))</f>
        <v>76602</v>
      </c>
      <c r="F86" s="33" t="n">
        <f aca="false">IF(OR(D86="",E86=""),"",D86-E86)</f>
        <v>-26164</v>
      </c>
      <c r="G86" s="34" t="n">
        <f aca="false">IFERROR(F86/E86,"")</f>
        <v>-0.341557661679852</v>
      </c>
      <c r="H86" s="32" t="n">
        <v>540</v>
      </c>
      <c r="I86" s="32" t="n">
        <f aca="true">IF($H86="","",IFERROR(IF(ISBLANK(INDIRECT("'"&amp;$Q$2&amp;"'!H"&amp;ROW())),"",INDIRECT("'"&amp;$Q$2&amp;"'!H"&amp;ROW())),""))</f>
        <v>778</v>
      </c>
      <c r="J86" s="33" t="n">
        <f aca="false">IF(OR(H86="",I86=""),"",H86-I86)</f>
        <v>-238</v>
      </c>
      <c r="K86" s="34" t="n">
        <f aca="false">IFERROR(J86/I86,"")</f>
        <v>-0.305912596401028</v>
      </c>
      <c r="L86" s="32" t="n">
        <f aca="false">IFERROR(D86/C86,"")</f>
        <v>840.633333333333</v>
      </c>
      <c r="M86" s="32" t="n">
        <f aca="false">IFERROR(H86/D86*1000,"")</f>
        <v>10.7062135691344</v>
      </c>
      <c r="N86" s="32" t="n">
        <v>1890</v>
      </c>
      <c r="O86" s="33" t="n">
        <f aca="true">IFERROR(IF(OR(N86="",ISBLANK(INDIRECT("'"&amp;$Q$2&amp;"'!N"&amp;ROW()))),"",N86-INDIRECT("'"&amp;$Q$2&amp;"'!N"&amp;ROW())),"")</f>
        <v>4</v>
      </c>
      <c r="P86" s="3"/>
      <c r="Q86" s="3"/>
      <c r="R86" s="3"/>
      <c r="S86" s="15" t="n">
        <f aca="true">IFERROR(IF(ISBLANK(INDIRECT("'"&amp;$Q$2&amp;"'!G"&amp;ROW())),"",INDIRECT("'"&amp;$Q$2&amp;"'!G"&amp;ROW())),"")</f>
        <v>0.689538807649044</v>
      </c>
      <c r="T86" s="16" t="n">
        <f aca="false">IF(OR($G86="",$S86=""),"",$G86-$S86)</f>
        <v>-1.0310964693289</v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48</v>
      </c>
      <c r="X86" s="17" t="n">
        <f aca="false">IF(OR($O86="",$W86=""),"",$O86-$W86)</f>
        <v>-44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63</v>
      </c>
      <c r="D87" s="32" t="n">
        <v>13795</v>
      </c>
      <c r="E87" s="32" t="n">
        <f aca="true">IF($D87="","",IFERROR(IF(ISBLANK(INDIRECT("'"&amp;$Q$2&amp;"'!D"&amp;ROW())),"",INDIRECT("'"&amp;$Q$2&amp;"'!D"&amp;ROW())),""))</f>
        <v>9916</v>
      </c>
      <c r="F87" s="33" t="n">
        <f aca="false">IF(OR(D87="",E87=""),"",D87-E87)</f>
        <v>3879</v>
      </c>
      <c r="G87" s="34" t="n">
        <f aca="false">IFERROR(F87/E87,"")</f>
        <v>0.391185962081485</v>
      </c>
      <c r="H87" s="32" t="n">
        <v>71</v>
      </c>
      <c r="I87" s="32" t="n">
        <f aca="true">IF($H87="","",IFERROR(IF(ISBLANK(INDIRECT("'"&amp;$Q$2&amp;"'!H"&amp;ROW())),"",INDIRECT("'"&amp;$Q$2&amp;"'!H"&amp;ROW())),""))</f>
        <v>30</v>
      </c>
      <c r="J87" s="33" t="n">
        <f aca="false">IF(OR(H87="",I87=""),"",H87-I87)</f>
        <v>41</v>
      </c>
      <c r="K87" s="34" t="n">
        <f aca="false">IFERROR(J87/I87,"")</f>
        <v>1.36666666666667</v>
      </c>
      <c r="L87" s="32" t="n">
        <f aca="false">IFERROR(D87/C87,"")</f>
        <v>218.968253968254</v>
      </c>
      <c r="M87" s="32" t="n">
        <f aca="false">IFERROR(H87/D87*1000,"")</f>
        <v>5.14679231605654</v>
      </c>
      <c r="N87" s="32" t="n">
        <v>494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-0.0366268337705237</v>
      </c>
      <c r="T87" s="16" t="n">
        <f aca="false">IF(OR($G87="",$S87=""),"",$G87-$S87)</f>
        <v>0.427812795852008</v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9</v>
      </c>
      <c r="X87" s="17" t="n">
        <f aca="false">IF(OR($O87="",$W87=""),"",$O87-$W87)</f>
        <v>1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33</v>
      </c>
      <c r="D88" s="32" t="n">
        <v>6828</v>
      </c>
      <c r="E88" s="32" t="n">
        <f aca="true">IF($D88="","",IFERROR(IF(ISBLANK(INDIRECT("'"&amp;$Q$2&amp;"'!D"&amp;ROW())),"",INDIRECT("'"&amp;$Q$2&amp;"'!D"&amp;ROW())),""))</f>
        <v>6957</v>
      </c>
      <c r="F88" s="33" t="n">
        <f aca="false">IF(OR(D88="",E88=""),"",D88-E88)</f>
        <v>-129</v>
      </c>
      <c r="G88" s="34" t="n">
        <f aca="false">IFERROR(F88/E88,"")</f>
        <v>-0.0185424752048297</v>
      </c>
      <c r="H88" s="32" t="n">
        <v>73</v>
      </c>
      <c r="I88" s="32" t="n">
        <f aca="true">IF($H88="","",IFERROR(IF(ISBLANK(INDIRECT("'"&amp;$Q$2&amp;"'!H"&amp;ROW())),"",INDIRECT("'"&amp;$Q$2&amp;"'!H"&amp;ROW())),""))</f>
        <v>66</v>
      </c>
      <c r="J88" s="33" t="n">
        <f aca="false">IF(OR(H88="",I88=""),"",H88-I88)</f>
        <v>7</v>
      </c>
      <c r="K88" s="34" t="n">
        <f aca="false">IFERROR(J88/I88,"")</f>
        <v>0.106060606060606</v>
      </c>
      <c r="L88" s="32" t="n">
        <f aca="false">IFERROR(D88/C88,"")</f>
        <v>206.909090909091</v>
      </c>
      <c r="M88" s="32" t="n">
        <f aca="false">IFERROR(H88/D88*1000,"")</f>
        <v>10.6912712360867</v>
      </c>
      <c r="N88" s="32" t="n">
        <v>422</v>
      </c>
      <c r="O88" s="33" t="n">
        <f aca="true">IFERROR(IF(OR(N88="",ISBLANK(INDIRECT("'"&amp;$Q$2&amp;"'!N"&amp;ROW()))),"",N88-INDIRECT("'"&amp;$Q$2&amp;"'!N"&amp;ROW())),"")</f>
        <v>6</v>
      </c>
      <c r="P88" s="3"/>
      <c r="Q88" s="3"/>
      <c r="R88" s="3"/>
      <c r="S88" s="15" t="n">
        <f aca="true">IFERROR(IF(ISBLANK(INDIRECT("'"&amp;$Q$2&amp;"'!G"&amp;ROW())),"",INDIRECT("'"&amp;$Q$2&amp;"'!G"&amp;ROW())),"")</f>
        <v>0.112585958739805</v>
      </c>
      <c r="T88" s="16" t="n">
        <f aca="false">IF(OR($G88="",$S88=""),"",$G88-$S88)</f>
        <v>-0.131128433944635</v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14</v>
      </c>
      <c r="X88" s="17" t="n">
        <f aca="false">IF(OR($O88="",$W88=""),"",$O88-$W88)</f>
        <v>-8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62</v>
      </c>
      <c r="D89" s="32" t="n">
        <v>10073</v>
      </c>
      <c r="E89" s="32" t="n">
        <f aca="true">IF($D89="","",IFERROR(IF(ISBLANK(INDIRECT("'"&amp;$Q$2&amp;"'!D"&amp;ROW())),"",INDIRECT("'"&amp;$Q$2&amp;"'!D"&amp;ROW())),""))</f>
        <v>8025</v>
      </c>
      <c r="F89" s="33" t="n">
        <f aca="false">IF(OR(D89="",E89=""),"",D89-E89)</f>
        <v>2048</v>
      </c>
      <c r="G89" s="34" t="n">
        <f aca="false">IFERROR(F89/E89,"")</f>
        <v>0.255202492211838</v>
      </c>
      <c r="H89" s="32" t="n">
        <v>219</v>
      </c>
      <c r="I89" s="32" t="n">
        <f aca="true">IF($H89="","",IFERROR(IF(ISBLANK(INDIRECT("'"&amp;$Q$2&amp;"'!H"&amp;ROW())),"",INDIRECT("'"&amp;$Q$2&amp;"'!H"&amp;ROW())),""))</f>
        <v>149</v>
      </c>
      <c r="J89" s="33" t="n">
        <f aca="false">IF(OR(H89="",I89=""),"",H89-I89)</f>
        <v>70</v>
      </c>
      <c r="K89" s="34" t="n">
        <f aca="false">IFERROR(J89/I89,"")</f>
        <v>0.469798657718121</v>
      </c>
      <c r="L89" s="32" t="n">
        <f aca="false">IFERROR(D89/C89,"")</f>
        <v>162.467741935484</v>
      </c>
      <c r="M89" s="32" t="n">
        <f aca="false">IFERROR(H89/D89*1000,"")</f>
        <v>21.7412885932691</v>
      </c>
      <c r="N89" s="32" t="n">
        <v>442</v>
      </c>
      <c r="O89" s="33" t="n">
        <f aca="true">IFERROR(IF(OR(N89="",ISBLANK(INDIRECT("'"&amp;$Q$2&amp;"'!N"&amp;ROW()))),"",N89-INDIRECT("'"&amp;$Q$2&amp;"'!N"&amp;ROW())),"")</f>
        <v>0</v>
      </c>
      <c r="P89" s="3"/>
      <c r="Q89" s="3"/>
      <c r="R89" s="3"/>
      <c r="S89" s="15" t="n">
        <f aca="true">IFERROR(IF(ISBLANK(INDIRECT("'"&amp;$Q$2&amp;"'!G"&amp;ROW())),"",INDIRECT("'"&amp;$Q$2&amp;"'!G"&amp;ROW())),"")</f>
        <v>-0.169168650999068</v>
      </c>
      <c r="T89" s="16" t="n">
        <f aca="false">IF(OR($G89="",$S89=""),"",$G89-$S89)</f>
        <v>0.424371143210906</v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70</v>
      </c>
      <c r="D90" s="32" t="n">
        <v>40361</v>
      </c>
      <c r="E90" s="32" t="n">
        <f aca="true">IF($D90="","",IFERROR(IF(ISBLANK(INDIRECT("'"&amp;$Q$2&amp;"'!D"&amp;ROW())),"",INDIRECT("'"&amp;$Q$2&amp;"'!D"&amp;ROW())),""))</f>
        <v>26834</v>
      </c>
      <c r="F90" s="33" t="n">
        <f aca="false">IF(OR(D90="",E90=""),"",D90-E90)</f>
        <v>13527</v>
      </c>
      <c r="G90" s="34" t="n">
        <f aca="false">IFERROR(F90/E90,"")</f>
        <v>0.504099277036595</v>
      </c>
      <c r="H90" s="32" t="n">
        <v>1021</v>
      </c>
      <c r="I90" s="32" t="n">
        <f aca="true">IF($H90="","",IFERROR(IF(ISBLANK(INDIRECT("'"&amp;$Q$2&amp;"'!H"&amp;ROW())),"",INDIRECT("'"&amp;$Q$2&amp;"'!H"&amp;ROW())),""))</f>
        <v>578</v>
      </c>
      <c r="J90" s="33" t="n">
        <f aca="false">IF(OR(H90="",I90=""),"",H90-I90)</f>
        <v>443</v>
      </c>
      <c r="K90" s="34" t="n">
        <f aca="false">IFERROR(J90/I90,"")</f>
        <v>0.76643598615917</v>
      </c>
      <c r="L90" s="32" t="n">
        <f aca="false">IFERROR(D90/C90,"")</f>
        <v>576.585714285714</v>
      </c>
      <c r="M90" s="32" t="n">
        <f aca="false">IFERROR(H90/D90*1000,"")</f>
        <v>25.2966973068061</v>
      </c>
      <c r="N90" s="32" t="n">
        <v>1471</v>
      </c>
      <c r="O90" s="33" t="n">
        <f aca="true">IFERROR(IF(OR(N90="",ISBLANK(INDIRECT("'"&amp;$Q$2&amp;"'!N"&amp;ROW()))),"",N90-INDIRECT("'"&amp;$Q$2&amp;"'!N"&amp;ROW())),"")</f>
        <v>25</v>
      </c>
      <c r="P90" s="3"/>
      <c r="Q90" s="3"/>
      <c r="R90" s="3"/>
      <c r="S90" s="15" t="n">
        <f aca="true">IFERROR(IF(ISBLANK(INDIRECT("'"&amp;$Q$2&amp;"'!G"&amp;ROW())),"",INDIRECT("'"&amp;$Q$2&amp;"'!G"&amp;ROW())),"")</f>
        <v>-0.0866575901974132</v>
      </c>
      <c r="T90" s="16" t="n">
        <f aca="false">IF(OR($G90="",$S90=""),"",$G90-$S90)</f>
        <v>0.590756867234009</v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5</v>
      </c>
      <c r="X90" s="17" t="n">
        <f aca="false">IF(OR($O90="",$W90=""),"",$O90-$W90)</f>
        <v>20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67</v>
      </c>
      <c r="D91" s="32" t="n">
        <v>78063</v>
      </c>
      <c r="E91" s="32" t="n">
        <f aca="true">IF($D91="","",IFERROR(IF(ISBLANK(INDIRECT("'"&amp;$Q$2&amp;"'!D"&amp;ROW())),"",INDIRECT("'"&amp;$Q$2&amp;"'!D"&amp;ROW())),""))</f>
        <v>94449</v>
      </c>
      <c r="F91" s="33" t="n">
        <f aca="false">IF(OR(D91="",E91=""),"",D91-E91)</f>
        <v>-16386</v>
      </c>
      <c r="G91" s="34" t="n">
        <f aca="false">IFERROR(F91/E91,"")</f>
        <v>-0.17349045516628</v>
      </c>
      <c r="H91" s="32" t="n">
        <v>946</v>
      </c>
      <c r="I91" s="32" t="n">
        <f aca="true">IF($H91="","",IFERROR(IF(ISBLANK(INDIRECT("'"&amp;$Q$2&amp;"'!H"&amp;ROW())),"",INDIRECT("'"&amp;$Q$2&amp;"'!H"&amp;ROW())),""))</f>
        <v>1355</v>
      </c>
      <c r="J91" s="33" t="n">
        <f aca="false">IF(OR(H91="",I91=""),"",H91-I91)</f>
        <v>-409</v>
      </c>
      <c r="K91" s="34" t="n">
        <f aca="false">IFERROR(J91/I91,"")</f>
        <v>-0.301845018450185</v>
      </c>
      <c r="L91" s="32" t="n">
        <f aca="false">IFERROR(D91/C91,"")</f>
        <v>1165.11940298507</v>
      </c>
      <c r="M91" s="32" t="n">
        <f aca="false">IFERROR(H91/D91*1000,"")</f>
        <v>12.1184171758708</v>
      </c>
      <c r="N91" s="32" t="n">
        <v>2482</v>
      </c>
      <c r="O91" s="33" t="n">
        <f aca="true">IFERROR(IF(OR(N91="",ISBLANK(INDIRECT("'"&amp;$Q$2&amp;"'!N"&amp;ROW()))),"",N91-INDIRECT("'"&amp;$Q$2&amp;"'!N"&amp;ROW())),"")</f>
        <v>72</v>
      </c>
      <c r="P91" s="3"/>
      <c r="Q91" s="3"/>
      <c r="R91" s="3"/>
      <c r="S91" s="15" t="n">
        <f aca="true">IFERROR(IF(ISBLANK(INDIRECT("'"&amp;$Q$2&amp;"'!G"&amp;ROW())),"",INDIRECT("'"&amp;$Q$2&amp;"'!G"&amp;ROW())),"")</f>
        <v>0.361917808219178</v>
      </c>
      <c r="T91" s="16" t="n">
        <f aca="false">IF(OR($G91="",$S91=""),"",$G91-$S91)</f>
        <v>-0.535408263385458</v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201</v>
      </c>
      <c r="X91" s="17" t="n">
        <f aca="false">IF(OR($O91="",$W91=""),"",$O91-$W91)</f>
        <v>-129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38832</v>
      </c>
      <c r="E92" s="32" t="n">
        <f aca="true">IF($D92="","",IFERROR(IF(ISBLANK(INDIRECT("'"&amp;$Q$2&amp;"'!D"&amp;ROW())),"",INDIRECT("'"&amp;$Q$2&amp;"'!D"&amp;ROW())),""))</f>
        <v>36268</v>
      </c>
      <c r="F92" s="33" t="n">
        <f aca="false">IF(OR(D92="",E92=""),"",D92-E92)</f>
        <v>2564</v>
      </c>
      <c r="G92" s="34" t="n">
        <f aca="false">IFERROR(F92/E92,"")</f>
        <v>0.0706959302966803</v>
      </c>
      <c r="H92" s="32" t="n">
        <v>521</v>
      </c>
      <c r="I92" s="32" t="n">
        <f aca="true">IF($H92="","",IFERROR(IF(ISBLANK(INDIRECT("'"&amp;$Q$2&amp;"'!H"&amp;ROW())),"",INDIRECT("'"&amp;$Q$2&amp;"'!H"&amp;ROW())),""))</f>
        <v>555</v>
      </c>
      <c r="J92" s="33" t="n">
        <f aca="false">IF(OR(H92="",I92=""),"",H92-I92)</f>
        <v>-34</v>
      </c>
      <c r="K92" s="34" t="n">
        <f aca="false">IFERROR(J92/I92,"")</f>
        <v>-0.0612612612612613</v>
      </c>
      <c r="L92" s="32" t="n">
        <f aca="false">IFERROR(D92/C92,"")</f>
        <v>539.333333333333</v>
      </c>
      <c r="M92" s="32" t="n">
        <f aca="false">IFERROR(H92/D92*1000,"")</f>
        <v>13.4167696744953</v>
      </c>
      <c r="N92" s="32" t="n">
        <v>1194</v>
      </c>
      <c r="O92" s="33" t="n">
        <f aca="true">IFERROR(IF(OR(N92="",ISBLANK(INDIRECT("'"&amp;$Q$2&amp;"'!N"&amp;ROW()))),"",N92-INDIRECT("'"&amp;$Q$2&amp;"'!N"&amp;ROW())),"")</f>
        <v>48</v>
      </c>
      <c r="P92" s="3"/>
      <c r="Q92" s="3"/>
      <c r="R92" s="3"/>
      <c r="S92" s="15" t="n">
        <f aca="true">IFERROR(IF(ISBLANK(INDIRECT("'"&amp;$Q$2&amp;"'!G"&amp;ROW())),"",INDIRECT("'"&amp;$Q$2&amp;"'!G"&amp;ROW())),"")</f>
        <v>-0.244306461358948</v>
      </c>
      <c r="T92" s="16" t="n">
        <f aca="false">IF(OR($G92="",$S92=""),"",$G92-$S92)</f>
        <v>0.315002391655628</v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136</v>
      </c>
      <c r="X92" s="17" t="n">
        <f aca="false">IF(OR($O92="",$W92=""),"",$O92-$W92)</f>
        <v>-88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14087</v>
      </c>
      <c r="E93" s="32" t="n">
        <f aca="true">IF($D93="","",IFERROR(IF(ISBLANK(INDIRECT("'"&amp;$Q$2&amp;"'!D"&amp;ROW())),"",INDIRECT("'"&amp;$Q$2&amp;"'!D"&amp;ROW())),""))</f>
        <v>17033</v>
      </c>
      <c r="F93" s="33" t="n">
        <f aca="false">IF(OR(D93="",E93=""),"",D93-E93)</f>
        <v>-2946</v>
      </c>
      <c r="G93" s="34" t="n">
        <f aca="false">IFERROR(F93/E93,"")</f>
        <v>-0.172958374919274</v>
      </c>
      <c r="H93" s="32" t="n">
        <v>924</v>
      </c>
      <c r="I93" s="32" t="n">
        <f aca="true">IF($H93="","",IFERROR(IF(ISBLANK(INDIRECT("'"&amp;$Q$2&amp;"'!H"&amp;ROW())),"",INDIRECT("'"&amp;$Q$2&amp;"'!H"&amp;ROW())),""))</f>
        <v>1094</v>
      </c>
      <c r="J93" s="33" t="n">
        <f aca="false">IF(OR(H93="",I93=""),"",H93-I93)</f>
        <v>-170</v>
      </c>
      <c r="K93" s="34" t="n">
        <f aca="false">IFERROR(J93/I93,"")</f>
        <v>-0.155393053016453</v>
      </c>
      <c r="L93" s="32" t="n">
        <f aca="false">IFERROR(D93/C93,"")</f>
        <v>469.566666666667</v>
      </c>
      <c r="M93" s="32" t="n">
        <f aca="false">IFERROR(H93/D93*1000,"")</f>
        <v>65.592390146944</v>
      </c>
      <c r="N93" s="32" t="n">
        <v>1355</v>
      </c>
      <c r="O93" s="33" t="n">
        <f aca="true">IFERROR(IF(OR(N93="",ISBLANK(INDIRECT("'"&amp;$Q$2&amp;"'!N"&amp;ROW()))),"",N93-INDIRECT("'"&amp;$Q$2&amp;"'!N"&amp;ROW())),"")</f>
        <v>6</v>
      </c>
      <c r="P93" s="3"/>
      <c r="Q93" s="3"/>
      <c r="R93" s="3"/>
      <c r="S93" s="15" t="n">
        <f aca="true">IFERROR(IF(ISBLANK(INDIRECT("'"&amp;$Q$2&amp;"'!G"&amp;ROW())),"",INDIRECT("'"&amp;$Q$2&amp;"'!G"&amp;ROW())),"")</f>
        <v>0.702448775612194</v>
      </c>
      <c r="T93" s="16" t="n">
        <f aca="false">IF(OR($G93="",$S93=""),"",$G93-$S93)</f>
        <v>-0.875407150531468</v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18</v>
      </c>
      <c r="X93" s="17" t="n">
        <f aca="false">IF(OR($O93="",$W93=""),"",$O93-$W93)</f>
        <v>-12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1841</v>
      </c>
      <c r="E94" s="32" t="n">
        <f aca="true">IF($D94="","",IFERROR(IF(ISBLANK(INDIRECT("'"&amp;$Q$2&amp;"'!D"&amp;ROW())),"",INDIRECT("'"&amp;$Q$2&amp;"'!D"&amp;ROW())),""))</f>
        <v>856</v>
      </c>
      <c r="F94" s="33" t="n">
        <f aca="false">IF(OR(D94="",E94=""),"",D94-E94)</f>
        <v>985</v>
      </c>
      <c r="G94" s="34" t="n">
        <f aca="false">IFERROR(F94/E94,"")</f>
        <v>1.15070093457944</v>
      </c>
      <c r="H94" s="32" t="n">
        <v>58</v>
      </c>
      <c r="I94" s="32" t="n">
        <f aca="true">IF($H94="","",IFERROR(IF(ISBLANK(INDIRECT("'"&amp;$Q$2&amp;"'!H"&amp;ROW())),"",INDIRECT("'"&amp;$Q$2&amp;"'!H"&amp;ROW())),""))</f>
        <v>46</v>
      </c>
      <c r="J94" s="33" t="n">
        <f aca="false">IF(OR(H94="",I94=""),"",H94-I94)</f>
        <v>12</v>
      </c>
      <c r="K94" s="34" t="n">
        <f aca="false">IFERROR(J94/I94,"")</f>
        <v>0.260869565217391</v>
      </c>
      <c r="L94" s="32" t="n">
        <f aca="false">IFERROR(D94/C94,"")</f>
        <v>230.125</v>
      </c>
      <c r="M94" s="32" t="n">
        <f aca="false">IFERROR(H94/D94*1000,"")</f>
        <v>31.5046170559479</v>
      </c>
      <c r="N94" s="32" t="n">
        <v>234</v>
      </c>
      <c r="O94" s="33" t="n">
        <f aca="true">IFERROR(IF(OR(N94="",ISBLANK(INDIRECT("'"&amp;$Q$2&amp;"'!N"&amp;ROW()))),"",N94-INDIRECT("'"&amp;$Q$2&amp;"'!N"&amp;ROW())),"")</f>
        <v>10</v>
      </c>
      <c r="P94" s="3"/>
      <c r="Q94" s="3"/>
      <c r="R94" s="3"/>
      <c r="S94" s="15" t="n">
        <f aca="true">IFERROR(IF(ISBLANK(INDIRECT("'"&amp;$Q$2&amp;"'!G"&amp;ROW())),"",INDIRECT("'"&amp;$Q$2&amp;"'!G"&amp;ROW())),"")</f>
        <v>0.0780856423173804</v>
      </c>
      <c r="T94" s="16" t="n">
        <f aca="false">IF(OR($G94="",$S94=""),"",$G94-$S94)</f>
        <v>1.07261529226206</v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-2</v>
      </c>
      <c r="X94" s="17" t="n">
        <f aca="false">IF(OR($O94="",$W94=""),"",$O94-$W94)</f>
        <v>12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978</v>
      </c>
      <c r="E95" s="32" t="n">
        <f aca="true">IF($D95="","",IFERROR(IF(ISBLANK(INDIRECT("'"&amp;$Q$2&amp;"'!D"&amp;ROW())),"",INDIRECT("'"&amp;$Q$2&amp;"'!D"&amp;ROW())),""))</f>
        <v>6537</v>
      </c>
      <c r="F95" s="33" t="n">
        <f aca="false">IF(OR(D95="",E95=""),"",D95-E95)</f>
        <v>-5559</v>
      </c>
      <c r="G95" s="34" t="n">
        <f aca="false">IFERROR(F95/E95,"")</f>
        <v>-0.850390087195961</v>
      </c>
      <c r="H95" s="32" t="n">
        <v>54</v>
      </c>
      <c r="I95" s="32" t="n">
        <f aca="true">IF($H95="","",IFERROR(IF(ISBLANK(INDIRECT("'"&amp;$Q$2&amp;"'!H"&amp;ROW())),"",INDIRECT("'"&amp;$Q$2&amp;"'!H"&amp;ROW())),""))</f>
        <v>135</v>
      </c>
      <c r="J95" s="33" t="n">
        <f aca="false">IF(OR(H95="",I95=""),"",H95-I95)</f>
        <v>-81</v>
      </c>
      <c r="K95" s="34" t="n">
        <f aca="false">IFERROR(J95/I95,"")</f>
        <v>-0.6</v>
      </c>
      <c r="L95" s="32" t="n">
        <f aca="false">IFERROR(D95/C95,"")</f>
        <v>163</v>
      </c>
      <c r="M95" s="32" t="n">
        <f aca="false">IFERROR(H95/D95*1000,"")</f>
        <v>55.2147239263804</v>
      </c>
      <c r="N95" s="32" t="n">
        <v>295</v>
      </c>
      <c r="O95" s="33" t="n">
        <f aca="true">IFERROR(IF(OR(N95="",ISBLANK(INDIRECT("'"&amp;$Q$2&amp;"'!N"&amp;ROW()))),"",N95-INDIRECT("'"&amp;$Q$2&amp;"'!N"&amp;ROW())),"")</f>
        <v>17</v>
      </c>
      <c r="P95" s="3"/>
      <c r="Q95" s="3"/>
      <c r="R95" s="3"/>
      <c r="S95" s="15" t="n">
        <f aca="true">IFERROR(IF(ISBLANK(INDIRECT("'"&amp;$Q$2&amp;"'!G"&amp;ROW())),"",INDIRECT("'"&amp;$Q$2&amp;"'!G"&amp;ROW())),"")</f>
        <v>2.34887295081967</v>
      </c>
      <c r="T95" s="16" t="n">
        <f aca="false">IF(OR($G95="",$S95=""),"",$G95-$S95)</f>
        <v>-3.19926303801563</v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30</v>
      </c>
      <c r="X95" s="17" t="n">
        <f aca="false">IF(OR($O95="",$W95=""),"",$O95-$W95)</f>
        <v>-13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1493</v>
      </c>
      <c r="D96" s="36" t="n">
        <f aca="false">SUM(D75:D95)</f>
        <v>1040303</v>
      </c>
      <c r="E96" s="36" t="n">
        <f aca="false">SUM(E75:E95)</f>
        <v>1067860</v>
      </c>
      <c r="F96" s="37" t="n">
        <f aca="false">SUM(F75:F95)</f>
        <v>-27557</v>
      </c>
      <c r="G96" s="38" t="n">
        <f aca="false">IF(C96=0,"",IFERROR(F96/E96,""))</f>
        <v>-0.0258058172419606</v>
      </c>
      <c r="H96" s="36" t="n">
        <f aca="false">SUM(H75:H95)</f>
        <v>15800</v>
      </c>
      <c r="I96" s="36" t="n">
        <f aca="false">SUM(I75:I95)</f>
        <v>17252</v>
      </c>
      <c r="J96" s="37" t="n">
        <f aca="false">SUM(J75:J95)</f>
        <v>-1452</v>
      </c>
      <c r="K96" s="38" t="n">
        <f aca="false">IF(C96=0,"",IFERROR(J96/I96,""))</f>
        <v>-0.0841641548805936</v>
      </c>
      <c r="L96" s="36" t="n">
        <f aca="false">IFERROR(D96/C96,"")</f>
        <v>696.787006028131</v>
      </c>
      <c r="M96" s="36" t="n">
        <f aca="false">IFERROR(H96/D96*1000,"")</f>
        <v>15.1878827610802</v>
      </c>
      <c r="N96" s="36" t="n">
        <f aca="false">SUM(N75:N95)</f>
        <v>30496</v>
      </c>
      <c r="O96" s="37" t="n">
        <f aca="false">SUM(O75:O95)</f>
        <v>1059</v>
      </c>
      <c r="P96" s="3"/>
      <c r="Q96" s="3"/>
      <c r="R96" s="3"/>
      <c r="S96" s="23" t="n">
        <f aca="true">IFERROR(IF(ISBLANK(INDIRECT("'"&amp;$Q$2&amp;"'!G"&amp;ROW())),"",INDIRECT("'"&amp;$Q$2&amp;"'!G"&amp;ROW())),"")</f>
        <v>0.206880573230411</v>
      </c>
      <c r="T96" s="24" t="n">
        <f aca="false">IF(OR($G96="",$S96=""),"",$G96-$S96)</f>
        <v>-0.232686390472372</v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1269</v>
      </c>
      <c r="X96" s="25" t="n">
        <f aca="false">IF(OR(C96=0,$O96="",$W96=""),"",$O96-$W96)</f>
        <v>-210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6643</v>
      </c>
      <c r="D97" s="40" t="n">
        <f aca="false">D30+D51+D74+D96</f>
        <v>5055583</v>
      </c>
      <c r="E97" s="40" t="n">
        <f aca="false">E30+E51+E74+E96</f>
        <v>5046618</v>
      </c>
      <c r="F97" s="41" t="n">
        <f aca="false">F30+F51+F74+F96</f>
        <v>8965</v>
      </c>
      <c r="G97" s="42" t="n">
        <f aca="false">IF(OR(C30=0,C51=0,C74=0,C96=0),"",IFERROR(F97/E97,""))</f>
        <v>0.00177643721002858</v>
      </c>
      <c r="H97" s="40" t="n">
        <f aca="false">H30+H51+H74+H96</f>
        <v>55027</v>
      </c>
      <c r="I97" s="40" t="n">
        <f aca="false">I30+I51+I74+I96</f>
        <v>60007</v>
      </c>
      <c r="J97" s="41" t="n">
        <f aca="false">J30+J51+J74+J96</f>
        <v>-4980</v>
      </c>
      <c r="K97" s="42" t="n">
        <f aca="false">IF(OR(C30=0,C51=0,C74=0,C96=0),"",IFERROR(J97/I97,""))</f>
        <v>-0.0829903177962571</v>
      </c>
      <c r="L97" s="40" t="n">
        <f aca="false">IFERROR(D97/C97,"")</f>
        <v>761.039138943249</v>
      </c>
      <c r="M97" s="40" t="n">
        <f aca="false">IFERROR(H97/D97*1000,"")</f>
        <v>10.8844024517054</v>
      </c>
      <c r="N97" s="40" t="n">
        <f aca="false">N30+N51+N74+N96</f>
        <v>697425</v>
      </c>
      <c r="O97" s="41" t="n">
        <f aca="false">O30+O51+O74+O96</f>
        <v>2041</v>
      </c>
      <c r="P97" s="3"/>
      <c r="Q97" s="3"/>
      <c r="R97" s="3"/>
      <c r="S97" s="23" t="n">
        <f aca="true">IFERROR(IF(ISBLANK(INDIRECT("'"&amp;$Q$2&amp;"'!G"&amp;ROW())),"",INDIRECT("'"&amp;$Q$2&amp;"'!G"&amp;ROW())),"")</f>
        <v>0.0786138584616649</v>
      </c>
      <c r="T97" s="24" t="n">
        <f aca="false">IF(OR($G97="",$S97=""),"",$G97-$S97)</f>
        <v>-0.0768374212516363</v>
      </c>
      <c r="U97" s="23" t="n">
        <f aca="true">IFERROR(IF(ISBLANK(INDIRECT("'"&amp;$Q$2&amp;"'!K"&amp;ROW())),"",INDIRECT("'"&amp;$Q$2&amp;"'!K"&amp;ROW())),"")</f>
        <v>0.114166558060732</v>
      </c>
      <c r="V97" s="24" t="n">
        <f aca="false">IF(OR($K97="",$U97=""),"",$K97-$U97)</f>
        <v>-0.19715687585699</v>
      </c>
      <c r="W97" s="25" t="n">
        <f aca="true">IFERROR(IF(ISBLANK(INDIRECT("'"&amp;$Q$2&amp;"'!O"&amp;ROW())),"",INDIRECT("'"&amp;$Q$2&amp;"'!O"&amp;ROW())),"")</f>
        <v>2224</v>
      </c>
      <c r="X97" s="25" t="n">
        <f aca="false">IF(OR(C30=0,C51=0,C74=0,C96=0),"",$O97-$W97)</f>
        <v>-183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82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400662</v>
      </c>
      <c r="E3" s="32" t="n">
        <f aca="true">IF($D3="","",IFERROR(IF(ISBLANK(INDIRECT("'"&amp;$Q$2&amp;"'!D"&amp;ROW())),"",INDIRECT("'"&amp;$Q$2&amp;"'!D"&amp;ROW())),""))</f>
        <v>420384</v>
      </c>
      <c r="F3" s="33" t="n">
        <f aca="false">IF(OR(D3="",E3=""),"",D3-E3)</f>
        <v>-19722</v>
      </c>
      <c r="G3" s="34" t="n">
        <f aca="false">IFERROR(F3/E3,"")</f>
        <v>-0.046914249828728</v>
      </c>
      <c r="H3" s="32" t="n">
        <v>1937</v>
      </c>
      <c r="I3" s="32" t="n">
        <f aca="true">IF($H3="","",IFERROR(IF(ISBLANK(INDIRECT("'"&amp;$Q$2&amp;"'!H"&amp;ROW())),"",INDIRECT("'"&amp;$Q$2&amp;"'!H"&amp;ROW())),""))</f>
        <v>1760</v>
      </c>
      <c r="J3" s="33" t="n">
        <f aca="false">IF(OR(H3="",I3=""),"",H3-I3)</f>
        <v>177</v>
      </c>
      <c r="K3" s="34" t="n">
        <f aca="false">IFERROR(J3/I3,"")</f>
        <v>0.100568181818182</v>
      </c>
      <c r="L3" s="32" t="n">
        <f aca="false">IFERROR(D3/C3,"")</f>
        <v>3257.41463414634</v>
      </c>
      <c r="M3" s="32" t="n">
        <f aca="false">IFERROR(H3/D3*1000,"")</f>
        <v>4.83449890431336</v>
      </c>
      <c r="N3" s="32" t="n">
        <v>87798</v>
      </c>
      <c r="O3" s="33" t="n">
        <f aca="true">IFERROR(IF(OR(N3="",ISBLANK(INDIRECT("'"&amp;$Q$2&amp;"'!N"&amp;ROW()))),"",N3-INDIRECT("'"&amp;$Q$2&amp;"'!N"&amp;ROW())),"")</f>
        <v>141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n">
        <f aca="true">IFERROR(IF(ISBLANK(INDIRECT("'"&amp;$Q$2&amp;"'!O"&amp;ROW())),"",INDIRECT("'"&amp;$Q$2&amp;"'!O"&amp;ROW())),"")</f>
        <v>1107</v>
      </c>
      <c r="X3" s="17" t="n">
        <f aca="false">IF(OR($O3="",$W3=""),"",$O3-$W3)</f>
        <v>-966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123</v>
      </c>
      <c r="D4" s="32" t="n">
        <v>99188</v>
      </c>
      <c r="E4" s="32" t="n">
        <f aca="true">IF($D4="","",IFERROR(IF(ISBLANK(INDIRECT("'"&amp;$Q$2&amp;"'!D"&amp;ROW())),"",INDIRECT("'"&amp;$Q$2&amp;"'!D"&amp;ROW())),""))</f>
        <v>112305</v>
      </c>
      <c r="F4" s="33" t="n">
        <f aca="false">IF(OR(D4="",E4=""),"",D4-E4)</f>
        <v>-13117</v>
      </c>
      <c r="G4" s="34" t="n">
        <f aca="false">IFERROR(F4/E4,"")</f>
        <v>-0.116798005431637</v>
      </c>
      <c r="H4" s="32" t="n">
        <v>469</v>
      </c>
      <c r="I4" s="32" t="n">
        <f aca="true">IF($H4="","",IFERROR(IF(ISBLANK(INDIRECT("'"&amp;$Q$2&amp;"'!H"&amp;ROW())),"",INDIRECT("'"&amp;$Q$2&amp;"'!H"&amp;ROW())),""))</f>
        <v>434</v>
      </c>
      <c r="J4" s="33" t="n">
        <f aca="false">IF(OR(H4="",I4=""),"",H4-I4)</f>
        <v>35</v>
      </c>
      <c r="K4" s="34" t="n">
        <f aca="false">IFERROR(J4/I4,"")</f>
        <v>0.0806451612903226</v>
      </c>
      <c r="L4" s="32" t="n">
        <f aca="false">IFERROR(D4/C4,"")</f>
        <v>806.406504065041</v>
      </c>
      <c r="M4" s="32" t="n">
        <f aca="false">IFERROR(H4/D4*1000,"")</f>
        <v>4.72839456385853</v>
      </c>
      <c r="N4" s="32" t="n">
        <v>26203</v>
      </c>
      <c r="O4" s="33" t="n">
        <f aca="true">IFERROR(IF(OR(N4="",ISBLANK(INDIRECT("'"&amp;$Q$2&amp;"'!N"&amp;ROW()))),"",N4-INDIRECT("'"&amp;$Q$2&amp;"'!N"&amp;ROW())),"")</f>
        <v>22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n">
        <f aca="true">IFERROR(IF(ISBLANK(INDIRECT("'"&amp;$Q$2&amp;"'!O"&amp;ROW())),"",INDIRECT("'"&amp;$Q$2&amp;"'!O"&amp;ROW())),"")</f>
        <v>125</v>
      </c>
      <c r="X4" s="17" t="n">
        <f aca="false">IF(OR($O4="",$W4=""),"",$O4-$W4)</f>
        <v>-103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252</v>
      </c>
      <c r="D5" s="32" t="n">
        <v>5221</v>
      </c>
      <c r="E5" s="32" t="n">
        <f aca="true">IF($D5="","",IFERROR(IF(ISBLANK(INDIRECT("'"&amp;$Q$2&amp;"'!D"&amp;ROW())),"",INDIRECT("'"&amp;$Q$2&amp;"'!D"&amp;ROW())),""))</f>
        <v>4059</v>
      </c>
      <c r="F5" s="33" t="n">
        <f aca="false">IF(OR(D5="",E5=""),"",D5-E5)</f>
        <v>1162</v>
      </c>
      <c r="G5" s="34" t="n">
        <f aca="false">IFERROR(F5/E5,"")</f>
        <v>0.286277408228628</v>
      </c>
      <c r="H5" s="32" t="n">
        <v>13</v>
      </c>
      <c r="I5" s="32" t="n">
        <f aca="true">IF($H5="","",IFERROR(IF(ISBLANK(INDIRECT("'"&amp;$Q$2&amp;"'!H"&amp;ROW())),"",INDIRECT("'"&amp;$Q$2&amp;"'!H"&amp;ROW())),""))</f>
        <v>6</v>
      </c>
      <c r="J5" s="33" t="n">
        <f aca="false">IF(OR(H5="",I5=""),"",H5-I5)</f>
        <v>7</v>
      </c>
      <c r="K5" s="34" t="n">
        <f aca="false">IFERROR(J5/I5,"")</f>
        <v>1.16666666666667</v>
      </c>
      <c r="L5" s="32" t="n">
        <f aca="false">IFERROR(D5/C5,"")</f>
        <v>20.718253968254</v>
      </c>
      <c r="M5" s="32" t="n">
        <f aca="false">IFERROR(H5/D5*1000,"")</f>
        <v>2.48994445508523</v>
      </c>
      <c r="N5" s="32" t="n">
        <v>3501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n">
        <f aca="true">IFERROR(IF(ISBLANK(INDIRECT("'"&amp;$Q$2&amp;"'!O"&amp;ROW())),"",INDIRECT("'"&amp;$Q$2&amp;"'!O"&amp;ROW())),"")</f>
        <v>-5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66380</v>
      </c>
      <c r="E6" s="32" t="n">
        <f aca="true">IF($D6="","",IFERROR(IF(ISBLANK(INDIRECT("'"&amp;$Q$2&amp;"'!D"&amp;ROW())),"",INDIRECT("'"&amp;$Q$2&amp;"'!D"&amp;ROW())),""))</f>
        <v>79566</v>
      </c>
      <c r="F6" s="33" t="n">
        <f aca="false">IF(OR(D6="",E6=""),"",D6-E6)</f>
        <v>-13186</v>
      </c>
      <c r="G6" s="34" t="n">
        <f aca="false">IFERROR(F6/E6,"")</f>
        <v>-0.165724052987457</v>
      </c>
      <c r="H6" s="32" t="n">
        <v>294</v>
      </c>
      <c r="I6" s="32" t="n">
        <f aca="true">IF($H6="","",IFERROR(IF(ISBLANK(INDIRECT("'"&amp;$Q$2&amp;"'!H"&amp;ROW())),"",INDIRECT("'"&amp;$Q$2&amp;"'!H"&amp;ROW())),""))</f>
        <v>290</v>
      </c>
      <c r="J6" s="33" t="n">
        <f aca="false">IF(OR(H6="",I6=""),"",H6-I6)</f>
        <v>4</v>
      </c>
      <c r="K6" s="34" t="n">
        <f aca="false">IFERROR(J6/I6,"")</f>
        <v>0.0137931034482759</v>
      </c>
      <c r="L6" s="32" t="n">
        <f aca="false">IFERROR(D6/C6,"")</f>
        <v>799.759036144578</v>
      </c>
      <c r="M6" s="32" t="n">
        <f aca="false">IFERROR(H6/D6*1000,"")</f>
        <v>4.42904489304007</v>
      </c>
      <c r="N6" s="32" t="n">
        <v>22924</v>
      </c>
      <c r="O6" s="33" t="n">
        <f aca="true">IFERROR(IF(OR(N6="",ISBLANK(INDIRECT("'"&amp;$Q$2&amp;"'!N"&amp;ROW()))),"",N6-INDIRECT("'"&amp;$Q$2&amp;"'!N"&amp;ROW())),"")</f>
        <v>-1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n">
        <f aca="true">IFERROR(IF(ISBLANK(INDIRECT("'"&amp;$Q$2&amp;"'!O"&amp;ROW())),"",INDIRECT("'"&amp;$Q$2&amp;"'!O"&amp;ROW())),"")</f>
        <v>70</v>
      </c>
      <c r="X6" s="17" t="n">
        <f aca="false">IF(OR($O6="",$W6=""),"",$O6-$W6)</f>
        <v>-71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200470</v>
      </c>
      <c r="E7" s="32" t="n">
        <f aca="true">IF($D7="","",IFERROR(IF(ISBLANK(INDIRECT("'"&amp;$Q$2&amp;"'!D"&amp;ROW())),"",INDIRECT("'"&amp;$Q$2&amp;"'!D"&amp;ROW())),""))</f>
        <v>111876</v>
      </c>
      <c r="F7" s="33" t="n">
        <f aca="false">IF(OR(D7="",E7=""),"",D7-E7)</f>
        <v>88594</v>
      </c>
      <c r="G7" s="34" t="n">
        <f aca="false">IFERROR(F7/E7,"")</f>
        <v>0.791894597590189</v>
      </c>
      <c r="H7" s="32" t="n">
        <v>2217</v>
      </c>
      <c r="I7" s="32" t="n">
        <f aca="true">IF($H7="","",IFERROR(IF(ISBLANK(INDIRECT("'"&amp;$Q$2&amp;"'!H"&amp;ROW())),"",INDIRECT("'"&amp;$Q$2&amp;"'!H"&amp;ROW())),""))</f>
        <v>1128</v>
      </c>
      <c r="J7" s="33" t="n">
        <f aca="false">IF(OR(H7="",I7=""),"",H7-I7)</f>
        <v>1089</v>
      </c>
      <c r="K7" s="34" t="n">
        <f aca="false">IFERROR(J7/I7,"")</f>
        <v>0.965425531914894</v>
      </c>
      <c r="L7" s="32" t="n">
        <f aca="false">IFERROR(D7/C7,"")</f>
        <v>1603.76</v>
      </c>
      <c r="M7" s="32" t="n">
        <f aca="false">IFERROR(H7/D7*1000,"")</f>
        <v>11.05901132339</v>
      </c>
      <c r="N7" s="32" t="n">
        <v>24442</v>
      </c>
      <c r="O7" s="33" t="n">
        <f aca="true">IFERROR(IF(OR(N7="",ISBLANK(INDIRECT("'"&amp;$Q$2&amp;"'!N"&amp;ROW()))),"",N7-INDIRECT("'"&amp;$Q$2&amp;"'!N"&amp;ROW())),"")</f>
        <v>116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n">
        <f aca="true">IFERROR(IF(ISBLANK(INDIRECT("'"&amp;$Q$2&amp;"'!O"&amp;ROW())),"",INDIRECT("'"&amp;$Q$2&amp;"'!O"&amp;ROW())),"")</f>
        <v>328</v>
      </c>
      <c r="X7" s="17" t="n">
        <f aca="false">IF(OR($O7="",$W7=""),"",$O7-$W7)</f>
        <v>-212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100</v>
      </c>
      <c r="D8" s="32" t="n">
        <v>371998</v>
      </c>
      <c r="E8" s="32" t="n">
        <f aca="true">IF($D8="","",IFERROR(IF(ISBLANK(INDIRECT("'"&amp;$Q$2&amp;"'!D"&amp;ROW())),"",INDIRECT("'"&amp;$Q$2&amp;"'!D"&amp;ROW())),""))</f>
        <v>329208</v>
      </c>
      <c r="F8" s="33" t="n">
        <f aca="false">IF(OR(D8="",E8=""),"",D8-E8)</f>
        <v>42790</v>
      </c>
      <c r="G8" s="34" t="n">
        <f aca="false">IFERROR(F8/E8,"")</f>
        <v>0.129978615343491</v>
      </c>
      <c r="H8" s="32" t="n">
        <v>6123</v>
      </c>
      <c r="I8" s="32" t="n">
        <f aca="true">IF($H8="","",IFERROR(IF(ISBLANK(INDIRECT("'"&amp;$Q$2&amp;"'!H"&amp;ROW())),"",INDIRECT("'"&amp;$Q$2&amp;"'!H"&amp;ROW())),""))</f>
        <v>4811</v>
      </c>
      <c r="J8" s="33" t="n">
        <f aca="false">IF(OR(H8="",I8=""),"",H8-I8)</f>
        <v>1312</v>
      </c>
      <c r="K8" s="34" t="n">
        <f aca="false">IFERROR(J8/I8,"")</f>
        <v>0.272708376636874</v>
      </c>
      <c r="L8" s="32" t="n">
        <f aca="false">IFERROR(D8/C8,"")</f>
        <v>3719.98</v>
      </c>
      <c r="M8" s="32" t="n">
        <f aca="false">IFERROR(H8/D8*1000,"")</f>
        <v>16.45976591272</v>
      </c>
      <c r="N8" s="32" t="n">
        <v>21437</v>
      </c>
      <c r="O8" s="33" t="n">
        <f aca="true">IFERROR(IF(OR(N8="",ISBLANK(INDIRECT("'"&amp;$Q$2&amp;"'!N"&amp;ROW()))),"",N8-INDIRECT("'"&amp;$Q$2&amp;"'!N"&amp;ROW())),"")</f>
        <v>84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n">
        <f aca="true">IFERROR(IF(ISBLANK(INDIRECT("'"&amp;$Q$2&amp;"'!O"&amp;ROW())),"",INDIRECT("'"&amp;$Q$2&amp;"'!O"&amp;ROW())),"")</f>
        <v>296</v>
      </c>
      <c r="X8" s="17" t="n">
        <f aca="false">IF(OR($O8="",$W8=""),"",$O8-$W8)</f>
        <v>-212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110</v>
      </c>
      <c r="D9" s="32" t="n">
        <v>471044</v>
      </c>
      <c r="E9" s="32" t="n">
        <f aca="true">IF($D9="","",IFERROR(IF(ISBLANK(INDIRECT("'"&amp;$Q$2&amp;"'!D"&amp;ROW())),"",INDIRECT("'"&amp;$Q$2&amp;"'!D"&amp;ROW())),""))</f>
        <v>346152</v>
      </c>
      <c r="F9" s="33" t="n">
        <f aca="false">IF(OR(D9="",E9=""),"",D9-E9)</f>
        <v>124892</v>
      </c>
      <c r="G9" s="34" t="n">
        <f aca="false">IFERROR(F9/E9,"")</f>
        <v>0.3608010353833</v>
      </c>
      <c r="H9" s="32" t="n">
        <v>6733</v>
      </c>
      <c r="I9" s="32" t="n">
        <f aca="true">IF($H9="","",IFERROR(IF(ISBLANK(INDIRECT("'"&amp;$Q$2&amp;"'!H"&amp;ROW())),"",INDIRECT("'"&amp;$Q$2&amp;"'!H"&amp;ROW())),""))</f>
        <v>3872</v>
      </c>
      <c r="J9" s="33" t="n">
        <f aca="false">IF(OR(H9="",I9=""),"",H9-I9)</f>
        <v>2861</v>
      </c>
      <c r="K9" s="34" t="n">
        <f aca="false">IFERROR(J9/I9,"")</f>
        <v>0.738894628099174</v>
      </c>
      <c r="L9" s="32" t="n">
        <f aca="false">IFERROR(D9/C9,"")</f>
        <v>4282.21818181818</v>
      </c>
      <c r="M9" s="32" t="n">
        <f aca="false">IFERROR(H9/D9*1000,"")</f>
        <v>14.2937814726437</v>
      </c>
      <c r="N9" s="32" t="n">
        <v>30983</v>
      </c>
      <c r="O9" s="33" t="n">
        <f aca="true">IFERROR(IF(OR(N9="",ISBLANK(INDIRECT("'"&amp;$Q$2&amp;"'!N"&amp;ROW()))),"",N9-INDIRECT("'"&amp;$Q$2&amp;"'!N"&amp;ROW())),"")</f>
        <v>70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n">
        <f aca="true">IFERROR(IF(ISBLANK(INDIRECT("'"&amp;$Q$2&amp;"'!O"&amp;ROW())),"",INDIRECT("'"&amp;$Q$2&amp;"'!O"&amp;ROW())),"")</f>
        <v>297</v>
      </c>
      <c r="X9" s="17" t="n">
        <f aca="false">IF(OR($O9="",$W9=""),"",$O9-$W9)</f>
        <v>-227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103</v>
      </c>
      <c r="D10" s="32" t="n">
        <v>156425</v>
      </c>
      <c r="E10" s="32" t="n">
        <f aca="true">IF($D10="","",IFERROR(IF(ISBLANK(INDIRECT("'"&amp;$Q$2&amp;"'!D"&amp;ROW())),"",INDIRECT("'"&amp;$Q$2&amp;"'!D"&amp;ROW())),""))</f>
        <v>131412</v>
      </c>
      <c r="F10" s="33" t="n">
        <f aca="false">IF(OR(D10="",E10=""),"",D10-E10)</f>
        <v>25013</v>
      </c>
      <c r="G10" s="34" t="n">
        <f aca="false">IFERROR(F10/E10,"")</f>
        <v>0.190340303777433</v>
      </c>
      <c r="H10" s="32" t="n">
        <v>1004</v>
      </c>
      <c r="I10" s="32" t="n">
        <f aca="true">IF($H10="","",IFERROR(IF(ISBLANK(INDIRECT("'"&amp;$Q$2&amp;"'!H"&amp;ROW())),"",INDIRECT("'"&amp;$Q$2&amp;"'!H"&amp;ROW())),""))</f>
        <v>746</v>
      </c>
      <c r="J10" s="33" t="n">
        <f aca="false">IF(OR(H10="",I10=""),"",H10-I10)</f>
        <v>258</v>
      </c>
      <c r="K10" s="34" t="n">
        <f aca="false">IFERROR(J10/I10,"")</f>
        <v>0.345844504021448</v>
      </c>
      <c r="L10" s="32" t="n">
        <f aca="false">IFERROR(D10/C10,"")</f>
        <v>1518.68932038835</v>
      </c>
      <c r="M10" s="32" t="n">
        <f aca="false">IFERROR(H10/D10*1000,"")</f>
        <v>6.41841137925523</v>
      </c>
      <c r="N10" s="32" t="n">
        <v>21279</v>
      </c>
      <c r="O10" s="33" t="n">
        <f aca="true">IFERROR(IF(OR(N10="",ISBLANK(INDIRECT("'"&amp;$Q$2&amp;"'!N"&amp;ROW()))),"",N10-INDIRECT("'"&amp;$Q$2&amp;"'!N"&amp;ROW())),"")</f>
        <v>42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n">
        <f aca="true">IFERROR(IF(ISBLANK(INDIRECT("'"&amp;$Q$2&amp;"'!O"&amp;ROW())),"",INDIRECT("'"&amp;$Q$2&amp;"'!O"&amp;ROW())),"")</f>
        <v>-55</v>
      </c>
      <c r="X10" s="17" t="n">
        <f aca="false">IF(OR($O10="",$W10=""),"",$O10-$W10)</f>
        <v>97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103</v>
      </c>
      <c r="D11" s="32" t="n">
        <v>448825</v>
      </c>
      <c r="E11" s="32" t="n">
        <f aca="true">IF($D11="","",IFERROR(IF(ISBLANK(INDIRECT("'"&amp;$Q$2&amp;"'!D"&amp;ROW())),"",INDIRECT("'"&amp;$Q$2&amp;"'!D"&amp;ROW())),""))</f>
        <v>332387</v>
      </c>
      <c r="F11" s="33" t="n">
        <f aca="false">IF(OR(D11="",E11=""),"",D11-E11)</f>
        <v>116438</v>
      </c>
      <c r="G11" s="34" t="n">
        <f aca="false">IFERROR(F11/E11,"")</f>
        <v>0.350308525905044</v>
      </c>
      <c r="H11" s="32" t="n">
        <v>4345</v>
      </c>
      <c r="I11" s="32" t="n">
        <f aca="true">IF($H11="","",IFERROR(IF(ISBLANK(INDIRECT("'"&amp;$Q$2&amp;"'!H"&amp;ROW())),"",INDIRECT("'"&amp;$Q$2&amp;"'!H"&amp;ROW())),""))</f>
        <v>2677</v>
      </c>
      <c r="J11" s="33" t="n">
        <f aca="false">IF(OR(H11="",I11=""),"",H11-I11)</f>
        <v>1668</v>
      </c>
      <c r="K11" s="34" t="n">
        <f aca="false">IFERROR(J11/I11,"")</f>
        <v>0.623085543518864</v>
      </c>
      <c r="L11" s="32" t="n">
        <f aca="false">IFERROR(D11/C11,"")</f>
        <v>4357.52427184466</v>
      </c>
      <c r="M11" s="32" t="n">
        <f aca="false">IFERROR(H11/D11*1000,"")</f>
        <v>9.68083328691584</v>
      </c>
      <c r="N11" s="32" t="n">
        <v>20590</v>
      </c>
      <c r="O11" s="33" t="n">
        <f aca="true">IFERROR(IF(OR(N11="",ISBLANK(INDIRECT("'"&amp;$Q$2&amp;"'!N"&amp;ROW()))),"",N11-INDIRECT("'"&amp;$Q$2&amp;"'!N"&amp;ROW())),"")</f>
        <v>54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n">
        <f aca="true">IFERROR(IF(ISBLANK(INDIRECT("'"&amp;$Q$2&amp;"'!O"&amp;ROW())),"",INDIRECT("'"&amp;$Q$2&amp;"'!O"&amp;ROW())),"")</f>
        <v>429</v>
      </c>
      <c r="X11" s="17" t="n">
        <f aca="false">IF(OR($O11="",$W11=""),"",$O11-$W11)</f>
        <v>-375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67</v>
      </c>
      <c r="D12" s="32" t="n">
        <v>91251</v>
      </c>
      <c r="E12" s="32" t="n">
        <f aca="true">IF($D12="","",IFERROR(IF(ISBLANK(INDIRECT("'"&amp;$Q$2&amp;"'!D"&amp;ROW())),"",INDIRECT("'"&amp;$Q$2&amp;"'!D"&amp;ROW())),""))</f>
        <v>88366</v>
      </c>
      <c r="F12" s="33" t="n">
        <f aca="false">IF(OR(D12="",E12=""),"",D12-E12)</f>
        <v>2885</v>
      </c>
      <c r="G12" s="34" t="n">
        <f aca="false">IFERROR(F12/E12,"")</f>
        <v>0.0326483036461988</v>
      </c>
      <c r="H12" s="32" t="n">
        <v>1648</v>
      </c>
      <c r="I12" s="32" t="n">
        <f aca="true">IF($H12="","",IFERROR(IF(ISBLANK(INDIRECT("'"&amp;$Q$2&amp;"'!H"&amp;ROW())),"",INDIRECT("'"&amp;$Q$2&amp;"'!H"&amp;ROW())),""))</f>
        <v>6375</v>
      </c>
      <c r="J12" s="33" t="n">
        <f aca="false">IF(OR(H12="",I12=""),"",H12-I12)</f>
        <v>-4727</v>
      </c>
      <c r="K12" s="34" t="n">
        <f aca="false">IFERROR(J12/I12,"")</f>
        <v>-0.741490196078431</v>
      </c>
      <c r="L12" s="32" t="n">
        <f aca="false">IFERROR(D12/C12,"")</f>
        <v>1361.9552238806</v>
      </c>
      <c r="M12" s="32" t="n">
        <f aca="false">IFERROR(H12/D12*1000,"")</f>
        <v>18.0600760539611</v>
      </c>
      <c r="N12" s="32" t="n">
        <v>15319</v>
      </c>
      <c r="O12" s="33" t="n">
        <f aca="true">IFERROR(IF(OR(N12="",ISBLANK(INDIRECT("'"&amp;$Q$2&amp;"'!N"&amp;ROW()))),"",N12-INDIRECT("'"&amp;$Q$2&amp;"'!N"&amp;ROW())),"")</f>
        <v>101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n">
        <f aca="true">IFERROR(IF(ISBLANK(INDIRECT("'"&amp;$Q$2&amp;"'!O"&amp;ROW())),"",INDIRECT("'"&amp;$Q$2&amp;"'!O"&amp;ROW())),"")</f>
        <v>679</v>
      </c>
      <c r="X12" s="17" t="n">
        <f aca="false">IF(OR($O12="",$W12=""),"",$O12-$W12)</f>
        <v>-578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70</v>
      </c>
      <c r="D13" s="32" t="n">
        <v>65931</v>
      </c>
      <c r="E13" s="32" t="n">
        <f aca="true">IF($D13="","",IFERROR(IF(ISBLANK(INDIRECT("'"&amp;$Q$2&amp;"'!D"&amp;ROW())),"",INDIRECT("'"&amp;$Q$2&amp;"'!D"&amp;ROW())),""))</f>
        <v>32472</v>
      </c>
      <c r="F13" s="33" t="n">
        <f aca="false">IF(OR(D13="",E13=""),"",D13-E13)</f>
        <v>33459</v>
      </c>
      <c r="G13" s="34" t="n">
        <f aca="false">IFERROR(F13/E13,"")</f>
        <v>1.03039541759054</v>
      </c>
      <c r="H13" s="32" t="n">
        <v>1056</v>
      </c>
      <c r="I13" s="32" t="n">
        <f aca="true">IF($H13="","",IFERROR(IF(ISBLANK(INDIRECT("'"&amp;$Q$2&amp;"'!H"&amp;ROW())),"",INDIRECT("'"&amp;$Q$2&amp;"'!H"&amp;ROW())),""))</f>
        <v>499</v>
      </c>
      <c r="J13" s="33" t="n">
        <f aca="false">IF(OR(H13="",I13=""),"",H13-I13)</f>
        <v>557</v>
      </c>
      <c r="K13" s="34" t="n">
        <f aca="false">IFERROR(J13/I13,"")</f>
        <v>1.11623246492986</v>
      </c>
      <c r="L13" s="32" t="n">
        <f aca="false">IFERROR(D13/C13,"")</f>
        <v>941.871428571429</v>
      </c>
      <c r="M13" s="32" t="n">
        <f aca="false">IFERROR(H13/D13*1000,"")</f>
        <v>16.0167447786322</v>
      </c>
      <c r="N13" s="32" t="n">
        <v>16342</v>
      </c>
      <c r="O13" s="33" t="n">
        <f aca="true">IFERROR(IF(OR(N13="",ISBLANK(INDIRECT("'"&amp;$Q$2&amp;"'!N"&amp;ROW()))),"",N13-INDIRECT("'"&amp;$Q$2&amp;"'!N"&amp;ROW())),"")</f>
        <v>51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n">
        <f aca="true">IFERROR(IF(ISBLANK(INDIRECT("'"&amp;$Q$2&amp;"'!O"&amp;ROW())),"",INDIRECT("'"&amp;$Q$2&amp;"'!O"&amp;ROW())),"")</f>
        <v>211</v>
      </c>
      <c r="X13" s="17" t="n">
        <f aca="false">IF(OR($O13="",$W13=""),"",$O13-$W13)</f>
        <v>-160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45</v>
      </c>
      <c r="D14" s="32" t="n">
        <v>37833</v>
      </c>
      <c r="E14" s="32" t="n">
        <f aca="true">IF($D14="","",IFERROR(IF(ISBLANK(INDIRECT("'"&amp;$Q$2&amp;"'!D"&amp;ROW())),"",INDIRECT("'"&amp;$Q$2&amp;"'!D"&amp;ROW())),""))</f>
        <v>39481</v>
      </c>
      <c r="F14" s="33" t="n">
        <f aca="false">IF(OR(D14="",E14=""),"",D14-E14)</f>
        <v>-1648</v>
      </c>
      <c r="G14" s="34" t="n">
        <f aca="false">IFERROR(F14/E14,"")</f>
        <v>-0.0417415972239812</v>
      </c>
      <c r="H14" s="32" t="n">
        <v>415</v>
      </c>
      <c r="I14" s="32" t="n">
        <f aca="true">IF($H14="","",IFERROR(IF(ISBLANK(INDIRECT("'"&amp;$Q$2&amp;"'!H"&amp;ROW())),"",INDIRECT("'"&amp;$Q$2&amp;"'!H"&amp;ROW())),""))</f>
        <v>351</v>
      </c>
      <c r="J14" s="33" t="n">
        <f aca="false">IF(OR(H14="",I14=""),"",H14-I14)</f>
        <v>64</v>
      </c>
      <c r="K14" s="34" t="n">
        <f aca="false">IFERROR(J14/I14,"")</f>
        <v>0.182336182336182</v>
      </c>
      <c r="L14" s="32" t="n">
        <f aca="false">IFERROR(D14/C14,"")</f>
        <v>840.733333333333</v>
      </c>
      <c r="M14" s="32" t="n">
        <f aca="false">IFERROR(H14/D14*1000,"")</f>
        <v>10.9692596410541</v>
      </c>
      <c r="N14" s="32" t="n">
        <v>6299</v>
      </c>
      <c r="O14" s="33" t="n">
        <f aca="true">IFERROR(IF(OR(N14="",ISBLANK(INDIRECT("'"&amp;$Q$2&amp;"'!N"&amp;ROW()))),"",N14-INDIRECT("'"&amp;$Q$2&amp;"'!N"&amp;ROW())),"")</f>
        <v>26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n">
        <f aca="true">IFERROR(IF(ISBLANK(INDIRECT("'"&amp;$Q$2&amp;"'!O"&amp;ROW())),"",INDIRECT("'"&amp;$Q$2&amp;"'!O"&amp;ROW())),"")</f>
        <v>251</v>
      </c>
      <c r="X14" s="17" t="n">
        <f aca="false">IF(OR($O14="",$W14=""),"",$O14-$W14)</f>
        <v>-225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34</v>
      </c>
      <c r="D15" s="32" t="n">
        <v>39455</v>
      </c>
      <c r="E15" s="32" t="n">
        <f aca="true">IF($D15="","",IFERROR(IF(ISBLANK(INDIRECT("'"&amp;$Q$2&amp;"'!D"&amp;ROW())),"",INDIRECT("'"&amp;$Q$2&amp;"'!D"&amp;ROW())),""))</f>
        <v>32883</v>
      </c>
      <c r="F15" s="33" t="n">
        <f aca="false">IF(OR(D15="",E15=""),"",D15-E15)</f>
        <v>6572</v>
      </c>
      <c r="G15" s="34" t="n">
        <f aca="false">IFERROR(F15/E15,"")</f>
        <v>0.199860110087279</v>
      </c>
      <c r="H15" s="32" t="n">
        <v>488</v>
      </c>
      <c r="I15" s="32" t="n">
        <f aca="true">IF($H15="","",IFERROR(IF(ISBLANK(INDIRECT("'"&amp;$Q$2&amp;"'!H"&amp;ROW())),"",INDIRECT("'"&amp;$Q$2&amp;"'!H"&amp;ROW())),""))</f>
        <v>502</v>
      </c>
      <c r="J15" s="33" t="n">
        <f aca="false">IF(OR(H15="",I15=""),"",H15-I15)</f>
        <v>-14</v>
      </c>
      <c r="K15" s="34" t="n">
        <f aca="false">IFERROR(J15/I15,"")</f>
        <v>-0.0278884462151394</v>
      </c>
      <c r="L15" s="32" t="n">
        <f aca="false">IFERROR(D15/C15,"")</f>
        <v>1160.44117647059</v>
      </c>
      <c r="M15" s="32" t="n">
        <f aca="false">IFERROR(H15/D15*1000,"")</f>
        <v>12.3685210999873</v>
      </c>
      <c r="N15" s="32" t="n">
        <v>3648</v>
      </c>
      <c r="O15" s="33" t="n">
        <f aca="true">IFERROR(IF(OR(N15="",ISBLANK(INDIRECT("'"&amp;$Q$2&amp;"'!N"&amp;ROW()))),"",N15-INDIRECT("'"&amp;$Q$2&amp;"'!N"&amp;ROW())),"")</f>
        <v>6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n">
        <f aca="true">IFERROR(IF(ISBLANK(INDIRECT("'"&amp;$Q$2&amp;"'!O"&amp;ROW())),"",INDIRECT("'"&amp;$Q$2&amp;"'!O"&amp;ROW())),"")</f>
        <v>35</v>
      </c>
      <c r="X15" s="17" t="n">
        <f aca="false">IF(OR($O15="",$W15=""),"",$O15-$W15)</f>
        <v>-29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45</v>
      </c>
      <c r="D16" s="32" t="n">
        <v>100934</v>
      </c>
      <c r="E16" s="32" t="n">
        <f aca="true">IF($D16="","",IFERROR(IF(ISBLANK(INDIRECT("'"&amp;$Q$2&amp;"'!D"&amp;ROW())),"",INDIRECT("'"&amp;$Q$2&amp;"'!D"&amp;ROW())),""))</f>
        <v>121485</v>
      </c>
      <c r="F16" s="33" t="n">
        <f aca="false">IF(OR(D16="",E16=""),"",D16-E16)</f>
        <v>-20551</v>
      </c>
      <c r="G16" s="34" t="n">
        <f aca="false">IFERROR(F16/E16,"")</f>
        <v>-0.169164917479524</v>
      </c>
      <c r="H16" s="32" t="n">
        <v>955</v>
      </c>
      <c r="I16" s="32" t="n">
        <f aca="true">IF($H16="","",IFERROR(IF(ISBLANK(INDIRECT("'"&amp;$Q$2&amp;"'!H"&amp;ROW())),"",INDIRECT("'"&amp;$Q$2&amp;"'!H"&amp;ROW())),""))</f>
        <v>1065</v>
      </c>
      <c r="J16" s="33" t="n">
        <f aca="false">IF(OR(H16="",I16=""),"",H16-I16)</f>
        <v>-110</v>
      </c>
      <c r="K16" s="34" t="n">
        <f aca="false">IFERROR(J16/I16,"")</f>
        <v>-0.103286384976526</v>
      </c>
      <c r="L16" s="32" t="n">
        <f aca="false">IFERROR(D16/C16,"")</f>
        <v>2242.97777777778</v>
      </c>
      <c r="M16" s="32" t="n">
        <f aca="false">IFERROR(H16/D16*1000,"")</f>
        <v>9.46162839082965</v>
      </c>
      <c r="N16" s="32" t="n">
        <v>12285</v>
      </c>
      <c r="O16" s="33" t="n">
        <f aca="true">IFERROR(IF(OR(N16="",ISBLANK(INDIRECT("'"&amp;$Q$2&amp;"'!N"&amp;ROW()))),"",N16-INDIRECT("'"&amp;$Q$2&amp;"'!N"&amp;ROW())),"")</f>
        <v>68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n">
        <f aca="true">IFERROR(IF(ISBLANK(INDIRECT("'"&amp;$Q$2&amp;"'!O"&amp;ROW())),"",INDIRECT("'"&amp;$Q$2&amp;"'!O"&amp;ROW())),"")</f>
        <v>182</v>
      </c>
      <c r="X16" s="17" t="n">
        <f aca="false">IF(OR($O16="",$W16=""),"",$O16-$W16)</f>
        <v>-114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50</v>
      </c>
      <c r="D17" s="32" t="n">
        <v>125560</v>
      </c>
      <c r="E17" s="32" t="n">
        <f aca="true">IF($D17="","",IFERROR(IF(ISBLANK(INDIRECT("'"&amp;$Q$2&amp;"'!D"&amp;ROW())),"",INDIRECT("'"&amp;$Q$2&amp;"'!D"&amp;ROW())),""))</f>
        <v>118008</v>
      </c>
      <c r="F17" s="33" t="n">
        <f aca="false">IF(OR(D17="",E17=""),"",D17-E17)</f>
        <v>7552</v>
      </c>
      <c r="G17" s="34" t="n">
        <f aca="false">IFERROR(F17/E17,"")</f>
        <v>0.0639956613110976</v>
      </c>
      <c r="H17" s="32" t="n">
        <v>1636</v>
      </c>
      <c r="I17" s="32" t="n">
        <f aca="true">IF($H17="","",IFERROR(IF(ISBLANK(INDIRECT("'"&amp;$Q$2&amp;"'!H"&amp;ROW())),"",INDIRECT("'"&amp;$Q$2&amp;"'!H"&amp;ROW())),""))</f>
        <v>1095</v>
      </c>
      <c r="J17" s="33" t="n">
        <f aca="false">IF(OR(H17="",I17=""),"",H17-I17)</f>
        <v>541</v>
      </c>
      <c r="K17" s="34" t="n">
        <f aca="false">IFERROR(J17/I17,"")</f>
        <v>0.494063926940639</v>
      </c>
      <c r="L17" s="32" t="n">
        <f aca="false">IFERROR(D17/C17,"")</f>
        <v>2511.2</v>
      </c>
      <c r="M17" s="32" t="n">
        <f aca="false">IFERROR(H17/D17*1000,"")</f>
        <v>13.0296272698312</v>
      </c>
      <c r="N17" s="32" t="n">
        <v>7762</v>
      </c>
      <c r="O17" s="33" t="n">
        <f aca="true">IFERROR(IF(OR(N17="",ISBLANK(INDIRECT("'"&amp;$Q$2&amp;"'!N"&amp;ROW()))),"",N17-INDIRECT("'"&amp;$Q$2&amp;"'!N"&amp;ROW())),"")</f>
        <v>10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n">
        <f aca="true">IFERROR(IF(ISBLANK(INDIRECT("'"&amp;$Q$2&amp;"'!O"&amp;ROW())),"",INDIRECT("'"&amp;$Q$2&amp;"'!O"&amp;ROW())),"")</f>
        <v>62</v>
      </c>
      <c r="X17" s="17" t="n">
        <f aca="false">IF(OR($O17="",$W17=""),"",$O17-$W17)</f>
        <v>-52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80</v>
      </c>
      <c r="D18" s="32" t="n">
        <v>249272</v>
      </c>
      <c r="E18" s="32" t="n">
        <f aca="true">IF($D18="","",IFERROR(IF(ISBLANK(INDIRECT("'"&amp;$Q$2&amp;"'!D"&amp;ROW())),"",INDIRECT("'"&amp;$Q$2&amp;"'!D"&amp;ROW())),""))</f>
        <v>185614</v>
      </c>
      <c r="F18" s="33" t="n">
        <f aca="false">IF(OR(D18="",E18=""),"",D18-E18)</f>
        <v>63658</v>
      </c>
      <c r="G18" s="34" t="n">
        <f aca="false">IFERROR(F18/E18,"")</f>
        <v>0.342959044037626</v>
      </c>
      <c r="H18" s="32" t="n">
        <v>2460</v>
      </c>
      <c r="I18" s="32" t="n">
        <f aca="true">IF($H18="","",IFERROR(IF(ISBLANK(INDIRECT("'"&amp;$Q$2&amp;"'!H"&amp;ROW())),"",INDIRECT("'"&amp;$Q$2&amp;"'!H"&amp;ROW())),""))</f>
        <v>1382</v>
      </c>
      <c r="J18" s="33" t="n">
        <f aca="false">IF(OR(H18="",I18=""),"",H18-I18)</f>
        <v>1078</v>
      </c>
      <c r="K18" s="34" t="n">
        <f aca="false">IFERROR(J18/I18,"")</f>
        <v>0.780028943560058</v>
      </c>
      <c r="L18" s="32" t="n">
        <f aca="false">IFERROR(D18/C18,"")</f>
        <v>3115.9</v>
      </c>
      <c r="M18" s="32" t="n">
        <f aca="false">IFERROR(H18/D18*1000,"")</f>
        <v>9.86873776436984</v>
      </c>
      <c r="N18" s="32" t="n">
        <v>18151</v>
      </c>
      <c r="O18" s="33" t="n">
        <f aca="true">IFERROR(IF(OR(N18="",ISBLANK(INDIRECT("'"&amp;$Q$2&amp;"'!N"&amp;ROW()))),"",N18-INDIRECT("'"&amp;$Q$2&amp;"'!N"&amp;ROW())),"")</f>
        <v>29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n">
        <f aca="true">IFERROR(IF(ISBLANK(INDIRECT("'"&amp;$Q$2&amp;"'!O"&amp;ROW())),"",INDIRECT("'"&amp;$Q$2&amp;"'!O"&amp;ROW())),"")</f>
        <v>97</v>
      </c>
      <c r="X18" s="17" t="n">
        <f aca="false">IF(OR($O18="",$W18=""),"",$O18-$W18)</f>
        <v>-68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70</v>
      </c>
      <c r="D19" s="32" t="n">
        <v>137530</v>
      </c>
      <c r="E19" s="32" t="n">
        <f aca="true">IF($D19="","",IFERROR(IF(ISBLANK(INDIRECT("'"&amp;$Q$2&amp;"'!D"&amp;ROW())),"",INDIRECT("'"&amp;$Q$2&amp;"'!D"&amp;ROW())),""))</f>
        <v>318015</v>
      </c>
      <c r="F19" s="33" t="n">
        <f aca="false">IF(OR(D19="",E19=""),"",D19-E19)</f>
        <v>-180485</v>
      </c>
      <c r="G19" s="34" t="n">
        <f aca="false">IFERROR(F19/E19,"")</f>
        <v>-0.567536122509945</v>
      </c>
      <c r="H19" s="32" t="n">
        <v>1450</v>
      </c>
      <c r="I19" s="32" t="n">
        <f aca="true">IF($H19="","",IFERROR(IF(ISBLANK(INDIRECT("'"&amp;$Q$2&amp;"'!H"&amp;ROW())),"",INDIRECT("'"&amp;$Q$2&amp;"'!H"&amp;ROW())),""))</f>
        <v>3679</v>
      </c>
      <c r="J19" s="33" t="n">
        <f aca="false">IF(OR(H19="",I19=""),"",H19-I19)</f>
        <v>-2229</v>
      </c>
      <c r="K19" s="34" t="n">
        <f aca="false">IFERROR(J19/I19,"")</f>
        <v>-0.605871160641479</v>
      </c>
      <c r="L19" s="32" t="n">
        <f aca="false">IFERROR(D19/C19,"")</f>
        <v>1964.71428571429</v>
      </c>
      <c r="M19" s="32" t="n">
        <f aca="false">IFERROR(H19/D19*1000,"")</f>
        <v>10.5431542208973</v>
      </c>
      <c r="N19" s="32" t="n">
        <v>18930</v>
      </c>
      <c r="O19" s="33" t="n">
        <f aca="true">IFERROR(IF(OR(N19="",ISBLANK(INDIRECT("'"&amp;$Q$2&amp;"'!N"&amp;ROW()))),"",N19-INDIRECT("'"&amp;$Q$2&amp;"'!N"&amp;ROW())),"")</f>
        <v>21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n">
        <f aca="true">IFERROR(IF(ISBLANK(INDIRECT("'"&amp;$Q$2&amp;"'!O"&amp;ROW())),"",INDIRECT("'"&amp;$Q$2&amp;"'!O"&amp;ROW())),"")</f>
        <v>138</v>
      </c>
      <c r="X19" s="17" t="n">
        <f aca="false">IF(OR($O19="",$W19=""),"",$O19-$W19)</f>
        <v>-117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94264</v>
      </c>
      <c r="E20" s="32" t="n">
        <f aca="true">IF($D20="","",IFERROR(IF(ISBLANK(INDIRECT("'"&amp;$Q$2&amp;"'!D"&amp;ROW())),"",INDIRECT("'"&amp;$Q$2&amp;"'!D"&amp;ROW())),""))</f>
        <v>198157</v>
      </c>
      <c r="F20" s="33" t="n">
        <f aca="false">IF(OR(D20="",E20=""),"",D20-E20)</f>
        <v>-103893</v>
      </c>
      <c r="G20" s="34" t="n">
        <f aca="false">IFERROR(F20/E20,"")</f>
        <v>-0.524296391245326</v>
      </c>
      <c r="H20" s="32" t="n">
        <v>1404</v>
      </c>
      <c r="I20" s="32" t="n">
        <f aca="true">IF($H20="","",IFERROR(IF(ISBLANK(INDIRECT("'"&amp;$Q$2&amp;"'!H"&amp;ROW())),"",INDIRECT("'"&amp;$Q$2&amp;"'!H"&amp;ROW())),""))</f>
        <v>1889</v>
      </c>
      <c r="J20" s="33" t="n">
        <f aca="false">IF(OR(H20="",I20=""),"",H20-I20)</f>
        <v>-485</v>
      </c>
      <c r="K20" s="34" t="n">
        <f aca="false">IFERROR(J20/I20,"")</f>
        <v>-0.256749602964532</v>
      </c>
      <c r="L20" s="32" t="n">
        <f aca="false">IFERROR(D20/C20,"")</f>
        <v>4098.4347826087</v>
      </c>
      <c r="M20" s="32" t="n">
        <f aca="false">IFERROR(H20/D20*1000,"")</f>
        <v>14.8943393023848</v>
      </c>
      <c r="N20" s="32" t="n">
        <v>14457</v>
      </c>
      <c r="O20" s="33" t="n">
        <f aca="true">IFERROR(IF(OR(N20="",ISBLANK(INDIRECT("'"&amp;$Q$2&amp;"'!N"&amp;ROW()))),"",N20-INDIRECT("'"&amp;$Q$2&amp;"'!N"&amp;ROW())),"")</f>
        <v>89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n">
        <f aca="true">IFERROR(IF(ISBLANK(INDIRECT("'"&amp;$Q$2&amp;"'!O"&amp;ROW())),"",INDIRECT("'"&amp;$Q$2&amp;"'!O"&amp;ROW())),"")</f>
        <v>1019</v>
      </c>
      <c r="X20" s="17" t="n">
        <f aca="false">IF(OR($O20="",$W20=""),"",$O20-$W20)</f>
        <v>-930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1574</v>
      </c>
      <c r="E21" s="32" t="n">
        <f aca="true">IF($D21="","",IFERROR(IF(ISBLANK(INDIRECT("'"&amp;$Q$2&amp;"'!D"&amp;ROW())),"",INDIRECT("'"&amp;$Q$2&amp;"'!D"&amp;ROW())),""))</f>
        <v>2474</v>
      </c>
      <c r="F21" s="33" t="n">
        <f aca="false">IF(OR(D21="",E21=""),"",D21-E21)</f>
        <v>-900</v>
      </c>
      <c r="G21" s="34" t="n">
        <f aca="false">IFERROR(F21/E21,"")</f>
        <v>-0.363783346806791</v>
      </c>
      <c r="H21" s="32" t="n">
        <v>31</v>
      </c>
      <c r="I21" s="32" t="n">
        <f aca="true">IF($H21="","",IFERROR(IF(ISBLANK(INDIRECT("'"&amp;$Q$2&amp;"'!H"&amp;ROW())),"",INDIRECT("'"&amp;$Q$2&amp;"'!H"&amp;ROW())),""))</f>
        <v>65</v>
      </c>
      <c r="J21" s="33" t="n">
        <f aca="false">IF(OR(H21="",I21=""),"",H21-I21)</f>
        <v>-34</v>
      </c>
      <c r="K21" s="34" t="n">
        <f aca="false">IFERROR(J21/I21,"")</f>
        <v>-0.523076923076923</v>
      </c>
      <c r="L21" s="32" t="n">
        <f aca="false">IFERROR(D21/C21,"")</f>
        <v>524.666666666667</v>
      </c>
      <c r="M21" s="32" t="n">
        <f aca="false">IFERROR(H21/D21*1000,"")</f>
        <v>19.6950444726811</v>
      </c>
      <c r="N21" s="32" t="n">
        <v>10600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n">
        <f aca="true">IFERROR(IF(ISBLANK(INDIRECT("'"&amp;$Q$2&amp;"'!O"&amp;ROW())),"",INDIRECT("'"&amp;$Q$2&amp;"'!O"&amp;ROW())),"")</f>
        <v>44</v>
      </c>
      <c r="X21" s="17" t="n">
        <f aca="false">IF(OR($O21="",$W21=""),"",$O21-$W21)</f>
        <v>-42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11462</v>
      </c>
      <c r="E22" s="32" t="n">
        <f aca="true">IF($D22="","",IFERROR(IF(ISBLANK(INDIRECT("'"&amp;$Q$2&amp;"'!D"&amp;ROW())),"",INDIRECT("'"&amp;$Q$2&amp;"'!D"&amp;ROW())),""))</f>
        <v>1071</v>
      </c>
      <c r="F22" s="33" t="n">
        <f aca="false">IF(OR(D22="",E22=""),"",D22-E22)</f>
        <v>10391</v>
      </c>
      <c r="G22" s="34" t="n">
        <f aca="false">IFERROR(F22/E22,"")</f>
        <v>9.70214752567694</v>
      </c>
      <c r="H22" s="32" t="n">
        <v>206</v>
      </c>
      <c r="I22" s="32" t="n">
        <f aca="true">IF($H22="","",IFERROR(IF(ISBLANK(INDIRECT("'"&amp;$Q$2&amp;"'!H"&amp;ROW())),"",INDIRECT("'"&amp;$Q$2&amp;"'!H"&amp;ROW())),""))</f>
        <v>39</v>
      </c>
      <c r="J22" s="33" t="n">
        <f aca="false">IF(OR(H22="",I22=""),"",H22-I22)</f>
        <v>167</v>
      </c>
      <c r="K22" s="34" t="n">
        <f aca="false">IFERROR(J22/I22,"")</f>
        <v>4.28205128205128</v>
      </c>
      <c r="L22" s="32" t="n">
        <f aca="false">IFERROR(D22/C22,"")</f>
        <v>440.846153846154</v>
      </c>
      <c r="M22" s="32" t="n">
        <f aca="false">IFERROR(H22/D22*1000,"")</f>
        <v>17.9724306403769</v>
      </c>
      <c r="N22" s="32" t="n">
        <v>7385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n">
        <f aca="true">IFERROR(IF(ISBLANK(INDIRECT("'"&amp;$Q$2&amp;"'!O"&amp;ROW())),"",INDIRECT("'"&amp;$Q$2&amp;"'!O"&amp;ROW())),"")</f>
        <v>-35</v>
      </c>
      <c r="X22" s="17" t="n">
        <f aca="false">IF(OR($O22="",$W22=""),"",$O22-$W22)</f>
        <v>32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4</v>
      </c>
      <c r="D23" s="32" t="n">
        <v>2570</v>
      </c>
      <c r="E23" s="32" t="n">
        <f aca="true">IF($D23="","",IFERROR(IF(ISBLANK(INDIRECT("'"&amp;$Q$2&amp;"'!D"&amp;ROW())),"",INDIRECT("'"&amp;$Q$2&amp;"'!D"&amp;ROW())),""))</f>
        <v>7262</v>
      </c>
      <c r="F23" s="33" t="n">
        <f aca="false">IF(OR(D23="",E23=""),"",D23-E23)</f>
        <v>-4692</v>
      </c>
      <c r="G23" s="34" t="n">
        <f aca="false">IFERROR(F23/E23,"")</f>
        <v>-0.646103001927844</v>
      </c>
      <c r="H23" s="32" t="n">
        <v>168</v>
      </c>
      <c r="I23" s="32" t="n">
        <f aca="true">IF($H23="","",IFERROR(IF(ISBLANK(INDIRECT("'"&amp;$Q$2&amp;"'!H"&amp;ROW())),"",INDIRECT("'"&amp;$Q$2&amp;"'!H"&amp;ROW())),""))</f>
        <v>175</v>
      </c>
      <c r="J23" s="33" t="n">
        <f aca="false">IF(OR(H23="",I23=""),"",H23-I23)</f>
        <v>-7</v>
      </c>
      <c r="K23" s="34" t="n">
        <f aca="false">IFERROR(J23/I23,"")</f>
        <v>-0.04</v>
      </c>
      <c r="L23" s="32" t="n">
        <f aca="false">IFERROR(D23/C23,"")</f>
        <v>642.5</v>
      </c>
      <c r="M23" s="32" t="n">
        <f aca="false">IFERROR(H23/D23*1000,"")</f>
        <v>65.3696498054475</v>
      </c>
      <c r="N23" s="32" t="n">
        <v>5600</v>
      </c>
      <c r="O23" s="33" t="n">
        <f aca="true">IFERROR(IF(OR(N23="",ISBLANK(INDIRECT("'"&amp;$Q$2&amp;"'!N"&amp;ROW()))),"",N23-INDIRECT("'"&amp;$Q$2&amp;"'!N"&amp;ROW())),"")</f>
        <v>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81</v>
      </c>
      <c r="X23" s="17" t="n">
        <f aca="false">IF(OR($O23="",$W23=""),"",$O23-$W23)</f>
        <v>-80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9898</v>
      </c>
      <c r="E24" s="32" t="n">
        <f aca="true">IF($D24="","",IFERROR(IF(ISBLANK(INDIRECT("'"&amp;$Q$2&amp;"'!D"&amp;ROW())),"",INDIRECT("'"&amp;$Q$2&amp;"'!D"&amp;ROW())),""))</f>
        <v>7470</v>
      </c>
      <c r="F24" s="33" t="n">
        <f aca="false">IF(OR(D24="",E24=""),"",D24-E24)</f>
        <v>2428</v>
      </c>
      <c r="G24" s="34" t="n">
        <f aca="false">IFERROR(F24/E24,"")</f>
        <v>0.325033467202142</v>
      </c>
      <c r="H24" s="32" t="n">
        <v>256</v>
      </c>
      <c r="I24" s="32" t="n">
        <f aca="true">IF($H24="","",IFERROR(IF(ISBLANK(INDIRECT("'"&amp;$Q$2&amp;"'!H"&amp;ROW())),"",INDIRECT("'"&amp;$Q$2&amp;"'!H"&amp;ROW())),""))</f>
        <v>196</v>
      </c>
      <c r="J24" s="33" t="n">
        <f aca="false">IF(OR(H24="",I24=""),"",H24-I24)</f>
        <v>60</v>
      </c>
      <c r="K24" s="34" t="n">
        <f aca="false">IFERROR(J24/I24,"")</f>
        <v>0.306122448979592</v>
      </c>
      <c r="L24" s="32" t="n">
        <f aca="false">IFERROR(D24/C24,"")</f>
        <v>1649.66666666667</v>
      </c>
      <c r="M24" s="32" t="n">
        <f aca="false">IFERROR(H24/D24*1000,"")</f>
        <v>25.863810870883</v>
      </c>
      <c r="N24" s="32" t="n">
        <v>2315</v>
      </c>
      <c r="O24" s="33" t="n">
        <f aca="true">IFERROR(IF(OR(N24="",ISBLANK(INDIRECT("'"&amp;$Q$2&amp;"'!N"&amp;ROW()))),"",N24-INDIRECT("'"&amp;$Q$2&amp;"'!N"&amp;ROW())),"")</f>
        <v>2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n">
        <f aca="true">IFERROR(IF(ISBLANK(INDIRECT("'"&amp;$Q$2&amp;"'!O"&amp;ROW())),"",INDIRECT("'"&amp;$Q$2&amp;"'!O"&amp;ROW())),"")</f>
        <v>26</v>
      </c>
      <c r="X24" s="17" t="n">
        <f aca="false">IF(OR($O24="",$W24=""),"",$O24-$W24)</f>
        <v>-24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16793</v>
      </c>
      <c r="E25" s="32" t="n">
        <f aca="true">IF($D25="","",IFERROR(IF(ISBLANK(INDIRECT("'"&amp;$Q$2&amp;"'!D"&amp;ROW())),"",INDIRECT("'"&amp;$Q$2&amp;"'!D"&amp;ROW())),""))</f>
        <v>42129</v>
      </c>
      <c r="F25" s="33" t="n">
        <f aca="false">IF(OR(D25="",E25=""),"",D25-E25)</f>
        <v>-25336</v>
      </c>
      <c r="G25" s="34" t="n">
        <f aca="false">IFERROR(F25/E25,"")</f>
        <v>-0.601390965843006</v>
      </c>
      <c r="H25" s="32" t="n">
        <v>176</v>
      </c>
      <c r="I25" s="32" t="n">
        <f aca="true">IF($H25="","",IFERROR(IF(ISBLANK(INDIRECT("'"&amp;$Q$2&amp;"'!H"&amp;ROW())),"",INDIRECT("'"&amp;$Q$2&amp;"'!H"&amp;ROW())),""))</f>
        <v>211</v>
      </c>
      <c r="J25" s="33" t="n">
        <f aca="false">IF(OR(H25="",I25=""),"",H25-I25)</f>
        <v>-35</v>
      </c>
      <c r="K25" s="34" t="n">
        <f aca="false">IFERROR(J25/I25,"")</f>
        <v>-0.165876777251185</v>
      </c>
      <c r="L25" s="32" t="n">
        <f aca="false">IFERROR(D25/C25,"")</f>
        <v>2099.125</v>
      </c>
      <c r="M25" s="32" t="n">
        <f aca="false">IFERROR(H25/D25*1000,"")</f>
        <v>10.4805573750968</v>
      </c>
      <c r="N25" s="32" t="n">
        <v>6154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n">
        <f aca="true">IFERROR(IF(ISBLANK(INDIRECT("'"&amp;$Q$2&amp;"'!O"&amp;ROW())),"",INDIRECT("'"&amp;$Q$2&amp;"'!O"&amp;ROW())),"")</f>
        <v>161</v>
      </c>
      <c r="X25" s="17" t="n">
        <f aca="false">IF(OR($O25="",$W25=""),"",$O25-$W25)</f>
        <v>-144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241</v>
      </c>
      <c r="D26" s="32" t="n">
        <v>50551</v>
      </c>
      <c r="E26" s="32" t="n">
        <f aca="true">IF($D26="","",IFERROR(IF(ISBLANK(INDIRECT("'"&amp;$Q$2&amp;"'!D"&amp;ROW())),"",INDIRECT("'"&amp;$Q$2&amp;"'!D"&amp;ROW())),""))</f>
        <v>30181</v>
      </c>
      <c r="F26" s="33" t="n">
        <f aca="false">IF(OR(D26="",E26=""),"",D26-E26)</f>
        <v>20370</v>
      </c>
      <c r="G26" s="34" t="n">
        <f aca="false">IFERROR(F26/E26,"")</f>
        <v>0.674927934793413</v>
      </c>
      <c r="H26" s="32" t="n">
        <v>129</v>
      </c>
      <c r="I26" s="32" t="n">
        <f aca="true">IF($H26="","",IFERROR(IF(ISBLANK(INDIRECT("'"&amp;$Q$2&amp;"'!H"&amp;ROW())),"",INDIRECT("'"&amp;$Q$2&amp;"'!H"&amp;ROW())),""))</f>
        <v>111</v>
      </c>
      <c r="J26" s="33" t="n">
        <f aca="false">IF(OR(H26="",I26=""),"",H26-I26)</f>
        <v>18</v>
      </c>
      <c r="K26" s="34" t="n">
        <f aca="false">IFERROR(J26/I26,"")</f>
        <v>0.162162162162162</v>
      </c>
      <c r="L26" s="32" t="n">
        <f aca="false">IFERROR(D26/C26,"")</f>
        <v>209.755186721992</v>
      </c>
      <c r="M26" s="32" t="n">
        <f aca="false">IFERROR(H26/D26*1000,"")</f>
        <v>2.55187830112164</v>
      </c>
      <c r="N26" s="32" t="n">
        <v>7889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n">
        <f aca="true">IFERROR(IF(ISBLANK(INDIRECT("'"&amp;$Q$2&amp;"'!O"&amp;ROW())),"",INDIRECT("'"&amp;$Q$2&amp;"'!O"&amp;ROW())),"")</f>
        <v>122</v>
      </c>
      <c r="X26" s="17" t="n">
        <f aca="false">IF(OR($O26="",$W26=""),"",$O26-$W26)</f>
        <v>-114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2091</v>
      </c>
      <c r="E27" s="32" t="n">
        <f aca="true">IF($D27="","",IFERROR(IF(ISBLANK(INDIRECT("'"&amp;$Q$2&amp;"'!D"&amp;ROW())),"",INDIRECT("'"&amp;$Q$2&amp;"'!D"&amp;ROW())),""))</f>
        <v>1528</v>
      </c>
      <c r="F27" s="33" t="n">
        <f aca="false">IF(OR(D27="",E27=""),"",D27-E27)</f>
        <v>563</v>
      </c>
      <c r="G27" s="34" t="n">
        <f aca="false">IFERROR(F27/E27,"")</f>
        <v>0.368455497382199</v>
      </c>
      <c r="H27" s="32" t="n">
        <v>41</v>
      </c>
      <c r="I27" s="32" t="n">
        <f aca="true">IF($H27="","",IFERROR(IF(ISBLANK(INDIRECT("'"&amp;$Q$2&amp;"'!H"&amp;ROW())),"",INDIRECT("'"&amp;$Q$2&amp;"'!H"&amp;ROW())),""))</f>
        <v>34</v>
      </c>
      <c r="J27" s="33" t="n">
        <f aca="false">IF(OR(H27="",I27=""),"",H27-I27)</f>
        <v>7</v>
      </c>
      <c r="K27" s="34" t="n">
        <f aca="false">IFERROR(J27/I27,"")</f>
        <v>0.205882352941176</v>
      </c>
      <c r="L27" s="32" t="n">
        <f aca="false">IFERROR(D27/C27,"")</f>
        <v>209.1</v>
      </c>
      <c r="M27" s="32" t="n">
        <f aca="false">IFERROR(H27/D27*1000,"")</f>
        <v>19.6078431372549</v>
      </c>
      <c r="N27" s="32" t="n">
        <v>16722</v>
      </c>
      <c r="O27" s="33" t="n">
        <f aca="true">IFERROR(IF(OR(N27="",ISBLANK(INDIRECT("'"&amp;$Q$2&amp;"'!N"&amp;ROW()))),"",N27-INDIRECT("'"&amp;$Q$2&amp;"'!N"&amp;ROW())),"")</f>
        <v>-3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n">
        <f aca="true">IFERROR(IF(ISBLANK(INDIRECT("'"&amp;$Q$2&amp;"'!O"&amp;ROW())),"",INDIRECT("'"&amp;$Q$2&amp;"'!O"&amp;ROW())),"")</f>
        <v>-33</v>
      </c>
      <c r="X27" s="17" t="n">
        <f aca="false">IF(OR($O27="",$W27=""),"",$O27-$W27)</f>
        <v>30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7279</v>
      </c>
      <c r="E28" s="32" t="n">
        <f aca="true">IF($D28="","",IFERROR(IF(ISBLANK(INDIRECT("'"&amp;$Q$2&amp;"'!D"&amp;ROW())),"",INDIRECT("'"&amp;$Q$2&amp;"'!D"&amp;ROW())),""))</f>
        <v>10798</v>
      </c>
      <c r="F28" s="33" t="n">
        <f aca="false">IF(OR(D28="",E28=""),"",D28-E28)</f>
        <v>-3519</v>
      </c>
      <c r="G28" s="34" t="n">
        <f aca="false">IFERROR(F28/E28,"")</f>
        <v>-0.325893684015558</v>
      </c>
      <c r="H28" s="32" t="n">
        <v>35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4</v>
      </c>
      <c r="K28" s="34" t="n">
        <f aca="false">IFERROR(J28/I28,"")</f>
        <v>0.129032258064516</v>
      </c>
      <c r="L28" s="32" t="n">
        <f aca="false">IFERROR(D28/C28,"")</f>
        <v>363.95</v>
      </c>
      <c r="M28" s="32" t="n">
        <f aca="false">IFERROR(H28/D28*1000,"")</f>
        <v>4.8083527957137</v>
      </c>
      <c r="N28" s="32" t="n">
        <v>21908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n">
        <f aca="true">IFERROR(IF(ISBLANK(INDIRECT("'"&amp;$Q$2&amp;"'!O"&amp;ROW())),"",INDIRECT("'"&amp;$Q$2&amp;"'!O"&amp;ROW())),"")</f>
        <v>51</v>
      </c>
      <c r="X28" s="17" t="n">
        <f aca="false">IF(OR($O28="",$W28=""),"",$O28-$W28)</f>
        <v>-48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8</v>
      </c>
      <c r="D29" s="32" t="n">
        <v>14353</v>
      </c>
      <c r="E29" s="32" t="n">
        <f aca="true">IF($D29="","",IFERROR(IF(ISBLANK(INDIRECT("'"&amp;$Q$2&amp;"'!D"&amp;ROW())),"",INDIRECT("'"&amp;$Q$2&amp;"'!D"&amp;ROW())),""))</f>
        <v>10975</v>
      </c>
      <c r="F29" s="33" t="n">
        <f aca="false">IF(OR(D29="",E29=""),"",D29-E29)</f>
        <v>3378</v>
      </c>
      <c r="G29" s="34" t="n">
        <f aca="false">IFERROR(F29/E29,"")</f>
        <v>0.307790432801822</v>
      </c>
      <c r="H29" s="32" t="n">
        <v>353</v>
      </c>
      <c r="I29" s="32" t="n">
        <f aca="true">IF($H29="","",IFERROR(IF(ISBLANK(INDIRECT("'"&amp;$Q$2&amp;"'!H"&amp;ROW())),"",INDIRECT("'"&amp;$Q$2&amp;"'!H"&amp;ROW())),""))</f>
        <v>243</v>
      </c>
      <c r="J29" s="33" t="n">
        <f aca="false">IF(OR(H29="",I29=""),"",H29-I29)</f>
        <v>110</v>
      </c>
      <c r="K29" s="34" t="n">
        <f aca="false">IFERROR(J29/I29,"")</f>
        <v>0.452674897119342</v>
      </c>
      <c r="L29" s="32" t="n">
        <f aca="false">IFERROR(D29/C29,"")</f>
        <v>1794.125</v>
      </c>
      <c r="M29" s="32" t="n">
        <f aca="false">IFERROR(H29/D29*1000,"")</f>
        <v>24.5941614993381</v>
      </c>
      <c r="N29" s="32" t="n">
        <v>9538</v>
      </c>
      <c r="O29" s="33" t="n">
        <f aca="true">IFERROR(IF(OR(N29="",ISBLANK(INDIRECT("'"&amp;$Q$2&amp;"'!N"&amp;ROW()))),"",N29-INDIRECT("'"&amp;$Q$2&amp;"'!N"&amp;ROW())),"")</f>
        <v>87</v>
      </c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1932</v>
      </c>
      <c r="D30" s="36" t="n">
        <f aca="false">SUM(D3:D29)</f>
        <v>3278814</v>
      </c>
      <c r="E30" s="36" t="n">
        <f aca="false">SUM(E3:E29)</f>
        <v>3115718</v>
      </c>
      <c r="F30" s="37" t="n">
        <f aca="false">SUM(F3:F29)</f>
        <v>163096</v>
      </c>
      <c r="G30" s="38" t="n">
        <f aca="false">IF(C30=0,"",IFERROR(F30/E30,""))</f>
        <v>0.052346200779403</v>
      </c>
      <c r="H30" s="36" t="n">
        <f aca="false">SUM(H3:H29)</f>
        <v>36042</v>
      </c>
      <c r="I30" s="36" t="n">
        <f aca="false">SUM(I3:I29)</f>
        <v>33666</v>
      </c>
      <c r="J30" s="37" t="n">
        <f aca="false">SUM(J3:J29)</f>
        <v>2376</v>
      </c>
      <c r="K30" s="38" t="n">
        <f aca="false">IF(C30=0,"",IFERROR(J30/I30,""))</f>
        <v>0.0705756549634646</v>
      </c>
      <c r="L30" s="36" t="n">
        <f aca="false">IFERROR(D30/C30,"")</f>
        <v>1697.10869565217</v>
      </c>
      <c r="M30" s="36" t="n">
        <f aca="false">IFERROR(H30/D30*1000,"")</f>
        <v>10.9923893212607</v>
      </c>
      <c r="N30" s="36" t="n">
        <f aca="false">SUM(N3:N29)</f>
        <v>460461</v>
      </c>
      <c r="O30" s="37" t="n">
        <f aca="false">SUM(O3:O29)</f>
        <v>1042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n">
        <f aca="true">IFERROR(IF(ISBLANK(INDIRECT("'"&amp;$Q$2&amp;"'!O"&amp;ROW())),"",INDIRECT("'"&amp;$Q$2&amp;"'!O"&amp;ROW())),"")</f>
        <v>5683</v>
      </c>
      <c r="X30" s="25" t="n">
        <f aca="false">IF(OR(C30=0,$O30="",$W30=""),"",$O30-$W30)</f>
        <v>-4641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164</v>
      </c>
      <c r="D31" s="32" t="n">
        <v>24426</v>
      </c>
      <c r="E31" s="32" t="n">
        <f aca="true">IF($D31="","",IFERROR(IF(ISBLANK(INDIRECT("'"&amp;$Q$2&amp;"'!D"&amp;ROW())),"",INDIRECT("'"&amp;$Q$2&amp;"'!D"&amp;ROW())),""))</f>
        <v>27808</v>
      </c>
      <c r="F31" s="33" t="n">
        <f aca="false">IF(OR(D31="",E31=""),"",D31-E31)</f>
        <v>-3382</v>
      </c>
      <c r="G31" s="34" t="n">
        <f aca="false">IFERROR(F31/E31,"")</f>
        <v>-0.121619677790564</v>
      </c>
      <c r="H31" s="32" t="n">
        <v>79</v>
      </c>
      <c r="I31" s="32" t="n">
        <f aca="true">IF($H31="","",IFERROR(IF(ISBLANK(INDIRECT("'"&amp;$Q$2&amp;"'!H"&amp;ROW())),"",INDIRECT("'"&amp;$Q$2&amp;"'!H"&amp;ROW())),""))</f>
        <v>61</v>
      </c>
      <c r="J31" s="33" t="n">
        <f aca="false">IF(OR(H31="",I31=""),"",H31-I31)</f>
        <v>18</v>
      </c>
      <c r="K31" s="34" t="n">
        <f aca="false">IFERROR(J31/I31,"")</f>
        <v>0.295081967213115</v>
      </c>
      <c r="L31" s="32" t="n">
        <f aca="false">IFERROR(D31/C31,"")</f>
        <v>148.939024390244</v>
      </c>
      <c r="M31" s="32" t="n">
        <f aca="false">IFERROR(H31/D31*1000,"")</f>
        <v>3.23425857692623</v>
      </c>
      <c r="N31" s="32" t="n">
        <v>32463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n">
        <f aca="true">IFERROR(IF(ISBLANK(INDIRECT("'"&amp;$Q$2&amp;"'!O"&amp;ROW())),"",INDIRECT("'"&amp;$Q$2&amp;"'!O"&amp;ROW())),"")</f>
        <v>9</v>
      </c>
      <c r="X31" s="17" t="n">
        <f aca="false">IF(OR($O31="",$W31=""),"",$O31-$W31)</f>
        <v>-6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121</v>
      </c>
      <c r="D32" s="32" t="n">
        <v>35622</v>
      </c>
      <c r="E32" s="32" t="n">
        <f aca="true">IF($D32="","",IFERROR(IF(ISBLANK(INDIRECT("'"&amp;$Q$2&amp;"'!D"&amp;ROW())),"",INDIRECT("'"&amp;$Q$2&amp;"'!D"&amp;ROW())),""))</f>
        <v>34589</v>
      </c>
      <c r="F32" s="33" t="n">
        <f aca="false">IF(OR(D32="",E32=""),"",D32-E32)</f>
        <v>1033</v>
      </c>
      <c r="G32" s="34" t="n">
        <f aca="false">IFERROR(F32/E32,"")</f>
        <v>0.0298649859782012</v>
      </c>
      <c r="H32" s="32" t="n">
        <v>41</v>
      </c>
      <c r="I32" s="32" t="n">
        <f aca="true">IF($H32="","",IFERROR(IF(ISBLANK(INDIRECT("'"&amp;$Q$2&amp;"'!H"&amp;ROW())),"",INDIRECT("'"&amp;$Q$2&amp;"'!H"&amp;ROW())),""))</f>
        <v>45</v>
      </c>
      <c r="J32" s="33" t="n">
        <f aca="false">IF(OR(H32="",I32=""),"",H32-I32)</f>
        <v>-4</v>
      </c>
      <c r="K32" s="34" t="n">
        <f aca="false">IFERROR(J32/I32,"")</f>
        <v>-0.0888888888888889</v>
      </c>
      <c r="L32" s="32" t="n">
        <f aca="false">IFERROR(D32/C32,"")</f>
        <v>294.396694214876</v>
      </c>
      <c r="M32" s="32" t="n">
        <f aca="false">IFERROR(H32/D32*1000,"")</f>
        <v>1.15097411711863</v>
      </c>
      <c r="N32" s="32" t="n">
        <v>21732</v>
      </c>
      <c r="O32" s="33" t="n">
        <f aca="true">IFERROR(IF(OR(N32="",ISBLANK(INDIRECT("'"&amp;$Q$2&amp;"'!N"&amp;ROW()))),"",N32-INDIRECT("'"&amp;$Q$2&amp;"'!N"&amp;ROW())),"")</f>
        <v>0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n">
        <f aca="true">IFERROR(IF(ISBLANK(INDIRECT("'"&amp;$Q$2&amp;"'!O"&amp;ROW())),"",INDIRECT("'"&amp;$Q$2&amp;"'!O"&amp;ROW())),"")</f>
        <v>4</v>
      </c>
      <c r="X32" s="17" t="n">
        <f aca="false">IF(OR($O32="",$W32=""),"",$O32-$W32)</f>
        <v>-4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85</v>
      </c>
      <c r="D33" s="32" t="n">
        <v>25717</v>
      </c>
      <c r="E33" s="32" t="n">
        <f aca="true">IF($D33="","",IFERROR(IF(ISBLANK(INDIRECT("'"&amp;$Q$2&amp;"'!D"&amp;ROW())),"",INDIRECT("'"&amp;$Q$2&amp;"'!D"&amp;ROW())),""))</f>
        <v>22158</v>
      </c>
      <c r="F33" s="33" t="n">
        <f aca="false">IF(OR(D33="",E33=""),"",D33-E33)</f>
        <v>3559</v>
      </c>
      <c r="G33" s="34" t="n">
        <f aca="false">IFERROR(F33/E33,"")</f>
        <v>0.160619189457532</v>
      </c>
      <c r="H33" s="32" t="n">
        <v>6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</v>
      </c>
      <c r="K33" s="34" t="n">
        <f aca="false">IFERROR(J33/I33,"")</f>
        <v>0.2</v>
      </c>
      <c r="L33" s="32" t="n">
        <f aca="false">IFERROR(D33/C33,"")</f>
        <v>302.552941176471</v>
      </c>
      <c r="M33" s="32" t="n">
        <f aca="false">IFERROR(H33/D33*1000,"")</f>
        <v>0.233308706303224</v>
      </c>
      <c r="N33" s="32" t="n">
        <v>8962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n">
        <f aca="true">IFERROR(IF(ISBLANK(INDIRECT("'"&amp;$Q$2&amp;"'!O"&amp;ROW())),"",INDIRECT("'"&amp;$Q$2&amp;"'!O"&amp;ROW())),"")</f>
        <v>3</v>
      </c>
      <c r="X33" s="17" t="n">
        <f aca="false">IF(OR($O33="",$W33=""),"",$O33-$W33)</f>
        <v>-4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107</v>
      </c>
      <c r="D34" s="32" t="n">
        <v>1655</v>
      </c>
      <c r="E34" s="32" t="n">
        <f aca="true">IF($D34="","",IFERROR(IF(ISBLANK(INDIRECT("'"&amp;$Q$2&amp;"'!D"&amp;ROW())),"",INDIRECT("'"&amp;$Q$2&amp;"'!D"&amp;ROW())),""))</f>
        <v>1088</v>
      </c>
      <c r="F34" s="33" t="n">
        <f aca="false">IF(OR(D34="",E34=""),"",D34-E34)</f>
        <v>567</v>
      </c>
      <c r="G34" s="34" t="n">
        <f aca="false">IFERROR(F34/E34,"")</f>
        <v>0.521139705882353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15.4672897196262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1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2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97</v>
      </c>
      <c r="D35" s="32" t="n">
        <v>10205</v>
      </c>
      <c r="E35" s="32" t="n">
        <f aca="true">IF($D35="","",IFERROR(IF(ISBLANK(INDIRECT("'"&amp;$Q$2&amp;"'!D"&amp;ROW())),"",INDIRECT("'"&amp;$Q$2&amp;"'!D"&amp;ROW())),""))</f>
        <v>12768</v>
      </c>
      <c r="F35" s="33" t="n">
        <f aca="false">IF(OR(D35="",E35=""),"",D35-E35)</f>
        <v>-2563</v>
      </c>
      <c r="G35" s="34" t="n">
        <f aca="false">IFERROR(F35/E35,"")</f>
        <v>-0.200736215538847</v>
      </c>
      <c r="H35" s="32" t="n">
        <v>158</v>
      </c>
      <c r="I35" s="32" t="n">
        <f aca="true">IF($H35="","",IFERROR(IF(ISBLANK(INDIRECT("'"&amp;$Q$2&amp;"'!H"&amp;ROW())),"",INDIRECT("'"&amp;$Q$2&amp;"'!H"&amp;ROW())),""))</f>
        <v>146</v>
      </c>
      <c r="J35" s="33" t="n">
        <f aca="false">IF(OR(H35="",I35=""),"",H35-I35)</f>
        <v>12</v>
      </c>
      <c r="K35" s="34" t="n">
        <f aca="false">IFERROR(J35/I35,"")</f>
        <v>0.0821917808219178</v>
      </c>
      <c r="L35" s="32" t="n">
        <f aca="false">IFERROR(D35/C35,"")</f>
        <v>105.20618556701</v>
      </c>
      <c r="M35" s="32" t="n">
        <f aca="false">IFERROR(H35/D35*1000,"")</f>
        <v>15.4826065654091</v>
      </c>
      <c r="N35" s="32" t="n">
        <v>1936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104</v>
      </c>
      <c r="D36" s="32" t="n">
        <v>43443</v>
      </c>
      <c r="E36" s="32" t="n">
        <f aca="true">IF($D36="","",IFERROR(IF(ISBLANK(INDIRECT("'"&amp;$Q$2&amp;"'!D"&amp;ROW())),"",INDIRECT("'"&amp;$Q$2&amp;"'!D"&amp;ROW())),""))</f>
        <v>37402</v>
      </c>
      <c r="F36" s="33" t="n">
        <f aca="false">IF(OR(D36="",E36=""),"",D36-E36)</f>
        <v>6041</v>
      </c>
      <c r="G36" s="34" t="n">
        <f aca="false">IFERROR(F36/E36,"")</f>
        <v>0.161515426982514</v>
      </c>
      <c r="H36" s="32" t="n">
        <v>922</v>
      </c>
      <c r="I36" s="32" t="n">
        <f aca="true">IF($H36="","",IFERROR(IF(ISBLANK(INDIRECT("'"&amp;$Q$2&amp;"'!H"&amp;ROW())),"",INDIRECT("'"&amp;$Q$2&amp;"'!H"&amp;ROW())),""))</f>
        <v>608</v>
      </c>
      <c r="J36" s="33" t="n">
        <f aca="false">IF(OR(H36="",I36=""),"",H36-I36)</f>
        <v>314</v>
      </c>
      <c r="K36" s="34" t="n">
        <f aca="false">IFERROR(J36/I36,"")</f>
        <v>0.516447368421053</v>
      </c>
      <c r="L36" s="32" t="n">
        <f aca="false">IFERROR(D36/C36,"")</f>
        <v>417.721153846154</v>
      </c>
      <c r="M36" s="32" t="n">
        <f aca="false">IFERROR(H36/D36*1000,"")</f>
        <v>21.2232120249522</v>
      </c>
      <c r="N36" s="32" t="n">
        <v>5879</v>
      </c>
      <c r="O36" s="33" t="n">
        <f aca="true">IFERROR(IF(OR(N36="",ISBLANK(INDIRECT("'"&amp;$Q$2&amp;"'!N"&amp;ROW()))),"",N36-INDIRECT("'"&amp;$Q$2&amp;"'!N"&amp;ROW())),"")</f>
        <v>4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3</v>
      </c>
      <c r="X36" s="17" t="n">
        <f aca="false">IF(OR($O36="",$W36=""),"",$O36-$W36)</f>
        <v>1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101</v>
      </c>
      <c r="D37" s="32" t="n">
        <v>5494</v>
      </c>
      <c r="E37" s="32" t="n">
        <f aca="true">IF($D37="","",IFERROR(IF(ISBLANK(INDIRECT("'"&amp;$Q$2&amp;"'!D"&amp;ROW())),"",INDIRECT("'"&amp;$Q$2&amp;"'!D"&amp;ROW())),""))</f>
        <v>6619</v>
      </c>
      <c r="F37" s="33" t="n">
        <f aca="false">IF(OR(D37="",E37=""),"",D37-E37)</f>
        <v>-1125</v>
      </c>
      <c r="G37" s="34" t="n">
        <f aca="false">IFERROR(F37/E37,"")</f>
        <v>-0.169965251548572</v>
      </c>
      <c r="H37" s="32" t="n">
        <v>23</v>
      </c>
      <c r="I37" s="32" t="n">
        <f aca="true">IF($H37="","",IFERROR(IF(ISBLANK(INDIRECT("'"&amp;$Q$2&amp;"'!H"&amp;ROW())),"",INDIRECT("'"&amp;$Q$2&amp;"'!H"&amp;ROW())),""))</f>
        <v>31</v>
      </c>
      <c r="J37" s="33" t="n">
        <f aca="false">IF(OR(H37="",I37=""),"",H37-I37)</f>
        <v>-8</v>
      </c>
      <c r="K37" s="34" t="n">
        <f aca="false">IFERROR(J37/I37,"")</f>
        <v>-0.258064516129032</v>
      </c>
      <c r="L37" s="32" t="n">
        <f aca="false">IFERROR(D37/C37,"")</f>
        <v>54.3960396039604</v>
      </c>
      <c r="M37" s="32" t="n">
        <f aca="false">IFERROR(H37/D37*1000,"")</f>
        <v>4.18638514743356</v>
      </c>
      <c r="N37" s="32" t="n">
        <v>3234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90</v>
      </c>
      <c r="D38" s="32" t="n">
        <v>7276</v>
      </c>
      <c r="E38" s="32" t="n">
        <f aca="true">IF($D38="","",IFERROR(IF(ISBLANK(INDIRECT("'"&amp;$Q$2&amp;"'!D"&amp;ROW())),"",INDIRECT("'"&amp;$Q$2&amp;"'!D"&amp;ROW())),""))</f>
        <v>5396</v>
      </c>
      <c r="F38" s="33" t="n">
        <f aca="false">IF(OR(D38="",E38=""),"",D38-E38)</f>
        <v>1880</v>
      </c>
      <c r="G38" s="34" t="n">
        <f aca="false">IFERROR(F38/E38,"")</f>
        <v>0.348406226834692</v>
      </c>
      <c r="H38" s="32" t="n">
        <v>85</v>
      </c>
      <c r="I38" s="32" t="n">
        <f aca="true">IF($H38="","",IFERROR(IF(ISBLANK(INDIRECT("'"&amp;$Q$2&amp;"'!H"&amp;ROW())),"",INDIRECT("'"&amp;$Q$2&amp;"'!H"&amp;ROW())),""))</f>
        <v>18</v>
      </c>
      <c r="J38" s="33" t="n">
        <f aca="false">IF(OR(H38="",I38=""),"",H38-I38)</f>
        <v>67</v>
      </c>
      <c r="K38" s="34" t="n">
        <f aca="false">IFERROR(J38/I38,"")</f>
        <v>3.72222222222222</v>
      </c>
      <c r="L38" s="32" t="n">
        <f aca="false">IFERROR(D38/C38,"")</f>
        <v>80.8444444444445</v>
      </c>
      <c r="M38" s="32" t="n">
        <f aca="false">IFERROR(H38/D38*1000,"")</f>
        <v>11.6822429906542</v>
      </c>
      <c r="N38" s="32" t="n">
        <v>1695</v>
      </c>
      <c r="O38" s="33" t="n">
        <f aca="true">IFERROR(IF(OR(N38="",ISBLANK(INDIRECT("'"&amp;$Q$2&amp;"'!N"&amp;ROW()))),"",N38-INDIRECT("'"&amp;$Q$2&amp;"'!N"&amp;ROW())),"")</f>
        <v>2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n">
        <f aca="true">IFERROR(IF(ISBLANK(INDIRECT("'"&amp;$Q$2&amp;"'!O"&amp;ROW())),"",INDIRECT("'"&amp;$Q$2&amp;"'!O"&amp;ROW())),"")</f>
        <v>3</v>
      </c>
      <c r="X38" s="17" t="n">
        <f aca="false">IF(OR($O38="",$W38=""),"",$O38-$W38)</f>
        <v>-1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67</v>
      </c>
      <c r="D39" s="32" t="n">
        <v>3006</v>
      </c>
      <c r="E39" s="32" t="n">
        <f aca="true">IF($D39="","",IFERROR(IF(ISBLANK(INDIRECT("'"&amp;$Q$2&amp;"'!D"&amp;ROW())),"",INDIRECT("'"&amp;$Q$2&amp;"'!D"&amp;ROW())),""))</f>
        <v>2787</v>
      </c>
      <c r="F39" s="33" t="n">
        <f aca="false">IF(OR(D39="",E39=""),"",D39-E39)</f>
        <v>219</v>
      </c>
      <c r="G39" s="34" t="n">
        <f aca="false">IFERROR(F39/E39,"")</f>
        <v>0.0785791173304629</v>
      </c>
      <c r="H39" s="32" t="n">
        <v>46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43</v>
      </c>
      <c r="K39" s="34" t="n">
        <f aca="false">IFERROR(J39/I39,"")</f>
        <v>14.3333333333333</v>
      </c>
      <c r="L39" s="32" t="n">
        <f aca="false">IFERROR(D39/C39,"")</f>
        <v>44.865671641791</v>
      </c>
      <c r="M39" s="32" t="n">
        <f aca="false">IFERROR(H39/D39*1000,"")</f>
        <v>15.3027278775782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n">
        <f aca="true">IFERROR(IF(ISBLANK(INDIRECT("'"&amp;$Q$2&amp;"'!O"&amp;ROW())),"",INDIRECT("'"&amp;$Q$2&amp;"'!O"&amp;ROW())),"")</f>
        <v>2</v>
      </c>
      <c r="X39" s="17" t="n">
        <f aca="false">IF(OR($O39="",$W39=""),"",$O39-$W39)</f>
        <v>-2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66</v>
      </c>
      <c r="D40" s="32" t="n">
        <v>8243</v>
      </c>
      <c r="E40" s="32" t="n">
        <f aca="true">IF($D40="","",IFERROR(IF(ISBLANK(INDIRECT("'"&amp;$Q$2&amp;"'!D"&amp;ROW())),"",INDIRECT("'"&amp;$Q$2&amp;"'!D"&amp;ROW())),""))</f>
        <v>4257</v>
      </c>
      <c r="F40" s="33" t="n">
        <f aca="false">IF(OR(D40="",E40=""),"",D40-E40)</f>
        <v>3986</v>
      </c>
      <c r="G40" s="34" t="n">
        <f aca="false">IFERROR(F40/E40,"")</f>
        <v>0.936340145642471</v>
      </c>
      <c r="H40" s="32" t="n">
        <v>132</v>
      </c>
      <c r="I40" s="32" t="n">
        <f aca="true">IF($H40="","",IFERROR(IF(ISBLANK(INDIRECT("'"&amp;$Q$2&amp;"'!H"&amp;ROW())),"",INDIRECT("'"&amp;$Q$2&amp;"'!H"&amp;ROW())),""))</f>
        <v>15</v>
      </c>
      <c r="J40" s="33" t="n">
        <f aca="false">IF(OR(H40="",I40=""),"",H40-I40)</f>
        <v>117</v>
      </c>
      <c r="K40" s="34" t="n">
        <f aca="false">IFERROR(J40/I40,"")</f>
        <v>7.8</v>
      </c>
      <c r="L40" s="32" t="n">
        <f aca="false">IFERROR(D40/C40,"")</f>
        <v>124.893939393939</v>
      </c>
      <c r="M40" s="32" t="n">
        <f aca="false">IFERROR(H40/D40*1000,"")</f>
        <v>16.0135872861822</v>
      </c>
      <c r="N40" s="32" t="n">
        <v>4953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3</v>
      </c>
      <c r="X40" s="17" t="n">
        <f aca="false">IF(OR($O40="",$W40=""),"",$O40-$W40)</f>
        <v>1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44</v>
      </c>
      <c r="D41" s="32" t="n">
        <v>7631</v>
      </c>
      <c r="E41" s="32" t="n">
        <f aca="true">IF($D41="","",IFERROR(IF(ISBLANK(INDIRECT("'"&amp;$Q$2&amp;"'!D"&amp;ROW())),"",INDIRECT("'"&amp;$Q$2&amp;"'!D"&amp;ROW())),""))</f>
        <v>7132</v>
      </c>
      <c r="F41" s="33" t="n">
        <f aca="false">IF(OR(D41="",E41=""),"",D41-E41)</f>
        <v>499</v>
      </c>
      <c r="G41" s="34" t="n">
        <f aca="false">IFERROR(F41/E41,"")</f>
        <v>0.0699663488502524</v>
      </c>
      <c r="H41" s="32" t="n">
        <v>69</v>
      </c>
      <c r="I41" s="32" t="n">
        <f aca="true">IF($H41="","",IFERROR(IF(ISBLANK(INDIRECT("'"&amp;$Q$2&amp;"'!H"&amp;ROW())),"",INDIRECT("'"&amp;$Q$2&amp;"'!H"&amp;ROW())),""))</f>
        <v>57</v>
      </c>
      <c r="J41" s="33" t="n">
        <f aca="false">IF(OR(H41="",I41=""),"",H41-I41)</f>
        <v>12</v>
      </c>
      <c r="K41" s="34" t="n">
        <f aca="false">IFERROR(J41/I41,"")</f>
        <v>0.210526315789474</v>
      </c>
      <c r="L41" s="32" t="n">
        <f aca="false">IFERROR(D41/C41,"")</f>
        <v>173.431818181818</v>
      </c>
      <c r="M41" s="32" t="n">
        <f aca="false">IFERROR(H41/D41*1000,"")</f>
        <v>9.04206526012318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n">
        <f aca="true">IFERROR(IF(ISBLANK(INDIRECT("'"&amp;$Q$2&amp;"'!O"&amp;ROW())),"",INDIRECT("'"&amp;$Q$2&amp;"'!O"&amp;ROW())),"")</f>
        <v>3</v>
      </c>
      <c r="X41" s="17" t="n">
        <f aca="false">IF(OR($O41="",$W41=""),"",$O41-$W41)</f>
        <v>-3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34</v>
      </c>
      <c r="D42" s="32" t="n">
        <v>8146</v>
      </c>
      <c r="E42" s="32" t="n">
        <f aca="true">IF($D42="","",IFERROR(IF(ISBLANK(INDIRECT("'"&amp;$Q$2&amp;"'!D"&amp;ROW())),"",INDIRECT("'"&amp;$Q$2&amp;"'!D"&amp;ROW())),""))</f>
        <v>9378</v>
      </c>
      <c r="F42" s="33" t="n">
        <f aca="false">IF(OR(D42="",E42=""),"",D42-E42)</f>
        <v>-1232</v>
      </c>
      <c r="G42" s="34" t="n">
        <f aca="false">IFERROR(F42/E42,"")</f>
        <v>-0.131371294519087</v>
      </c>
      <c r="H42" s="32" t="n">
        <v>293</v>
      </c>
      <c r="I42" s="32" t="n">
        <f aca="true">IF($H42="","",IFERROR(IF(ISBLANK(INDIRECT("'"&amp;$Q$2&amp;"'!H"&amp;ROW())),"",INDIRECT("'"&amp;$Q$2&amp;"'!H"&amp;ROW())),""))</f>
        <v>186</v>
      </c>
      <c r="J42" s="33" t="n">
        <f aca="false">IF(OR(H42="",I42=""),"",H42-I42)</f>
        <v>107</v>
      </c>
      <c r="K42" s="34" t="n">
        <f aca="false">IFERROR(J42/I42,"")</f>
        <v>0.575268817204301</v>
      </c>
      <c r="L42" s="32" t="n">
        <f aca="false">IFERROR(D42/C42,"")</f>
        <v>239.588235294118</v>
      </c>
      <c r="M42" s="32" t="n">
        <f aca="false">IFERROR(H42/D42*1000,"")</f>
        <v>35.9685735330223</v>
      </c>
      <c r="N42" s="32" t="n">
        <v>648</v>
      </c>
      <c r="O42" s="33" t="n">
        <f aca="true">IFERROR(IF(OR(N42="",ISBLANK(INDIRECT("'"&amp;$Q$2&amp;"'!N"&amp;ROW()))),"",N42-INDIRECT("'"&amp;$Q$2&amp;"'!N"&amp;ROW())),"")</f>
        <v>5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n">
        <f aca="true">IFERROR(IF(ISBLANK(INDIRECT("'"&amp;$Q$2&amp;"'!O"&amp;ROW())),"",INDIRECT("'"&amp;$Q$2&amp;"'!O"&amp;ROW())),"")</f>
        <v>9</v>
      </c>
      <c r="X42" s="17" t="n">
        <f aca="false">IF(OR($O42="",$W42=""),"",$O42-$W42)</f>
        <v>-4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47</v>
      </c>
      <c r="D43" s="32" t="n">
        <v>4493</v>
      </c>
      <c r="E43" s="32" t="n">
        <f aca="true">IF($D43="","",IFERROR(IF(ISBLANK(INDIRECT("'"&amp;$Q$2&amp;"'!D"&amp;ROW())),"",INDIRECT("'"&amp;$Q$2&amp;"'!D"&amp;ROW())),""))</f>
        <v>3692</v>
      </c>
      <c r="F43" s="33" t="n">
        <f aca="false">IF(OR(D43="",E43=""),"",D43-E43)</f>
        <v>801</v>
      </c>
      <c r="G43" s="34" t="n">
        <f aca="false">IFERROR(F43/E43,"")</f>
        <v>0.216955579631636</v>
      </c>
      <c r="H43" s="32" t="n">
        <v>53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28</v>
      </c>
      <c r="K43" s="34" t="n">
        <f aca="false">IFERROR(J43/I43,"")</f>
        <v>1.12</v>
      </c>
      <c r="L43" s="32" t="n">
        <f aca="false">IFERROR(D43/C43,"")</f>
        <v>95.5957446808511</v>
      </c>
      <c r="M43" s="32" t="n">
        <f aca="false">IFERROR(H43/D43*1000,"")</f>
        <v>11.7961273091476</v>
      </c>
      <c r="N43" s="32" t="n">
        <v>1951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13849</v>
      </c>
      <c r="E44" s="32" t="n">
        <f aca="true">IF($D44="","",IFERROR(IF(ISBLANK(INDIRECT("'"&amp;$Q$2&amp;"'!D"&amp;ROW())),"",INDIRECT("'"&amp;$Q$2&amp;"'!D"&amp;ROW())),""))</f>
        <v>9680</v>
      </c>
      <c r="F44" s="33" t="n">
        <f aca="false">IF(OR(D44="",E44=""),"",D44-E44)</f>
        <v>4169</v>
      </c>
      <c r="G44" s="34" t="n">
        <f aca="false">IFERROR(F44/E44,"")</f>
        <v>0.430681818181818</v>
      </c>
      <c r="H44" s="32" t="n">
        <v>374</v>
      </c>
      <c r="I44" s="32" t="n">
        <f aca="true">IF($H44="","",IFERROR(IF(ISBLANK(INDIRECT("'"&amp;$Q$2&amp;"'!H"&amp;ROW())),"",INDIRECT("'"&amp;$Q$2&amp;"'!H"&amp;ROW())),""))</f>
        <v>66</v>
      </c>
      <c r="J44" s="33" t="n">
        <f aca="false">IF(OR(H44="",I44=""),"",H44-I44)</f>
        <v>308</v>
      </c>
      <c r="K44" s="34" t="n">
        <f aca="false">IFERROR(J44/I44,"")</f>
        <v>4.66666666666667</v>
      </c>
      <c r="L44" s="32" t="n">
        <f aca="false">IFERROR(D44/C44,"")</f>
        <v>271.549019607843</v>
      </c>
      <c r="M44" s="32" t="n">
        <f aca="false">IFERROR(H44/D44*1000,"")</f>
        <v>27.0055599682288</v>
      </c>
      <c r="N44" s="32" t="n">
        <v>4886</v>
      </c>
      <c r="O44" s="33" t="n">
        <f aca="true">IFERROR(IF(OR(N44="",ISBLANK(INDIRECT("'"&amp;$Q$2&amp;"'!N"&amp;ROW()))),"",N44-INDIRECT("'"&amp;$Q$2&amp;"'!N"&amp;ROW())),"")</f>
        <v>2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n">
        <f aca="false">IF(OR($O44="",$W44=""),"",$O44-$W44)</f>
        <v>-3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80</v>
      </c>
      <c r="D45" s="32" t="n">
        <v>33212</v>
      </c>
      <c r="E45" s="32" t="n">
        <f aca="true">IF($D45="","",IFERROR(IF(ISBLANK(INDIRECT("'"&amp;$Q$2&amp;"'!D"&amp;ROW())),"",INDIRECT("'"&amp;$Q$2&amp;"'!D"&amp;ROW())),""))</f>
        <v>19928</v>
      </c>
      <c r="F45" s="33" t="n">
        <f aca="false">IF(OR(D45="",E45=""),"",D45-E45)</f>
        <v>13284</v>
      </c>
      <c r="G45" s="34" t="n">
        <f aca="false">IFERROR(F45/E45,"")</f>
        <v>0.666599759132878</v>
      </c>
      <c r="H45" s="32" t="n">
        <v>566</v>
      </c>
      <c r="I45" s="32" t="n">
        <f aca="true">IF($H45="","",IFERROR(IF(ISBLANK(INDIRECT("'"&amp;$Q$2&amp;"'!H"&amp;ROW())),"",INDIRECT("'"&amp;$Q$2&amp;"'!H"&amp;ROW())),""))</f>
        <v>220</v>
      </c>
      <c r="J45" s="33" t="n">
        <f aca="false">IF(OR(H45="",I45=""),"",H45-I45)</f>
        <v>346</v>
      </c>
      <c r="K45" s="34" t="n">
        <f aca="false">IFERROR(J45/I45,"")</f>
        <v>1.57272727272727</v>
      </c>
      <c r="L45" s="32" t="n">
        <f aca="false">IFERROR(D45/C45,"")</f>
        <v>415.15</v>
      </c>
      <c r="M45" s="32" t="n">
        <f aca="false">IFERROR(H45/D45*1000,"")</f>
        <v>17.0420330001204</v>
      </c>
      <c r="N45" s="32" t="n">
        <v>3737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n">
        <f aca="true">IFERROR(IF(ISBLANK(INDIRECT("'"&amp;$Q$2&amp;"'!O"&amp;ROW())),"",INDIRECT("'"&amp;$Q$2&amp;"'!O"&amp;ROW())),"")</f>
        <v>12</v>
      </c>
      <c r="X45" s="17" t="n">
        <f aca="false">IF(OR($O45="",$W45=""),"",$O45-$W45)</f>
        <v>-6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67</v>
      </c>
      <c r="D46" s="32" t="n">
        <v>27413</v>
      </c>
      <c r="E46" s="32" t="n">
        <f aca="true">IF($D46="","",IFERROR(IF(ISBLANK(INDIRECT("'"&amp;$Q$2&amp;"'!D"&amp;ROW())),"",INDIRECT("'"&amp;$Q$2&amp;"'!D"&amp;ROW())),""))</f>
        <v>42572</v>
      </c>
      <c r="F46" s="33" t="n">
        <f aca="false">IF(OR(D46="",E46=""),"",D46-E46)</f>
        <v>-15159</v>
      </c>
      <c r="G46" s="34" t="n">
        <f aca="false">IFERROR(F46/E46,"")</f>
        <v>-0.35607911303204</v>
      </c>
      <c r="H46" s="32" t="n">
        <v>660</v>
      </c>
      <c r="I46" s="32" t="n">
        <f aca="true">IF($H46="","",IFERROR(IF(ISBLANK(INDIRECT("'"&amp;$Q$2&amp;"'!H"&amp;ROW())),"",INDIRECT("'"&amp;$Q$2&amp;"'!H"&amp;ROW())),""))</f>
        <v>694</v>
      </c>
      <c r="J46" s="33" t="n">
        <f aca="false">IF(OR(H46="",I46=""),"",H46-I46)</f>
        <v>-34</v>
      </c>
      <c r="K46" s="34" t="n">
        <f aca="false">IFERROR(J46/I46,"")</f>
        <v>-0.0489913544668588</v>
      </c>
      <c r="L46" s="32" t="n">
        <f aca="false">IFERROR(D46/C46,"")</f>
        <v>409.149253731343</v>
      </c>
      <c r="M46" s="32" t="n">
        <f aca="false">IFERROR(H46/D46*1000,"")</f>
        <v>24.0761682413454</v>
      </c>
      <c r="N46" s="32" t="n">
        <v>4502</v>
      </c>
      <c r="O46" s="33" t="n">
        <f aca="true">IFERROR(IF(OR(N46="",ISBLANK(INDIRECT("'"&amp;$Q$2&amp;"'!N"&amp;ROW()))),"",N46-INDIRECT("'"&amp;$Q$2&amp;"'!N"&amp;ROW())),"")</f>
        <v>6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n">
        <f aca="true">IFERROR(IF(ISBLANK(INDIRECT("'"&amp;$Q$2&amp;"'!O"&amp;ROW())),"",INDIRECT("'"&amp;$Q$2&amp;"'!O"&amp;ROW())),"")</f>
        <v>9</v>
      </c>
      <c r="X46" s="17" t="n">
        <f aca="false">IF(OR($O46="",$W46=""),"",$O46-$W46)</f>
        <v>-3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3</v>
      </c>
      <c r="D47" s="32" t="n">
        <v>569</v>
      </c>
      <c r="E47" s="32" t="n">
        <f aca="true">IF($D47="","",IFERROR(IF(ISBLANK(INDIRECT("'"&amp;$Q$2&amp;"'!D"&amp;ROW())),"",INDIRECT("'"&amp;$Q$2&amp;"'!D"&amp;ROW())),""))</f>
        <v>769</v>
      </c>
      <c r="F47" s="33" t="n">
        <f aca="false">IF(OR(D47="",E47=""),"",D47-E47)</f>
        <v>-200</v>
      </c>
      <c r="G47" s="34" t="n">
        <f aca="false">IFERROR(F47/E47,"")</f>
        <v>-0.260078023407022</v>
      </c>
      <c r="H47" s="32" t="n">
        <v>99</v>
      </c>
      <c r="I47" s="32" t="n">
        <f aca="true">IF($H47="","",IFERROR(IF(ISBLANK(INDIRECT("'"&amp;$Q$2&amp;"'!H"&amp;ROW())),"",INDIRECT("'"&amp;$Q$2&amp;"'!H"&amp;ROW())),""))</f>
        <v>16</v>
      </c>
      <c r="J47" s="33" t="n">
        <f aca="false">IF(OR(H47="",I47=""),"",H47-I47)</f>
        <v>83</v>
      </c>
      <c r="K47" s="34" t="n">
        <f aca="false">IFERROR(J47/I47,"")</f>
        <v>5.1875</v>
      </c>
      <c r="L47" s="32" t="n">
        <f aca="false">IFERROR(D47/C47,"")</f>
        <v>189.666666666667</v>
      </c>
      <c r="M47" s="32" t="n">
        <f aca="false">IFERROR(H47/D47*1000,"")</f>
        <v>173.989455184534</v>
      </c>
      <c r="N47" s="32" t="n">
        <v>854</v>
      </c>
      <c r="O47" s="33" t="n">
        <f aca="true">IFERROR(IF(OR(N47="",ISBLANK(INDIRECT("'"&amp;$Q$2&amp;"'!N"&amp;ROW()))),"",N47-INDIRECT("'"&amp;$Q$2&amp;"'!N"&amp;ROW())),"")</f>
        <v>-1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5</v>
      </c>
      <c r="X47" s="17" t="n">
        <f aca="false">IF(OR($O47="",$W47=""),"",$O47-$W47)</f>
        <v>-6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6</v>
      </c>
      <c r="D48" s="32" t="n">
        <v>998</v>
      </c>
      <c r="E48" s="32" t="n">
        <f aca="true">IF($D48="","",IFERROR(IF(ISBLANK(INDIRECT("'"&amp;$Q$2&amp;"'!D"&amp;ROW())),"",INDIRECT("'"&amp;$Q$2&amp;"'!D"&amp;ROW())),""))</f>
        <v>336</v>
      </c>
      <c r="F48" s="33" t="n">
        <f aca="false">IF(OR(D48="",E48=""),"",D48-E48)</f>
        <v>662</v>
      </c>
      <c r="G48" s="34" t="n">
        <f aca="false">IFERROR(F48/E48,"")</f>
        <v>1.9702380952381</v>
      </c>
      <c r="H48" s="32" t="n">
        <v>138</v>
      </c>
      <c r="I48" s="32" t="n">
        <f aca="true">IF($H48="","",IFERROR(IF(ISBLANK(INDIRECT("'"&amp;$Q$2&amp;"'!H"&amp;ROW())),"",INDIRECT("'"&amp;$Q$2&amp;"'!H"&amp;ROW())),""))</f>
        <v>13</v>
      </c>
      <c r="J48" s="33" t="n">
        <f aca="false">IF(OR(H48="",I48=""),"",H48-I48)</f>
        <v>125</v>
      </c>
      <c r="K48" s="34" t="n">
        <f aca="false">IFERROR(J48/I48,"")</f>
        <v>9.61538461538462</v>
      </c>
      <c r="L48" s="32" t="n">
        <f aca="false">IFERROR(D48/C48,"")</f>
        <v>166.333333333333</v>
      </c>
      <c r="M48" s="32" t="n">
        <f aca="false">IFERROR(H48/D48*1000,"")</f>
        <v>138.276553106212</v>
      </c>
      <c r="N48" s="32" t="n">
        <v>858</v>
      </c>
      <c r="O48" s="33" t="n">
        <f aca="true">IFERROR(IF(OR(N48="",ISBLANK(INDIRECT("'"&amp;$Q$2&amp;"'!N"&amp;ROW()))),"",N48-INDIRECT("'"&amp;$Q$2&amp;"'!N"&amp;ROW())),"")</f>
        <v>5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2</v>
      </c>
      <c r="X48" s="17" t="n">
        <f aca="false">IF(OR($O48="",$W48=""),"",$O48-$W48)</f>
        <v>3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234</v>
      </c>
      <c r="D49" s="32" t="n">
        <v>6982</v>
      </c>
      <c r="E49" s="32" t="str">
        <f aca="true">IF($D49="","",IFERROR(IF(ISBLANK(INDIRECT("'"&amp;$Q$2&amp;"'!D"&amp;ROW())),"",INDIRECT("'"&amp;$Q$2&amp;"'!D"&amp;ROW())),""))</f>
        <v/>
      </c>
      <c r="F49" s="33" t="str">
        <f aca="false">IF(OR(D49="",E49=""),"",D49-E49)</f>
        <v/>
      </c>
      <c r="G49" s="34" t="str">
        <f aca="false">IFERROR(F49/E49,"")</f>
        <v/>
      </c>
      <c r="H49" s="32" t="n">
        <v>1</v>
      </c>
      <c r="I49" s="32" t="str">
        <f aca="true">IF($H49="","",IFERROR(IF(ISBLANK(INDIRECT("'"&amp;$Q$2&amp;"'!H"&amp;ROW())),"",INDIRECT("'"&amp;$Q$2&amp;"'!H"&amp;ROW())),""))</f>
        <v/>
      </c>
      <c r="J49" s="33" t="str">
        <f aca="false">IF(OR(H49="",I49=""),"",H49-I49)</f>
        <v/>
      </c>
      <c r="K49" s="34" t="str">
        <f aca="false">IFERROR(J49/I49,"")</f>
        <v/>
      </c>
      <c r="L49" s="32" t="n">
        <f aca="false">IFERROR(D49/C49,"")</f>
        <v>29.8376068376068</v>
      </c>
      <c r="M49" s="32" t="n">
        <f aca="false">IFERROR(H49/D49*1000,"")</f>
        <v>0.143225436837582</v>
      </c>
      <c r="N49" s="32" t="n">
        <v>4815</v>
      </c>
      <c r="O49" s="33" t="str">
        <f aca="true">IFERROR(IF(OR(N49="",ISBLANK(INDIRECT("'"&amp;$Q$2&amp;"'!N"&amp;ROW()))),"",N49-INDIRECT("'"&amp;$Q$2&amp;"'!N"&amp;ROW())),"")</f>
        <v/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9</v>
      </c>
      <c r="D50" s="32" t="n">
        <v>269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9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29.8888888888889</v>
      </c>
      <c r="M50" s="32" t="n">
        <f aca="false">IFERROR(H50/D50*1000,"")</f>
        <v>33.457249070632</v>
      </c>
      <c r="N50" s="32" t="n">
        <v>42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1577</v>
      </c>
      <c r="D51" s="36" t="n">
        <f aca="false">SUM(D31:D50)</f>
        <v>268649</v>
      </c>
      <c r="E51" s="36" t="n">
        <f aca="false">SUM(E31:E50)</f>
        <v>248359</v>
      </c>
      <c r="F51" s="37" t="n">
        <f aca="false">SUM(F31:F50)</f>
        <v>13039</v>
      </c>
      <c r="G51" s="38" t="n">
        <f aca="false">IF(C51=0,"",IFERROR(F51/E51,""))</f>
        <v>0.0525006140304962</v>
      </c>
      <c r="H51" s="36" t="n">
        <f aca="false">SUM(H31:H50)</f>
        <v>3754</v>
      </c>
      <c r="I51" s="36" t="n">
        <f aca="false">SUM(I31:I50)</f>
        <v>2209</v>
      </c>
      <c r="J51" s="37" t="n">
        <f aca="false">SUM(J31:J50)</f>
        <v>1535</v>
      </c>
      <c r="K51" s="38" t="n">
        <f aca="false">IF(C51=0,"",IFERROR(J51/I51,""))</f>
        <v>0.694884563150747</v>
      </c>
      <c r="L51" s="36" t="n">
        <f aca="false">IFERROR(D51/C51,"")</f>
        <v>170.354470513634</v>
      </c>
      <c r="M51" s="36" t="n">
        <f aca="false">IFERROR(H51/D51*1000,"")</f>
        <v>13.9736235757438</v>
      </c>
      <c r="N51" s="36" t="n">
        <f aca="false">SUM(N31:N50)</f>
        <v>106907</v>
      </c>
      <c r="O51" s="37" t="n">
        <f aca="false">SUM(O31:O50)</f>
        <v>42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n">
        <f aca="true">IFERROR(IF(ISBLANK(INDIRECT("'"&amp;$Q$2&amp;"'!O"&amp;ROW())),"",INDIRECT("'"&amp;$Q$2&amp;"'!O"&amp;ROW())),"")</f>
        <v>82</v>
      </c>
      <c r="X51" s="25" t="n">
        <f aca="false">IF(OR(C51=0,$O51="",$W51=""),"",$O51-$W51)</f>
        <v>-40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34890</v>
      </c>
      <c r="E52" s="32" t="n">
        <f aca="true">IF($D52="","",IFERROR(IF(ISBLANK(INDIRECT("'"&amp;$Q$2&amp;"'!D"&amp;ROW())),"",INDIRECT("'"&amp;$Q$2&amp;"'!D"&amp;ROW())),""))</f>
        <v>38993</v>
      </c>
      <c r="F52" s="33" t="n">
        <f aca="false">IF(OR(D52="",E52=""),"",D52-E52)</f>
        <v>-4103</v>
      </c>
      <c r="G52" s="34" t="n">
        <f aca="false">IFERROR(F52/E52,"")</f>
        <v>-0.105224014566717</v>
      </c>
      <c r="H52" s="32" t="n">
        <v>229</v>
      </c>
      <c r="I52" s="32" t="n">
        <f aca="true">IF($H52="","",IFERROR(IF(ISBLANK(INDIRECT("'"&amp;$Q$2&amp;"'!H"&amp;ROW())),"",INDIRECT("'"&amp;$Q$2&amp;"'!H"&amp;ROW())),""))</f>
        <v>176</v>
      </c>
      <c r="J52" s="33" t="n">
        <f aca="false">IF(OR(H52="",I52=""),"",H52-I52)</f>
        <v>53</v>
      </c>
      <c r="K52" s="34" t="n">
        <f aca="false">IFERROR(J52/I52,"")</f>
        <v>0.301136363636364</v>
      </c>
      <c r="L52" s="32" t="n">
        <f aca="false">IFERROR(D52/C52,"")</f>
        <v>247.446808510638</v>
      </c>
      <c r="M52" s="32" t="n">
        <f aca="false">IFERROR(H52/D52*1000,"")</f>
        <v>6.56348523932359</v>
      </c>
      <c r="N52" s="32" t="n">
        <v>11821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n">
        <f aca="true">IFERROR(IF(ISBLANK(INDIRECT("'"&amp;$Q$2&amp;"'!O"&amp;ROW())),"",INDIRECT("'"&amp;$Q$2&amp;"'!O"&amp;ROW())),"")</f>
        <v>8</v>
      </c>
      <c r="X52" s="17" t="n">
        <f aca="false">IF(OR($O52="",$W52=""),"",$O52-$W52)</f>
        <v>-30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138</v>
      </c>
      <c r="D53" s="32" t="n">
        <v>32854</v>
      </c>
      <c r="E53" s="32" t="n">
        <f aca="true">IF($D53="","",IFERROR(IF(ISBLANK(INDIRECT("'"&amp;$Q$2&amp;"'!D"&amp;ROW())),"",INDIRECT("'"&amp;$Q$2&amp;"'!D"&amp;ROW())),""))</f>
        <v>49251</v>
      </c>
      <c r="F53" s="33" t="n">
        <f aca="false">IF(OR(D53="",E53=""),"",D53-E53)</f>
        <v>-16397</v>
      </c>
      <c r="G53" s="34" t="n">
        <f aca="false">IFERROR(F53/E53,"")</f>
        <v>-0.332927250208118</v>
      </c>
      <c r="H53" s="32" t="n">
        <v>36</v>
      </c>
      <c r="I53" s="32" t="n">
        <f aca="true">IF($H53="","",IFERROR(IF(ISBLANK(INDIRECT("'"&amp;$Q$2&amp;"'!H"&amp;ROW())),"",INDIRECT("'"&amp;$Q$2&amp;"'!H"&amp;ROW())),""))</f>
        <v>30</v>
      </c>
      <c r="J53" s="33" t="n">
        <f aca="false">IF(OR(H53="",I53=""),"",H53-I53)</f>
        <v>6</v>
      </c>
      <c r="K53" s="34" t="n">
        <f aca="false">IFERROR(J53/I53,"")</f>
        <v>0.2</v>
      </c>
      <c r="L53" s="32" t="n">
        <f aca="false">IFERROR(D53/C53,"")</f>
        <v>238.072463768116</v>
      </c>
      <c r="M53" s="32" t="n">
        <f aca="false">IFERROR(H53/D53*1000,"")</f>
        <v>1.09575698545078</v>
      </c>
      <c r="N53" s="32" t="n">
        <v>4825</v>
      </c>
      <c r="O53" s="33" t="n">
        <f aca="true">IFERROR(IF(OR(N53="",ISBLANK(INDIRECT("'"&amp;$Q$2&amp;"'!N"&amp;ROW()))),"",N53-INDIRECT("'"&amp;$Q$2&amp;"'!N"&amp;ROW())),"")</f>
        <v>-1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n">
        <f aca="true">IFERROR(IF(ISBLANK(INDIRECT("'"&amp;$Q$2&amp;"'!O"&amp;ROW())),"",INDIRECT("'"&amp;$Q$2&amp;"'!O"&amp;ROW())),"")</f>
        <v>-19</v>
      </c>
      <c r="X53" s="17" t="n">
        <f aca="false">IF(OR($O53="",$W53=""),"",$O53-$W53)</f>
        <v>18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82</v>
      </c>
      <c r="D54" s="32" t="n">
        <v>1527</v>
      </c>
      <c r="E54" s="32" t="n">
        <f aca="true">IF($D54="","",IFERROR(IF(ISBLANK(INDIRECT("'"&amp;$Q$2&amp;"'!D"&amp;ROW())),"",INDIRECT("'"&amp;$Q$2&amp;"'!D"&amp;ROW())),""))</f>
        <v>2006</v>
      </c>
      <c r="F54" s="33" t="n">
        <f aca="false">IF(OR(D54="",E54=""),"",D54-E54)</f>
        <v>-479</v>
      </c>
      <c r="G54" s="34" t="n">
        <f aca="false">IFERROR(F54/E54,"")</f>
        <v>-0.238783649052841</v>
      </c>
      <c r="H54" s="32" t="n">
        <v>4</v>
      </c>
      <c r="I54" s="32" t="n">
        <f aca="true">IF($H54="","",IFERROR(IF(ISBLANK(INDIRECT("'"&amp;$Q$2&amp;"'!H"&amp;ROW())),"",INDIRECT("'"&amp;$Q$2&amp;"'!H"&amp;ROW())),""))</f>
        <v>6</v>
      </c>
      <c r="J54" s="33" t="n">
        <f aca="false">IF(OR(H54="",I54=""),"",H54-I54)</f>
        <v>-2</v>
      </c>
      <c r="K54" s="34" t="n">
        <f aca="false">IFERROR(J54/I54,"")</f>
        <v>-0.333333333333333</v>
      </c>
      <c r="L54" s="32" t="n">
        <f aca="false">IFERROR(D54/C54,"")</f>
        <v>18.6219512195122</v>
      </c>
      <c r="M54" s="32" t="n">
        <f aca="false">IFERROR(H54/D54*1000,"")</f>
        <v>2.61951538965291</v>
      </c>
      <c r="N54" s="32" t="n">
        <v>873</v>
      </c>
      <c r="O54" s="33" t="n">
        <f aca="true">IFERROR(IF(OR(N54="",ISBLANK(INDIRECT("'"&amp;$Q$2&amp;"'!N"&amp;ROW()))),"",N54-INDIRECT("'"&amp;$Q$2&amp;"'!N"&amp;ROW())),"")</f>
        <v>1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4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3759</v>
      </c>
      <c r="E55" s="32" t="n">
        <f aca="true">IF($D55="","",IFERROR(IF(ISBLANK(INDIRECT("'"&amp;$Q$2&amp;"'!D"&amp;ROW())),"",INDIRECT("'"&amp;$Q$2&amp;"'!D"&amp;ROW())),""))</f>
        <v>23655</v>
      </c>
      <c r="F55" s="33" t="n">
        <f aca="false">IF(OR(D55="",E55=""),"",D55-E55)</f>
        <v>-19896</v>
      </c>
      <c r="G55" s="34" t="n">
        <f aca="false">IFERROR(F55/E55,"")</f>
        <v>-0.841090678503488</v>
      </c>
      <c r="H55" s="32" t="n">
        <v>18</v>
      </c>
      <c r="I55" s="32" t="n">
        <f aca="true">IF($H55="","",IFERROR(IF(ISBLANK(INDIRECT("'"&amp;$Q$2&amp;"'!H"&amp;ROW())),"",INDIRECT("'"&amp;$Q$2&amp;"'!H"&amp;ROW())),""))</f>
        <v>22</v>
      </c>
      <c r="J55" s="33" t="n">
        <f aca="false">IF(OR(H55="",I55=""),"",H55-I55)</f>
        <v>-4</v>
      </c>
      <c r="K55" s="34" t="n">
        <f aca="false">IFERROR(J55/I55,"")</f>
        <v>-0.181818181818182</v>
      </c>
      <c r="L55" s="32" t="n">
        <f aca="false">IFERROR(D55/C55,"")</f>
        <v>537</v>
      </c>
      <c r="M55" s="32" t="n">
        <f aca="false">IFERROR(H55/D55*1000,"")</f>
        <v>4.78850758180367</v>
      </c>
      <c r="N55" s="32" t="n">
        <v>13857</v>
      </c>
      <c r="O55" s="33" t="n">
        <f aca="true">IFERROR(IF(OR(N55="",ISBLANK(INDIRECT("'"&amp;$Q$2&amp;"'!N"&amp;ROW()))),"",N55-INDIRECT("'"&amp;$Q$2&amp;"'!N"&amp;ROW())),"")</f>
        <v>-29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n">
        <f aca="true">IFERROR(IF(ISBLANK(INDIRECT("'"&amp;$Q$2&amp;"'!O"&amp;ROW())),"",INDIRECT("'"&amp;$Q$2&amp;"'!O"&amp;ROW())),"")</f>
        <v>-175</v>
      </c>
      <c r="X55" s="17" t="n">
        <f aca="false">IF(OR($O55="",$W55=""),"",$O55-$W55)</f>
        <v>146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2886</v>
      </c>
      <c r="E56" s="32" t="n">
        <f aca="true">IF($D56="","",IFERROR(IF(ISBLANK(INDIRECT("'"&amp;$Q$2&amp;"'!D"&amp;ROW())),"",INDIRECT("'"&amp;$Q$2&amp;"'!D"&amp;ROW())),""))</f>
        <v>400</v>
      </c>
      <c r="F56" s="33" t="n">
        <f aca="false">IF(OR(D56="",E56=""),"",D56-E56)</f>
        <v>2486</v>
      </c>
      <c r="G56" s="34" t="n">
        <f aca="false">IFERROR(F56/E56,"")</f>
        <v>6.215</v>
      </c>
      <c r="H56" s="32" t="n">
        <v>9</v>
      </c>
      <c r="I56" s="32" t="n">
        <f aca="true">IF($H56="","",IFERROR(IF(ISBLANK(INDIRECT("'"&amp;$Q$2&amp;"'!H"&amp;ROW())),"",INDIRECT("'"&amp;$Q$2&amp;"'!H"&amp;ROW())),""))</f>
        <v>3</v>
      </c>
      <c r="J56" s="33" t="n">
        <f aca="false">IF(OR(H56="",I56=""),"",H56-I56)</f>
        <v>6</v>
      </c>
      <c r="K56" s="34" t="n">
        <f aca="false">IFERROR(J56/I56,"")</f>
        <v>2</v>
      </c>
      <c r="L56" s="32" t="n">
        <f aca="false">IFERROR(D56/C56,"")</f>
        <v>412.285714285714</v>
      </c>
      <c r="M56" s="32" t="n">
        <f aca="false">IFERROR(H56/D56*1000,"")</f>
        <v>3.11850311850312</v>
      </c>
      <c r="N56" s="32" t="n">
        <v>8678</v>
      </c>
      <c r="O56" s="33" t="n">
        <f aca="true">IFERROR(IF(OR(N56="",ISBLANK(INDIRECT("'"&amp;$Q$2&amp;"'!N"&amp;ROW()))),"",N56-INDIRECT("'"&amp;$Q$2&amp;"'!N"&amp;ROW())),"")</f>
        <v>-7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n">
        <f aca="true">IFERROR(IF(ISBLANK(INDIRECT("'"&amp;$Q$2&amp;"'!O"&amp;ROW())),"",INDIRECT("'"&amp;$Q$2&amp;"'!O"&amp;ROW())),"")</f>
        <v>-83</v>
      </c>
      <c r="X56" s="17" t="n">
        <f aca="false">IF(OR($O56="",$W56=""),"",$O56-$W56)</f>
        <v>76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131</v>
      </c>
      <c r="D57" s="32" t="n">
        <v>87361</v>
      </c>
      <c r="E57" s="32" t="n">
        <f aca="true">IF($D57="","",IFERROR(IF(ISBLANK(INDIRECT("'"&amp;$Q$2&amp;"'!D"&amp;ROW())),"",INDIRECT("'"&amp;$Q$2&amp;"'!D"&amp;ROW())),""))</f>
        <v>64144</v>
      </c>
      <c r="F57" s="33" t="n">
        <f aca="false">IF(OR(D57="",E57=""),"",D57-E57)</f>
        <v>23217</v>
      </c>
      <c r="G57" s="34" t="n">
        <f aca="false">IFERROR(F57/E57,"")</f>
        <v>0.361951234721876</v>
      </c>
      <c r="H57" s="32" t="n">
        <v>359</v>
      </c>
      <c r="I57" s="32" t="n">
        <f aca="true">IF($H57="","",IFERROR(IF(ISBLANK(INDIRECT("'"&amp;$Q$2&amp;"'!H"&amp;ROW())),"",INDIRECT("'"&amp;$Q$2&amp;"'!H"&amp;ROW())),""))</f>
        <v>273</v>
      </c>
      <c r="J57" s="33" t="n">
        <f aca="false">IF(OR(H57="",I57=""),"",H57-I57)</f>
        <v>86</v>
      </c>
      <c r="K57" s="34" t="n">
        <f aca="false">IFERROR(J57/I57,"")</f>
        <v>0.315018315018315</v>
      </c>
      <c r="L57" s="32" t="n">
        <f aca="false">IFERROR(D57/C57,"")</f>
        <v>666.87786259542</v>
      </c>
      <c r="M57" s="32" t="n">
        <f aca="false">IFERROR(H57/D57*1000,"")</f>
        <v>4.10938519476654</v>
      </c>
      <c r="N57" s="32" t="n">
        <v>10875</v>
      </c>
      <c r="O57" s="33" t="n">
        <f aca="true">IFERROR(IF(OR(N57="",ISBLANK(INDIRECT("'"&amp;$Q$2&amp;"'!N"&amp;ROW()))),"",N57-INDIRECT("'"&amp;$Q$2&amp;"'!N"&amp;ROW())),"")</f>
        <v>12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n">
        <f aca="true">IFERROR(IF(ISBLANK(INDIRECT("'"&amp;$Q$2&amp;"'!O"&amp;ROW())),"",INDIRECT("'"&amp;$Q$2&amp;"'!O"&amp;ROW())),"")</f>
        <v>-35</v>
      </c>
      <c r="X57" s="17" t="n">
        <f aca="false">IF(OR($O57="",$W57=""),"",$O57-$W57)</f>
        <v>47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111</v>
      </c>
      <c r="D58" s="32" t="n">
        <v>25697</v>
      </c>
      <c r="E58" s="32" t="n">
        <f aca="true">IF($D58="","",IFERROR(IF(ISBLANK(INDIRECT("'"&amp;$Q$2&amp;"'!D"&amp;ROW())),"",INDIRECT("'"&amp;$Q$2&amp;"'!D"&amp;ROW())),""))</f>
        <v>22193</v>
      </c>
      <c r="F58" s="33" t="n">
        <f aca="false">IF(OR(D58="",E58=""),"",D58-E58)</f>
        <v>3504</v>
      </c>
      <c r="G58" s="34" t="n">
        <f aca="false">IFERROR(F58/E58,"")</f>
        <v>0.157887622223224</v>
      </c>
      <c r="H58" s="32" t="n">
        <v>274</v>
      </c>
      <c r="I58" s="32" t="n">
        <f aca="true">IF($H58="","",IFERROR(IF(ISBLANK(INDIRECT("'"&amp;$Q$2&amp;"'!H"&amp;ROW())),"",INDIRECT("'"&amp;$Q$2&amp;"'!H"&amp;ROW())),""))</f>
        <v>271</v>
      </c>
      <c r="J58" s="33" t="n">
        <f aca="false">IF(OR(H58="",I58=""),"",H58-I58)</f>
        <v>3</v>
      </c>
      <c r="K58" s="34" t="n">
        <f aca="false">IFERROR(J58/I58,"")</f>
        <v>0.011070110701107</v>
      </c>
      <c r="L58" s="32" t="n">
        <f aca="false">IFERROR(D58/C58,"")</f>
        <v>231.504504504505</v>
      </c>
      <c r="M58" s="32" t="n">
        <f aca="false">IFERROR(H58/D58*1000,"")</f>
        <v>10.6627232750905</v>
      </c>
      <c r="N58" s="32" t="n">
        <v>4132</v>
      </c>
      <c r="O58" s="33" t="n">
        <f aca="true">IFERROR(IF(OR(N58="",ISBLANK(INDIRECT("'"&amp;$Q$2&amp;"'!N"&amp;ROW()))),"",N58-INDIRECT("'"&amp;$Q$2&amp;"'!N"&amp;ROW())),"")</f>
        <v>-17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n">
        <f aca="true">IFERROR(IF(ISBLANK(INDIRECT("'"&amp;$Q$2&amp;"'!O"&amp;ROW())),"",INDIRECT("'"&amp;$Q$2&amp;"'!O"&amp;ROW())),"")</f>
        <v>-33</v>
      </c>
      <c r="X58" s="17" t="n">
        <f aca="false">IF(OR($O58="",$W58=""),"",$O58-$W58)</f>
        <v>16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111</v>
      </c>
      <c r="D59" s="32" t="n">
        <v>39791</v>
      </c>
      <c r="E59" s="32" t="n">
        <f aca="true">IF($D59="","",IFERROR(IF(ISBLANK(INDIRECT("'"&amp;$Q$2&amp;"'!D"&amp;ROW())),"",INDIRECT("'"&amp;$Q$2&amp;"'!D"&amp;ROW())),""))</f>
        <v>30533</v>
      </c>
      <c r="F59" s="33" t="n">
        <f aca="false">IF(OR(D59="",E59=""),"",D59-E59)</f>
        <v>9258</v>
      </c>
      <c r="G59" s="34" t="n">
        <f aca="false">IFERROR(F59/E59,"")</f>
        <v>0.303212917171585</v>
      </c>
      <c r="H59" s="32" t="n">
        <v>421</v>
      </c>
      <c r="I59" s="32" t="n">
        <f aca="true">IF($H59="","",IFERROR(IF(ISBLANK(INDIRECT("'"&amp;$Q$2&amp;"'!H"&amp;ROW())),"",INDIRECT("'"&amp;$Q$2&amp;"'!H"&amp;ROW())),""))</f>
        <v>190</v>
      </c>
      <c r="J59" s="33" t="n">
        <f aca="false">IF(OR(H59="",I59=""),"",H59-I59)</f>
        <v>231</v>
      </c>
      <c r="K59" s="34" t="n">
        <f aca="false">IFERROR(J59/I59,"")</f>
        <v>1.21578947368421</v>
      </c>
      <c r="L59" s="32" t="n">
        <f aca="false">IFERROR(D59/C59,"")</f>
        <v>358.477477477477</v>
      </c>
      <c r="M59" s="32" t="n">
        <f aca="false">IFERROR(H59/D59*1000,"")</f>
        <v>10.5802819733105</v>
      </c>
      <c r="N59" s="32" t="n">
        <v>5549</v>
      </c>
      <c r="O59" s="33" t="n">
        <f aca="true">IFERROR(IF(OR(N59="",ISBLANK(INDIRECT("'"&amp;$Q$2&amp;"'!N"&amp;ROW()))),"",N59-INDIRECT("'"&amp;$Q$2&amp;"'!N"&amp;ROW())),"")</f>
        <v>-2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n">
        <f aca="true">IFERROR(IF(ISBLANK(INDIRECT("'"&amp;$Q$2&amp;"'!O"&amp;ROW())),"",INDIRECT("'"&amp;$Q$2&amp;"'!O"&amp;ROW())),"")</f>
        <v>-42</v>
      </c>
      <c r="X59" s="17" t="n">
        <f aca="false">IF(OR($O59="",$W59=""),"",$O59-$W59)</f>
        <v>40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102</v>
      </c>
      <c r="D60" s="32" t="n">
        <v>51592</v>
      </c>
      <c r="E60" s="32" t="n">
        <f aca="true">IF($D60="","",IFERROR(IF(ISBLANK(INDIRECT("'"&amp;$Q$2&amp;"'!D"&amp;ROW())),"",INDIRECT("'"&amp;$Q$2&amp;"'!D"&amp;ROW())),""))</f>
        <v>48843</v>
      </c>
      <c r="F60" s="33" t="n">
        <f aca="false">IF(OR(D60="",E60=""),"",D60-E60)</f>
        <v>2749</v>
      </c>
      <c r="G60" s="34" t="n">
        <f aca="false">IFERROR(F60/E60,"")</f>
        <v>0.0562823741375427</v>
      </c>
      <c r="H60" s="32" t="n">
        <v>226</v>
      </c>
      <c r="I60" s="32" t="n">
        <f aca="true">IF($H60="","",IFERROR(IF(ISBLANK(INDIRECT("'"&amp;$Q$2&amp;"'!H"&amp;ROW())),"",INDIRECT("'"&amp;$Q$2&amp;"'!H"&amp;ROW())),""))</f>
        <v>202</v>
      </c>
      <c r="J60" s="33" t="n">
        <f aca="false">IF(OR(H60="",I60=""),"",H60-I60)</f>
        <v>24</v>
      </c>
      <c r="K60" s="34" t="n">
        <f aca="false">IFERROR(J60/I60,"")</f>
        <v>0.118811881188119</v>
      </c>
      <c r="L60" s="32" t="n">
        <f aca="false">IFERROR(D60/C60,"")</f>
        <v>505.803921568627</v>
      </c>
      <c r="M60" s="32" t="n">
        <f aca="false">IFERROR(H60/D60*1000,"")</f>
        <v>4.38052411226547</v>
      </c>
      <c r="N60" s="32" t="n">
        <v>10459</v>
      </c>
      <c r="O60" s="33" t="n">
        <f aca="true">IFERROR(IF(OR(N60="",ISBLANK(INDIRECT("'"&amp;$Q$2&amp;"'!N"&amp;ROW()))),"",N60-INDIRECT("'"&amp;$Q$2&amp;"'!N"&amp;ROW())),"")</f>
        <v>-27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n">
        <f aca="true">IFERROR(IF(ISBLANK(INDIRECT("'"&amp;$Q$2&amp;"'!O"&amp;ROW())),"",INDIRECT("'"&amp;$Q$2&amp;"'!O"&amp;ROW())),"")</f>
        <v>-42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69</v>
      </c>
      <c r="D61" s="32" t="n">
        <v>8127</v>
      </c>
      <c r="E61" s="32" t="n">
        <f aca="true">IF($D61="","",IFERROR(IF(ISBLANK(INDIRECT("'"&amp;$Q$2&amp;"'!D"&amp;ROW())),"",INDIRECT("'"&amp;$Q$2&amp;"'!D"&amp;ROW())),""))</f>
        <v>13697</v>
      </c>
      <c r="F61" s="33" t="n">
        <f aca="false">IF(OR(D61="",E61=""),"",D61-E61)</f>
        <v>-5570</v>
      </c>
      <c r="G61" s="34" t="n">
        <f aca="false">IFERROR(F61/E61,"")</f>
        <v>-0.40665839234869</v>
      </c>
      <c r="H61" s="32" t="n">
        <v>13</v>
      </c>
      <c r="I61" s="32" t="n">
        <f aca="true">IF($H61="","",IFERROR(IF(ISBLANK(INDIRECT("'"&amp;$Q$2&amp;"'!H"&amp;ROW())),"",INDIRECT("'"&amp;$Q$2&amp;"'!H"&amp;ROW())),""))</f>
        <v>21</v>
      </c>
      <c r="J61" s="33" t="n">
        <f aca="false">IF(OR(H61="",I61=""),"",H61-I61)</f>
        <v>-8</v>
      </c>
      <c r="K61" s="34" t="n">
        <f aca="false">IFERROR(J61/I61,"")</f>
        <v>-0.380952380952381</v>
      </c>
      <c r="L61" s="32" t="n">
        <f aca="false">IFERROR(D61/C61,"")</f>
        <v>117.782608695652</v>
      </c>
      <c r="M61" s="32" t="n">
        <f aca="false">IFERROR(H61/D61*1000,"")</f>
        <v>1.59960625076904</v>
      </c>
      <c r="N61" s="32" t="n">
        <v>2318</v>
      </c>
      <c r="O61" s="33" t="n">
        <f aca="true">IFERROR(IF(OR(N61="",ISBLANK(INDIRECT("'"&amp;$Q$2&amp;"'!N"&amp;ROW()))),"",N61-INDIRECT("'"&amp;$Q$2&amp;"'!N"&amp;ROW())),"")</f>
        <v>-1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n">
        <f aca="true">IFERROR(IF(ISBLANK(INDIRECT("'"&amp;$Q$2&amp;"'!O"&amp;ROW())),"",INDIRECT("'"&amp;$Q$2&amp;"'!O"&amp;ROW())),"")</f>
        <v>-22</v>
      </c>
      <c r="X61" s="17" t="n">
        <f aca="false">IF(OR($O61="",$W61=""),"",$O61-$W61)</f>
        <v>21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46</v>
      </c>
      <c r="D62" s="32" t="n">
        <v>3697</v>
      </c>
      <c r="E62" s="32" t="n">
        <f aca="true">IF($D62="","",IFERROR(IF(ISBLANK(INDIRECT("'"&amp;$Q$2&amp;"'!D"&amp;ROW())),"",INDIRECT("'"&amp;$Q$2&amp;"'!D"&amp;ROW())),""))</f>
        <v>4841</v>
      </c>
      <c r="F62" s="33" t="n">
        <f aca="false">IF(OR(D62="",E62=""),"",D62-E62)</f>
        <v>-1144</v>
      </c>
      <c r="G62" s="34" t="n">
        <f aca="false">IFERROR(F62/E62,"")</f>
        <v>-0.236314810989465</v>
      </c>
      <c r="H62" s="32" t="n">
        <v>31</v>
      </c>
      <c r="I62" s="32" t="n">
        <f aca="true">IF($H62="","",IFERROR(IF(ISBLANK(INDIRECT("'"&amp;$Q$2&amp;"'!H"&amp;ROW())),"",INDIRECT("'"&amp;$Q$2&amp;"'!H"&amp;ROW())),""))</f>
        <v>42</v>
      </c>
      <c r="J62" s="33" t="n">
        <f aca="false">IF(OR(H62="",I62=""),"",H62-I62)</f>
        <v>-11</v>
      </c>
      <c r="K62" s="34" t="n">
        <f aca="false">IFERROR(J62/I62,"")</f>
        <v>-0.261904761904762</v>
      </c>
      <c r="L62" s="32" t="n">
        <f aca="false">IFERROR(D62/C62,"")</f>
        <v>80.3695652173913</v>
      </c>
      <c r="M62" s="32" t="n">
        <f aca="false">IFERROR(H62/D62*1000,"")</f>
        <v>8.38517717067893</v>
      </c>
      <c r="N62" s="32" t="n">
        <v>1378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n">
        <f aca="true">IFERROR(IF(ISBLANK(INDIRECT("'"&amp;$Q$2&amp;"'!O"&amp;ROW())),"",INDIRECT("'"&amp;$Q$2&amp;"'!O"&amp;ROW())),"")</f>
        <v>-9</v>
      </c>
      <c r="X62" s="17" t="n">
        <f aca="false">IF(OR($O62="",$W62=""),"",$O62-$W62)</f>
        <v>6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87</v>
      </c>
      <c r="D63" s="32" t="n">
        <v>31198</v>
      </c>
      <c r="E63" s="32" t="n">
        <f aca="true">IF($D63="","",IFERROR(IF(ISBLANK(INDIRECT("'"&amp;$Q$2&amp;"'!D"&amp;ROW())),"",INDIRECT("'"&amp;$Q$2&amp;"'!D"&amp;ROW())),""))</f>
        <v>19888</v>
      </c>
      <c r="F63" s="33" t="n">
        <f aca="false">IF(OR(D63="",E63=""),"",D63-E63)</f>
        <v>11310</v>
      </c>
      <c r="G63" s="34" t="n">
        <f aca="false">IFERROR(F63/E63,"")</f>
        <v>0.568684633950121</v>
      </c>
      <c r="H63" s="32" t="n">
        <v>146</v>
      </c>
      <c r="I63" s="32" t="n">
        <f aca="true">IF($H63="","",IFERROR(IF(ISBLANK(INDIRECT("'"&amp;$Q$2&amp;"'!H"&amp;ROW())),"",INDIRECT("'"&amp;$Q$2&amp;"'!H"&amp;ROW())),""))</f>
        <v>82</v>
      </c>
      <c r="J63" s="33" t="n">
        <f aca="false">IF(OR(H63="",I63=""),"",H63-I63)</f>
        <v>64</v>
      </c>
      <c r="K63" s="34" t="n">
        <f aca="false">IFERROR(J63/I63,"")</f>
        <v>0.780487804878049</v>
      </c>
      <c r="L63" s="32" t="n">
        <f aca="false">IFERROR(D63/C63,"")</f>
        <v>358.597701149425</v>
      </c>
      <c r="M63" s="32" t="n">
        <f aca="false">IFERROR(H63/D63*1000,"")</f>
        <v>4.67978716584396</v>
      </c>
      <c r="N63" s="32" t="n">
        <v>5687</v>
      </c>
      <c r="O63" s="33" t="n">
        <f aca="true">IFERROR(IF(OR(N63="",ISBLANK(INDIRECT("'"&amp;$Q$2&amp;"'!N"&amp;ROW()))),"",N63-INDIRECT("'"&amp;$Q$2&amp;"'!N"&amp;ROW())),"")</f>
        <v>1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n">
        <f aca="true">IFERROR(IF(ISBLANK(INDIRECT("'"&amp;$Q$2&amp;"'!O"&amp;ROW())),"",INDIRECT("'"&amp;$Q$2&amp;"'!O"&amp;ROW())),"")</f>
        <v>-75</v>
      </c>
      <c r="X63" s="17" t="n">
        <f aca="false">IF(OR($O63="",$W63=""),"",$O63-$W63)</f>
        <v>76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29</v>
      </c>
      <c r="D64" s="32" t="n">
        <v>3175</v>
      </c>
      <c r="E64" s="32" t="n">
        <f aca="true">IF($D64="","",IFERROR(IF(ISBLANK(INDIRECT("'"&amp;$Q$2&amp;"'!D"&amp;ROW())),"",INDIRECT("'"&amp;$Q$2&amp;"'!D"&amp;ROW())),""))</f>
        <v>4988</v>
      </c>
      <c r="F64" s="33" t="n">
        <f aca="false">IF(OR(D64="",E64=""),"",D64-E64)</f>
        <v>-1813</v>
      </c>
      <c r="G64" s="34" t="n">
        <f aca="false">IFERROR(F64/E64,"")</f>
        <v>-0.363472333600642</v>
      </c>
      <c r="H64" s="32" t="n">
        <v>2</v>
      </c>
      <c r="I64" s="32" t="n">
        <f aca="true">IF($H64="","",IFERROR(IF(ISBLANK(INDIRECT("'"&amp;$Q$2&amp;"'!H"&amp;ROW())),"",INDIRECT("'"&amp;$Q$2&amp;"'!H"&amp;ROW())),""))</f>
        <v>11</v>
      </c>
      <c r="J64" s="33" t="n">
        <f aca="false">IF(OR(H64="",I64=""),"",H64-I64)</f>
        <v>-9</v>
      </c>
      <c r="K64" s="34" t="n">
        <f aca="false">IFERROR(J64/I64,"")</f>
        <v>-0.818181818181818</v>
      </c>
      <c r="L64" s="32" t="n">
        <f aca="false">IFERROR(D64/C64,"")</f>
        <v>109.48275862069</v>
      </c>
      <c r="M64" s="32" t="n">
        <f aca="false">IFERROR(H64/D64*1000,"")</f>
        <v>0.62992125984252</v>
      </c>
      <c r="N64" s="32" t="n">
        <v>1825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n">
        <f aca="true">IFERROR(IF(ISBLANK(INDIRECT("'"&amp;$Q$2&amp;"'!O"&amp;ROW())),"",INDIRECT("'"&amp;$Q$2&amp;"'!O"&amp;ROW())),"")</f>
        <v>-22</v>
      </c>
      <c r="X64" s="17" t="n">
        <f aca="false">IF(OR($O64="",$W64=""),"",$O64-$W64)</f>
        <v>19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35</v>
      </c>
      <c r="D65" s="32" t="n">
        <v>2954</v>
      </c>
      <c r="E65" s="32" t="n">
        <f aca="true">IF($D65="","",IFERROR(IF(ISBLANK(INDIRECT("'"&amp;$Q$2&amp;"'!D"&amp;ROW())),"",INDIRECT("'"&amp;$Q$2&amp;"'!D"&amp;ROW())),""))</f>
        <v>2643</v>
      </c>
      <c r="F65" s="33" t="n">
        <f aca="false">IF(OR(D65="",E65=""),"",D65-E65)</f>
        <v>311</v>
      </c>
      <c r="G65" s="34" t="n">
        <f aca="false">IFERROR(F65/E65,"")</f>
        <v>0.117669315172153</v>
      </c>
      <c r="H65" s="32" t="n">
        <v>2</v>
      </c>
      <c r="I65" s="32" t="n">
        <f aca="true">IF($H65="","",IFERROR(IF(ISBLANK(INDIRECT("'"&amp;$Q$2&amp;"'!H"&amp;ROW())),"",INDIRECT("'"&amp;$Q$2&amp;"'!H"&amp;ROW())),""))</f>
        <v>17</v>
      </c>
      <c r="J65" s="33" t="n">
        <f aca="false">IF(OR(H65="",I65=""),"",H65-I65)</f>
        <v>-15</v>
      </c>
      <c r="K65" s="34" t="n">
        <f aca="false">IFERROR(J65/I65,"")</f>
        <v>-0.882352941176471</v>
      </c>
      <c r="L65" s="32" t="n">
        <f aca="false">IFERROR(D65/C65,"")</f>
        <v>84.4</v>
      </c>
      <c r="M65" s="32" t="n">
        <f aca="false">IFERROR(H65/D65*1000,"")</f>
        <v>0.677048070412999</v>
      </c>
      <c r="N65" s="32" t="n">
        <v>875</v>
      </c>
      <c r="O65" s="33" t="n">
        <f aca="true">IFERROR(IF(OR(N65="",ISBLANK(INDIRECT("'"&amp;$Q$2&amp;"'!N"&amp;ROW()))),"",N65-INDIRECT("'"&amp;$Q$2&amp;"'!N"&amp;ROW())),"")</f>
        <v>0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n">
        <f aca="true">IFERROR(IF(ISBLANK(INDIRECT("'"&amp;$Q$2&amp;"'!O"&amp;ROW())),"",INDIRECT("'"&amp;$Q$2&amp;"'!O"&amp;ROW())),"")</f>
        <v>-8</v>
      </c>
      <c r="X65" s="17" t="n">
        <f aca="false">IF(OR($O65="",$W65=""),"",$O65-$W65)</f>
        <v>8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31</v>
      </c>
      <c r="D66" s="32" t="n">
        <v>2452</v>
      </c>
      <c r="E66" s="32" t="n">
        <f aca="true">IF($D66="","",IFERROR(IF(ISBLANK(INDIRECT("'"&amp;$Q$2&amp;"'!D"&amp;ROW())),"",INDIRECT("'"&amp;$Q$2&amp;"'!D"&amp;ROW())),""))</f>
        <v>3485</v>
      </c>
      <c r="F66" s="33" t="n">
        <f aca="false">IF(OR(D66="",E66=""),"",D66-E66)</f>
        <v>-1033</v>
      </c>
      <c r="G66" s="34" t="n">
        <f aca="false">IFERROR(F66/E66,"")</f>
        <v>-0.296413199426112</v>
      </c>
      <c r="H66" s="32" t="n">
        <v>1</v>
      </c>
      <c r="I66" s="32" t="n">
        <f aca="true">IF($H66="","",IFERROR(IF(ISBLANK(INDIRECT("'"&amp;$Q$2&amp;"'!H"&amp;ROW())),"",INDIRECT("'"&amp;$Q$2&amp;"'!H"&amp;ROW())),""))</f>
        <v>5</v>
      </c>
      <c r="J66" s="33" t="n">
        <f aca="false">IF(OR(H66="",I66=""),"",H66-I66)</f>
        <v>-4</v>
      </c>
      <c r="K66" s="34" t="n">
        <f aca="false">IFERROR(J66/I66,"")</f>
        <v>-0.8</v>
      </c>
      <c r="L66" s="32" t="n">
        <f aca="false">IFERROR(D66/C66,"")</f>
        <v>79.0967741935484</v>
      </c>
      <c r="M66" s="32" t="n">
        <f aca="false">IFERROR(H66/D66*1000,"")</f>
        <v>0.407830342577488</v>
      </c>
      <c r="N66" s="32" t="n">
        <v>855</v>
      </c>
      <c r="O66" s="33" t="n">
        <f aca="true">IFERROR(IF(OR(N66="",ISBLANK(INDIRECT("'"&amp;$Q$2&amp;"'!N"&amp;ROW()))),"",N66-INDIRECT("'"&amp;$Q$2&amp;"'!N"&amp;ROW())),"")</f>
        <v>-8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n">
        <f aca="true">IFERROR(IF(ISBLANK(INDIRECT("'"&amp;$Q$2&amp;"'!O"&amp;ROW())),"",INDIRECT("'"&amp;$Q$2&amp;"'!O"&amp;ROW())),"")</f>
        <v>-17</v>
      </c>
      <c r="X66" s="17" t="n">
        <f aca="false">IF(OR($O66="",$W66=""),"",$O66-$W66)</f>
        <v>9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37</v>
      </c>
      <c r="D67" s="32" t="n">
        <v>31476</v>
      </c>
      <c r="E67" s="32" t="n">
        <f aca="true">IF($D67="","",IFERROR(IF(ISBLANK(INDIRECT("'"&amp;$Q$2&amp;"'!D"&amp;ROW())),"",INDIRECT("'"&amp;$Q$2&amp;"'!D"&amp;ROW())),""))</f>
        <v>6149</v>
      </c>
      <c r="F67" s="33" t="n">
        <f aca="false">IF(OR(D67="",E67=""),"",D67-E67)</f>
        <v>25327</v>
      </c>
      <c r="G67" s="34" t="n">
        <f aca="false">IFERROR(F67/E67,"")</f>
        <v>4.11888111888112</v>
      </c>
      <c r="H67" s="32" t="n">
        <v>26</v>
      </c>
      <c r="I67" s="32" t="n">
        <f aca="true">IF($H67="","",IFERROR(IF(ISBLANK(INDIRECT("'"&amp;$Q$2&amp;"'!H"&amp;ROW())),"",INDIRECT("'"&amp;$Q$2&amp;"'!H"&amp;ROW())),""))</f>
        <v>34</v>
      </c>
      <c r="J67" s="33" t="n">
        <f aca="false">IF(OR(H67="",I67=""),"",H67-I67)</f>
        <v>-8</v>
      </c>
      <c r="K67" s="34" t="n">
        <f aca="false">IFERROR(J67/I67,"")</f>
        <v>-0.235294117647059</v>
      </c>
      <c r="L67" s="32" t="n">
        <f aca="false">IFERROR(D67/C67,"")</f>
        <v>850.702702702703</v>
      </c>
      <c r="M67" s="32" t="n">
        <f aca="false">IFERROR(H67/D67*1000,"")</f>
        <v>0.826026178675817</v>
      </c>
      <c r="N67" s="32" t="n">
        <v>1177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73</v>
      </c>
      <c r="D68" s="32" t="n">
        <v>22747</v>
      </c>
      <c r="E68" s="32" t="n">
        <f aca="true">IF($D68="","",IFERROR(IF(ISBLANK(INDIRECT("'"&amp;$Q$2&amp;"'!D"&amp;ROW())),"",INDIRECT("'"&amp;$Q$2&amp;"'!D"&amp;ROW())),""))</f>
        <v>19814</v>
      </c>
      <c r="F68" s="33" t="n">
        <f aca="false">IF(OR(D68="",E68=""),"",D68-E68)</f>
        <v>2933</v>
      </c>
      <c r="G68" s="34" t="n">
        <f aca="false">IFERROR(F68/E68,"")</f>
        <v>0.14802664782477</v>
      </c>
      <c r="H68" s="32" t="n">
        <v>112</v>
      </c>
      <c r="I68" s="32" t="n">
        <f aca="true">IF($H68="","",IFERROR(IF(ISBLANK(INDIRECT("'"&amp;$Q$2&amp;"'!H"&amp;ROW())),"",INDIRECT("'"&amp;$Q$2&amp;"'!H"&amp;ROW())),""))</f>
        <v>71</v>
      </c>
      <c r="J68" s="33" t="n">
        <f aca="false">IF(OR(H68="",I68=""),"",H68-I68)</f>
        <v>41</v>
      </c>
      <c r="K68" s="34" t="n">
        <f aca="false">IFERROR(J68/I68,"")</f>
        <v>0.577464788732394</v>
      </c>
      <c r="L68" s="32" t="n">
        <f aca="false">IFERROR(D68/C68,"")</f>
        <v>311.602739726027</v>
      </c>
      <c r="M68" s="32" t="n">
        <f aca="false">IFERROR(H68/D68*1000,"")</f>
        <v>4.92372620565349</v>
      </c>
      <c r="N68" s="32" t="n">
        <v>4421</v>
      </c>
      <c r="O68" s="33" t="n">
        <f aca="true">IFERROR(IF(OR(N68="",ISBLANK(INDIRECT("'"&amp;$Q$2&amp;"'!N"&amp;ROW()))),"",N68-INDIRECT("'"&amp;$Q$2&amp;"'!N"&amp;ROW())),"")</f>
        <v>-4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n">
        <f aca="true">IFERROR(IF(ISBLANK(INDIRECT("'"&amp;$Q$2&amp;"'!O"&amp;ROW())),"",INDIRECT("'"&amp;$Q$2&amp;"'!O"&amp;ROW())),"")</f>
        <v>-46</v>
      </c>
      <c r="X68" s="17" t="n">
        <f aca="false">IF(OR($O68="",$W68=""),"",$O68-$W68)</f>
        <v>42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66</v>
      </c>
      <c r="D69" s="32" t="n">
        <v>30498</v>
      </c>
      <c r="E69" s="32" t="n">
        <f aca="true">IF($D69="","",IFERROR(IF(ISBLANK(INDIRECT("'"&amp;$Q$2&amp;"'!D"&amp;ROW())),"",INDIRECT("'"&amp;$Q$2&amp;"'!D"&amp;ROW())),""))</f>
        <v>55540</v>
      </c>
      <c r="F69" s="33" t="n">
        <f aca="false">IF(OR(D69="",E69=""),"",D69-E69)</f>
        <v>-25042</v>
      </c>
      <c r="G69" s="34" t="n">
        <f aca="false">IFERROR(F69/E69,"")</f>
        <v>-0.450882247029168</v>
      </c>
      <c r="H69" s="32" t="n">
        <v>282</v>
      </c>
      <c r="I69" s="32" t="n">
        <f aca="true">IF($H69="","",IFERROR(IF(ISBLANK(INDIRECT("'"&amp;$Q$2&amp;"'!H"&amp;ROW())),"",INDIRECT("'"&amp;$Q$2&amp;"'!H"&amp;ROW())),""))</f>
        <v>432</v>
      </c>
      <c r="J69" s="33" t="n">
        <f aca="false">IF(OR(H69="",I69=""),"",H69-I69)</f>
        <v>-150</v>
      </c>
      <c r="K69" s="34" t="n">
        <f aca="false">IFERROR(J69/I69,"")</f>
        <v>-0.347222222222222</v>
      </c>
      <c r="L69" s="32" t="n">
        <f aca="false">IFERROR(D69/C69,"")</f>
        <v>462.090909090909</v>
      </c>
      <c r="M69" s="32" t="n">
        <f aca="false">IFERROR(H69/D69*1000,"")</f>
        <v>9.24650796773559</v>
      </c>
      <c r="N69" s="32" t="n">
        <v>5550</v>
      </c>
      <c r="O69" s="33" t="n">
        <f aca="true">IFERROR(IF(OR(N69="",ISBLANK(INDIRECT("'"&amp;$Q$2&amp;"'!N"&amp;ROW()))),"",N69-INDIRECT("'"&amp;$Q$2&amp;"'!N"&amp;ROW())),"")</f>
        <v>-20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n">
        <f aca="true">IFERROR(IF(ISBLANK(INDIRECT("'"&amp;$Q$2&amp;"'!O"&amp;ROW())),"",INDIRECT("'"&amp;$Q$2&amp;"'!O"&amp;ROW())),"")</f>
        <v>-122</v>
      </c>
      <c r="X69" s="17" t="n">
        <f aca="false">IF(OR($O69="",$W69=""),"",$O69-$W69)</f>
        <v>102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3812</v>
      </c>
      <c r="E70" s="32" t="n">
        <f aca="true">IF($D70="","",IFERROR(IF(ISBLANK(INDIRECT("'"&amp;$Q$2&amp;"'!D"&amp;ROW())),"",INDIRECT("'"&amp;$Q$2&amp;"'!D"&amp;ROW())),""))</f>
        <v>3586</v>
      </c>
      <c r="F70" s="33" t="n">
        <f aca="false">IF(OR(D70="",E70=""),"",D70-E70)</f>
        <v>226</v>
      </c>
      <c r="G70" s="34" t="n">
        <f aca="false">IFERROR(F70/E70,"")</f>
        <v>0.0630228667038483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17.0178571428571</v>
      </c>
      <c r="M70" s="32" t="n">
        <f aca="false">IFERROR(H70/D70*1000,"")</f>
        <v>0</v>
      </c>
      <c r="N70" s="32" t="n">
        <v>693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30</v>
      </c>
      <c r="D71" s="32" t="n">
        <v>7786</v>
      </c>
      <c r="E71" s="32" t="n">
        <f aca="true">IF($D71="","",IFERROR(IF(ISBLANK(INDIRECT("'"&amp;$Q$2&amp;"'!D"&amp;ROW())),"",INDIRECT("'"&amp;$Q$2&amp;"'!D"&amp;ROW())),""))</f>
        <v>7230</v>
      </c>
      <c r="F71" s="33" t="n">
        <f aca="false">IF(OR(D71="",E71=""),"",D71-E71)</f>
        <v>556</v>
      </c>
      <c r="G71" s="34" t="n">
        <f aca="false">IFERROR(F71/E71,"")</f>
        <v>0.0769017980636238</v>
      </c>
      <c r="H71" s="32" t="n">
        <v>704</v>
      </c>
      <c r="I71" s="32" t="n">
        <f aca="true">IF($H71="","",IFERROR(IF(ISBLANK(INDIRECT("'"&amp;$Q$2&amp;"'!H"&amp;ROW())),"",INDIRECT("'"&amp;$Q$2&amp;"'!H"&amp;ROW())),""))</f>
        <v>540</v>
      </c>
      <c r="J71" s="33" t="n">
        <f aca="false">IF(OR(H71="",I71=""),"",H71-I71)</f>
        <v>164</v>
      </c>
      <c r="K71" s="34" t="n">
        <f aca="false">IFERROR(J71/I71,"")</f>
        <v>0.303703703703704</v>
      </c>
      <c r="L71" s="32" t="n">
        <f aca="false">IFERROR(D71/C71,"")</f>
        <v>259.533333333333</v>
      </c>
      <c r="M71" s="32" t="n">
        <f aca="false">IFERROR(H71/D71*1000,"")</f>
        <v>90.4187002311842</v>
      </c>
      <c r="N71" s="32" t="n">
        <v>2505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n">
        <f aca="true">IFERROR(IF(ISBLANK(INDIRECT("'"&amp;$Q$2&amp;"'!O"&amp;ROW())),"",INDIRECT("'"&amp;$Q$2&amp;"'!O"&amp;ROW())),"")</f>
        <v>2</v>
      </c>
      <c r="X71" s="17" t="n">
        <f aca="false">IF(OR($O71="",$W71=""),"",$O71-$W71)</f>
        <v>-3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175</v>
      </c>
      <c r="E72" s="32" t="n">
        <f aca="true">IF($D72="","",IFERROR(IF(ISBLANK(INDIRECT("'"&amp;$Q$2&amp;"'!D"&amp;ROW())),"",INDIRECT("'"&amp;$Q$2&amp;"'!D"&amp;ROW())),""))</f>
        <v>164</v>
      </c>
      <c r="F72" s="33" t="n">
        <f aca="false">IF(OR(D72="",E72=""),"",D72-E72)</f>
        <v>11</v>
      </c>
      <c r="G72" s="34" t="n">
        <f aca="false">IFERROR(F72/E72,"")</f>
        <v>0.0670731707317073</v>
      </c>
      <c r="H72" s="32" t="n">
        <v>20</v>
      </c>
      <c r="I72" s="32" t="n">
        <f aca="true">IF($H72="","",IFERROR(IF(ISBLANK(INDIRECT("'"&amp;$Q$2&amp;"'!H"&amp;ROW())),"",INDIRECT("'"&amp;$Q$2&amp;"'!H"&amp;ROW())),""))</f>
        <v>24</v>
      </c>
      <c r="J72" s="33" t="n">
        <f aca="false">IF(OR(H72="",I72=""),"",H72-I72)</f>
        <v>-4</v>
      </c>
      <c r="K72" s="34" t="n">
        <f aca="false">IFERROR(J72/I72,"")</f>
        <v>-0.166666666666667</v>
      </c>
      <c r="L72" s="32" t="n">
        <f aca="false">IFERROR(D72/C72,"")</f>
        <v>19.4444444444444</v>
      </c>
      <c r="M72" s="32" t="n">
        <f aca="false">IFERROR(H72/D72*1000,"")</f>
        <v>114.285714285714</v>
      </c>
      <c r="N72" s="32" t="n">
        <v>173</v>
      </c>
      <c r="O72" s="33" t="n">
        <f aca="true">IFERROR(IF(OR(N72="",ISBLANK(INDIRECT("'"&amp;$Q$2&amp;"'!N"&amp;ROW()))),"",N72-INDIRECT("'"&amp;$Q$2&amp;"'!N"&amp;ROW())),"")</f>
        <v>1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2841</v>
      </c>
      <c r="E73" s="32" t="n">
        <f aca="true">IF($D73="","",IFERROR(IF(ISBLANK(INDIRECT("'"&amp;$Q$2&amp;"'!D"&amp;ROW())),"",INDIRECT("'"&amp;$Q$2&amp;"'!D"&amp;ROW())),""))</f>
        <v>1147</v>
      </c>
      <c r="F73" s="33" t="n">
        <f aca="false">IF(OR(D73="",E73=""),"",D73-E73)</f>
        <v>1694</v>
      </c>
      <c r="G73" s="34" t="n">
        <f aca="false">IFERROR(F73/E73,"")</f>
        <v>1.4768962510898</v>
      </c>
      <c r="H73" s="32" t="n">
        <v>44</v>
      </c>
      <c r="I73" s="32" t="n">
        <f aca="true">IF($H73="","",IFERROR(IF(ISBLANK(INDIRECT("'"&amp;$Q$2&amp;"'!H"&amp;ROW())),"",INDIRECT("'"&amp;$Q$2&amp;"'!H"&amp;ROW())),""))</f>
        <v>36</v>
      </c>
      <c r="J73" s="33" t="n">
        <f aca="false">IF(OR(H73="",I73=""),"",H73-I73)</f>
        <v>8</v>
      </c>
      <c r="K73" s="34" t="n">
        <f aca="false">IFERROR(J73/I73,"")</f>
        <v>0.222222222222222</v>
      </c>
      <c r="L73" s="32" t="n">
        <f aca="false">IFERROR(D73/C73,"")</f>
        <v>355.125</v>
      </c>
      <c r="M73" s="32" t="n">
        <f aca="false">IFERROR(H73/D73*1000,"")</f>
        <v>15.4875043998592</v>
      </c>
      <c r="N73" s="32" t="n">
        <v>53</v>
      </c>
      <c r="O73" s="33" t="n">
        <f aca="true">IFERROR(IF(OR(N73="",ISBLANK(INDIRECT("'"&amp;$Q$2&amp;"'!N"&amp;ROW()))),"",N73-INDIRECT("'"&amp;$Q$2&amp;"'!N"&amp;ROW())),"")</f>
        <v>4</v>
      </c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1574</v>
      </c>
      <c r="D74" s="36" t="n">
        <f aca="false">SUM(D52:D73)</f>
        <v>431295</v>
      </c>
      <c r="E74" s="36" t="n">
        <f aca="false">SUM(E52:E73)</f>
        <v>423190</v>
      </c>
      <c r="F74" s="37" t="n">
        <f aca="false">SUM(F52:F73)</f>
        <v>8105</v>
      </c>
      <c r="G74" s="38" t="n">
        <f aca="false">IF(C74=0,"",IFERROR(F74/E74,""))</f>
        <v>0.0191521538788724</v>
      </c>
      <c r="H74" s="36" t="n">
        <f aca="false">SUM(H52:H73)</f>
        <v>2959</v>
      </c>
      <c r="I74" s="36" t="n">
        <f aca="false">SUM(I52:I73)</f>
        <v>2490</v>
      </c>
      <c r="J74" s="37" t="n">
        <f aca="false">SUM(J52:J73)</f>
        <v>469</v>
      </c>
      <c r="K74" s="38" t="n">
        <f aca="false">IF(C74=0,"",IFERROR(J74/I74,""))</f>
        <v>0.188353413654618</v>
      </c>
      <c r="L74" s="36" t="n">
        <f aca="false">IFERROR(D74/C74,"")</f>
        <v>274.01207115629</v>
      </c>
      <c r="M74" s="36" t="n">
        <f aca="false">IFERROR(H74/D74*1000,"")</f>
        <v>6.86073337274951</v>
      </c>
      <c r="N74" s="36" t="n">
        <f aca="false">SUM(N52:N73)</f>
        <v>98579</v>
      </c>
      <c r="O74" s="37" t="n">
        <f aca="false">SUM(O52:O73)</f>
        <v>-129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n">
        <f aca="true">IFERROR(IF(ISBLANK(INDIRECT("'"&amp;$Q$2&amp;"'!O"&amp;ROW())),"",INDIRECT("'"&amp;$Q$2&amp;"'!O"&amp;ROW())),"")</f>
        <v>-744</v>
      </c>
      <c r="X74" s="25" t="n">
        <f aca="false">IF(OR(C74=0,$O74="",$W74=""),"",$O74-$W74)</f>
        <v>615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143</v>
      </c>
      <c r="D75" s="32" t="n">
        <v>135695</v>
      </c>
      <c r="E75" s="32" t="n">
        <f aca="true">IF($D75="","",IFERROR(IF(ISBLANK(INDIRECT("'"&amp;$Q$2&amp;"'!D"&amp;ROW())),"",INDIRECT("'"&amp;$Q$2&amp;"'!D"&amp;ROW())),""))</f>
        <v>141488</v>
      </c>
      <c r="F75" s="33" t="n">
        <f aca="false">IF(OR(D75="",E75=""),"",D75-E75)</f>
        <v>-5793</v>
      </c>
      <c r="G75" s="34" t="n">
        <f aca="false">IFERROR(F75/E75,"")</f>
        <v>-0.0409434015605564</v>
      </c>
      <c r="H75" s="32" t="n">
        <v>1301</v>
      </c>
      <c r="I75" s="32" t="str">
        <f aca="true">IF($H75="","",IFERROR(IF(ISBLANK(INDIRECT("'"&amp;$Q$2&amp;"'!H"&amp;ROW())),"",INDIRECT("'"&amp;$Q$2&amp;"'!H"&amp;ROW())),""))</f>
        <v/>
      </c>
      <c r="J75" s="33" t="str">
        <f aca="false">IF(OR(H75="",I75=""),"",H75-I75)</f>
        <v/>
      </c>
      <c r="K75" s="34" t="str">
        <f aca="false">IFERROR(J75/I75,"")</f>
        <v/>
      </c>
      <c r="L75" s="32" t="n">
        <f aca="false">IFERROR(D75/C75,"")</f>
        <v>948.916083916084</v>
      </c>
      <c r="M75" s="32" t="n">
        <f aca="false">IFERROR(H75/D75*1000,"")</f>
        <v>9.58767824901434</v>
      </c>
      <c r="N75" s="32" t="n">
        <v>4188</v>
      </c>
      <c r="O75" s="33" t="n">
        <f aca="true">IFERROR(IF(OR(N75="",ISBLANK(INDIRECT("'"&amp;$Q$2&amp;"'!N"&amp;ROW()))),"",N75-INDIRECT("'"&amp;$Q$2&amp;"'!N"&amp;ROW())),"")</f>
        <v>53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18</v>
      </c>
      <c r="X75" s="17" t="n">
        <f aca="false">IF(OR($O75="",$W75=""),"",$O75-$W75)</f>
        <v>35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141</v>
      </c>
      <c r="D76" s="32" t="n">
        <v>60348</v>
      </c>
      <c r="E76" s="32" t="n">
        <f aca="true">IF($D76="","",IFERROR(IF(ISBLANK(INDIRECT("'"&amp;$Q$2&amp;"'!D"&amp;ROW())),"",INDIRECT("'"&amp;$Q$2&amp;"'!D"&amp;ROW())),""))</f>
        <v>68887</v>
      </c>
      <c r="F76" s="33" t="n">
        <f aca="false">IF(OR(D76="",E76=""),"",D76-E76)</f>
        <v>-8539</v>
      </c>
      <c r="G76" s="34" t="n">
        <f aca="false">IFERROR(F76/E76,"")</f>
        <v>-0.123956624617127</v>
      </c>
      <c r="H76" s="32" t="n">
        <v>235</v>
      </c>
      <c r="I76" s="32" t="str">
        <f aca="true">IF($H76="","",IFERROR(IF(ISBLANK(INDIRECT("'"&amp;$Q$2&amp;"'!H"&amp;ROW())),"",INDIRECT("'"&amp;$Q$2&amp;"'!H"&amp;ROW())),""))</f>
        <v/>
      </c>
      <c r="J76" s="33" t="str">
        <f aca="false">IF(OR(H76="",I76=""),"",H76-I76)</f>
        <v/>
      </c>
      <c r="K76" s="34" t="str">
        <f aca="false">IFERROR(J76/I76,"")</f>
        <v/>
      </c>
      <c r="L76" s="32" t="n">
        <f aca="false">IFERROR(D76/C76,"")</f>
        <v>428</v>
      </c>
      <c r="M76" s="32" t="n">
        <f aca="false">IFERROR(H76/D76*1000,"")</f>
        <v>3.89408099688474</v>
      </c>
      <c r="N76" s="32" t="n">
        <v>2207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-1</v>
      </c>
      <c r="X76" s="17" t="n">
        <f aca="false">IF(OR($O76="",$W76=""),"",$O76-$W76)</f>
        <v>9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81</v>
      </c>
      <c r="D77" s="32" t="n">
        <v>4997</v>
      </c>
      <c r="E77" s="32" t="n">
        <f aca="true">IF($D77="","",IFERROR(IF(ISBLANK(INDIRECT("'"&amp;$Q$2&amp;"'!D"&amp;ROW())),"",INDIRECT("'"&amp;$Q$2&amp;"'!D"&amp;ROW())),""))</f>
        <v>6444</v>
      </c>
      <c r="F77" s="33" t="n">
        <f aca="false">IF(OR(D77="",E77=""),"",D77-E77)</f>
        <v>-1447</v>
      </c>
      <c r="G77" s="34" t="n">
        <f aca="false">IFERROR(F77/E77,"")</f>
        <v>-0.224549968963377</v>
      </c>
      <c r="H77" s="32" t="n">
        <v>9</v>
      </c>
      <c r="I77" s="32" t="str">
        <f aca="true">IF($H77="","",IFERROR(IF(ISBLANK(INDIRECT("'"&amp;$Q$2&amp;"'!H"&amp;ROW())),"",INDIRECT("'"&amp;$Q$2&amp;"'!H"&amp;ROW())),""))</f>
        <v/>
      </c>
      <c r="J77" s="33" t="str">
        <f aca="false">IF(OR(H77="",I77=""),"",H77-I77)</f>
        <v/>
      </c>
      <c r="K77" s="34" t="str">
        <f aca="false">IFERROR(J77/I77,"")</f>
        <v/>
      </c>
      <c r="L77" s="32" t="n">
        <f aca="false">IFERROR(D77/C77,"")</f>
        <v>61.6913580246914</v>
      </c>
      <c r="M77" s="32" t="n">
        <f aca="false">IFERROR(H77/D77*1000,"")</f>
        <v>1.80108064838903</v>
      </c>
      <c r="N77" s="32" t="n">
        <v>267</v>
      </c>
      <c r="O77" s="33" t="n">
        <f aca="true">IFERROR(IF(OR(N77="",ISBLANK(INDIRECT("'"&amp;$Q$2&amp;"'!N"&amp;ROW()))),"",N77-INDIRECT("'"&amp;$Q$2&amp;"'!N"&amp;ROW())),"")</f>
        <v>4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5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984</v>
      </c>
      <c r="E78" s="32" t="n">
        <f aca="true">IF($D78="","",IFERROR(IF(ISBLANK(INDIRECT("'"&amp;$Q$2&amp;"'!D"&amp;ROW())),"",INDIRECT("'"&amp;$Q$2&amp;"'!D"&amp;ROW())),""))</f>
        <v>810</v>
      </c>
      <c r="F78" s="33" t="n">
        <f aca="false">IF(OR(D78="",E78=""),"",D78-E78)</f>
        <v>174</v>
      </c>
      <c r="G78" s="34" t="n">
        <f aca="false">IFERROR(F78/E78,"")</f>
        <v>0.214814814814815</v>
      </c>
      <c r="H78" s="32" t="n">
        <v>17</v>
      </c>
      <c r="I78" s="32" t="str">
        <f aca="true">IF($H78="","",IFERROR(IF(ISBLANK(INDIRECT("'"&amp;$Q$2&amp;"'!H"&amp;ROW())),"",INDIRECT("'"&amp;$Q$2&amp;"'!H"&amp;ROW())),""))</f>
        <v/>
      </c>
      <c r="J78" s="33" t="str">
        <f aca="false">IF(OR(H78="",I78=""),"",H78-I78)</f>
        <v/>
      </c>
      <c r="K78" s="34" t="str">
        <f aca="false">IFERROR(J78/I78,"")</f>
        <v/>
      </c>
      <c r="L78" s="32" t="n">
        <f aca="false">IFERROR(D78/C78,"")</f>
        <v>140.571428571429</v>
      </c>
      <c r="M78" s="32" t="n">
        <f aca="false">IFERROR(H78/D78*1000,"")</f>
        <v>17.2764227642276</v>
      </c>
      <c r="N78" s="32" t="n">
        <v>194</v>
      </c>
      <c r="O78" s="33" t="n">
        <f aca="true">IFERROR(IF(OR(N78="",ISBLANK(INDIRECT("'"&amp;$Q$2&amp;"'!N"&amp;ROW()))),"",N78-INDIRECT("'"&amp;$Q$2&amp;"'!N"&amp;ROW())),"")</f>
        <v>9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5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102</v>
      </c>
      <c r="E79" s="32" t="n">
        <f aca="true">IF($D79="","",IFERROR(IF(ISBLANK(INDIRECT("'"&amp;$Q$2&amp;"'!D"&amp;ROW())),"",INDIRECT("'"&amp;$Q$2&amp;"'!D"&amp;ROW())),""))</f>
        <v>156</v>
      </c>
      <c r="F79" s="33" t="n">
        <f aca="false">IF(OR(D79="",E79=""),"",D79-E79)</f>
        <v>-54</v>
      </c>
      <c r="G79" s="34" t="n">
        <f aca="false">IFERROR(F79/E79,"")</f>
        <v>-0.346153846153846</v>
      </c>
      <c r="H79" s="32" t="n">
        <v>0</v>
      </c>
      <c r="I79" s="32" t="str">
        <f aca="true">IF($H79="","",IFERROR(IF(ISBLANK(INDIRECT("'"&amp;$Q$2&amp;"'!H"&amp;ROW())),"",INDIRECT("'"&amp;$Q$2&amp;"'!H"&amp;ROW())),""))</f>
        <v/>
      </c>
      <c r="J79" s="33" t="str">
        <f aca="false">IF(OR(H79="",I79=""),"",H79-I79)</f>
        <v/>
      </c>
      <c r="K79" s="34" t="str">
        <f aca="false">IFERROR(J79/I79,"")</f>
        <v/>
      </c>
      <c r="L79" s="32" t="n">
        <f aca="false">IFERROR(D79/C79,"")</f>
        <v>14.5714285714286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2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136</v>
      </c>
      <c r="D80" s="32" t="n">
        <v>207073</v>
      </c>
      <c r="E80" s="32" t="n">
        <f aca="true">IF($D80="","",IFERROR(IF(ISBLANK(INDIRECT("'"&amp;$Q$2&amp;"'!D"&amp;ROW())),"",INDIRECT("'"&amp;$Q$2&amp;"'!D"&amp;ROW())),""))</f>
        <v>141883</v>
      </c>
      <c r="F80" s="33" t="n">
        <f aca="false">IF(OR(D80="",E80=""),"",D80-E80)</f>
        <v>65190</v>
      </c>
      <c r="G80" s="34" t="n">
        <f aca="false">IFERROR(F80/E80,"")</f>
        <v>0.459463078733886</v>
      </c>
      <c r="H80" s="32" t="n">
        <v>2041</v>
      </c>
      <c r="I80" s="32" t="str">
        <f aca="true">IF($H80="","",IFERROR(IF(ISBLANK(INDIRECT("'"&amp;$Q$2&amp;"'!H"&amp;ROW())),"",INDIRECT("'"&amp;$Q$2&amp;"'!H"&amp;ROW())),""))</f>
        <v/>
      </c>
      <c r="J80" s="33" t="str">
        <f aca="false">IF(OR(H80="",I80=""),"",H80-I80)</f>
        <v/>
      </c>
      <c r="K80" s="34" t="str">
        <f aca="false">IFERROR(J80/I80,"")</f>
        <v/>
      </c>
      <c r="L80" s="32" t="n">
        <f aca="false">IFERROR(D80/C80,"")</f>
        <v>1522.59558823529</v>
      </c>
      <c r="M80" s="32" t="n">
        <f aca="false">IFERROR(H80/D80*1000,"")</f>
        <v>9.85642744346197</v>
      </c>
      <c r="N80" s="32" t="n">
        <v>4089</v>
      </c>
      <c r="O80" s="33" t="n">
        <f aca="true">IFERROR(IF(OR(N80="",ISBLANK(INDIRECT("'"&amp;$Q$2&amp;"'!N"&amp;ROW()))),"",N80-INDIRECT("'"&amp;$Q$2&amp;"'!N"&amp;ROW())),"")</f>
        <v>315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51</v>
      </c>
      <c r="X80" s="17" t="n">
        <f aca="false">IF(OR($O80="",$W80=""),"",$O80-$W80)</f>
        <v>264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104</v>
      </c>
      <c r="D81" s="32" t="n">
        <v>88661</v>
      </c>
      <c r="E81" s="32" t="n">
        <f aca="true">IF($D81="","",IFERROR(IF(ISBLANK(INDIRECT("'"&amp;$Q$2&amp;"'!D"&amp;ROW())),"",INDIRECT("'"&amp;$Q$2&amp;"'!D"&amp;ROW())),""))</f>
        <v>70716</v>
      </c>
      <c r="F81" s="33" t="n">
        <f aca="false">IF(OR(D81="",E81=""),"",D81-E81)</f>
        <v>17945</v>
      </c>
      <c r="G81" s="34" t="n">
        <f aca="false">IFERROR(F81/E81,"")</f>
        <v>0.253761524973132</v>
      </c>
      <c r="H81" s="32" t="n">
        <v>2596</v>
      </c>
      <c r="I81" s="32" t="str">
        <f aca="true">IF($H81="","",IFERROR(IF(ISBLANK(INDIRECT("'"&amp;$Q$2&amp;"'!H"&amp;ROW())),"",INDIRECT("'"&amp;$Q$2&amp;"'!H"&amp;ROW())),""))</f>
        <v/>
      </c>
      <c r="J81" s="33" t="str">
        <f aca="false">IF(OR(H81="",I81=""),"",H81-I81)</f>
        <v/>
      </c>
      <c r="K81" s="34" t="str">
        <f aca="false">IFERROR(J81/I81,"")</f>
        <v/>
      </c>
      <c r="L81" s="32" t="n">
        <f aca="false">IFERROR(D81/C81,"")</f>
        <v>852.509615384615</v>
      </c>
      <c r="M81" s="32" t="n">
        <f aca="false">IFERROR(H81/D81*1000,"")</f>
        <v>29.2800667711846</v>
      </c>
      <c r="N81" s="32" t="n">
        <v>2170</v>
      </c>
      <c r="O81" s="33" t="n">
        <f aca="true">IFERROR(IF(OR(N81="",ISBLANK(INDIRECT("'"&amp;$Q$2&amp;"'!N"&amp;ROW()))),"",N81-INDIRECT("'"&amp;$Q$2&amp;"'!N"&amp;ROW())),"")</f>
        <v>217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8</v>
      </c>
      <c r="X81" s="17" t="n">
        <f aca="false">IF(OR($O81="",$W81=""),"",$O81-$W81)</f>
        <v>209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118</v>
      </c>
      <c r="D82" s="32" t="n">
        <v>188707</v>
      </c>
      <c r="E82" s="32" t="n">
        <f aca="true">IF($D82="","",IFERROR(IF(ISBLANK(INDIRECT("'"&amp;$Q$2&amp;"'!D"&amp;ROW())),"",INDIRECT("'"&amp;$Q$2&amp;"'!D"&amp;ROW())),""))</f>
        <v>134691</v>
      </c>
      <c r="F82" s="33" t="n">
        <f aca="false">IF(OR(D82="",E82=""),"",D82-E82)</f>
        <v>54016</v>
      </c>
      <c r="G82" s="34" t="n">
        <f aca="false">IFERROR(F82/E82,"")</f>
        <v>0.401036446384688</v>
      </c>
      <c r="H82" s="32" t="n">
        <v>4640</v>
      </c>
      <c r="I82" s="32" t="str">
        <f aca="true">IF($H82="","",IFERROR(IF(ISBLANK(INDIRECT("'"&amp;$Q$2&amp;"'!H"&amp;ROW())),"",INDIRECT("'"&amp;$Q$2&amp;"'!H"&amp;ROW())),""))</f>
        <v/>
      </c>
      <c r="J82" s="33" t="str">
        <f aca="false">IF(OR(H82="",I82=""),"",H82-I82)</f>
        <v/>
      </c>
      <c r="K82" s="34" t="str">
        <f aca="false">IFERROR(J82/I82,"")</f>
        <v/>
      </c>
      <c r="L82" s="32" t="n">
        <f aca="false">IFERROR(D82/C82,"")</f>
        <v>1599.21186440678</v>
      </c>
      <c r="M82" s="32" t="n">
        <f aca="false">IFERROR(H82/D82*1000,"")</f>
        <v>24.5883830488535</v>
      </c>
      <c r="N82" s="32" t="n">
        <v>3617</v>
      </c>
      <c r="O82" s="33" t="n">
        <f aca="true">IFERROR(IF(OR(N82="",ISBLANK(INDIRECT("'"&amp;$Q$2&amp;"'!N"&amp;ROW()))),"",N82-INDIRECT("'"&amp;$Q$2&amp;"'!N"&amp;ROW())),"")</f>
        <v>108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51</v>
      </c>
      <c r="X82" s="17" t="n">
        <f aca="false">IF(OR($O82="",$W82=""),"",$O82-$W82)</f>
        <v>57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103</v>
      </c>
      <c r="D83" s="32" t="n">
        <v>63728</v>
      </c>
      <c r="E83" s="32" t="n">
        <f aca="true">IF($D83="","",IFERROR(IF(ISBLANK(INDIRECT("'"&amp;$Q$2&amp;"'!D"&amp;ROW())),"",INDIRECT("'"&amp;$Q$2&amp;"'!D"&amp;ROW())),""))</f>
        <v>56512</v>
      </c>
      <c r="F83" s="33" t="n">
        <f aca="false">IF(OR(D83="",E83=""),"",D83-E83)</f>
        <v>7216</v>
      </c>
      <c r="G83" s="34" t="n">
        <f aca="false">IFERROR(F83/E83,"")</f>
        <v>0.127689694224236</v>
      </c>
      <c r="H83" s="32" t="n">
        <v>586</v>
      </c>
      <c r="I83" s="32" t="str">
        <f aca="true">IF($H83="","",IFERROR(IF(ISBLANK(INDIRECT("'"&amp;$Q$2&amp;"'!H"&amp;ROW())),"",INDIRECT("'"&amp;$Q$2&amp;"'!H"&amp;ROW())),""))</f>
        <v/>
      </c>
      <c r="J83" s="33" t="str">
        <f aca="false">IF(OR(H83="",I83=""),"",H83-I83)</f>
        <v/>
      </c>
      <c r="K83" s="34" t="str">
        <f aca="false">IFERROR(J83/I83,"")</f>
        <v/>
      </c>
      <c r="L83" s="32" t="n">
        <f aca="false">IFERROR(D83/C83,"")</f>
        <v>618.718446601942</v>
      </c>
      <c r="M83" s="32" t="n">
        <f aca="false">IFERROR(H83/D83*1000,"")</f>
        <v>9.19533015315089</v>
      </c>
      <c r="N83" s="32" t="n">
        <v>1596</v>
      </c>
      <c r="O83" s="33" t="n">
        <f aca="true">IFERROR(IF(OR(N83="",ISBLANK(INDIRECT("'"&amp;$Q$2&amp;"'!N"&amp;ROW()))),"",N83-INDIRECT("'"&amp;$Q$2&amp;"'!N"&amp;ROW())),"")</f>
        <v>77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28</v>
      </c>
      <c r="X83" s="17" t="n">
        <f aca="false">IF(OR($O83="",$W83=""),"",$O83-$W83)</f>
        <v>49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105</v>
      </c>
      <c r="D84" s="32" t="n">
        <v>25850</v>
      </c>
      <c r="E84" s="32" t="n">
        <f aca="true">IF($D84="","",IFERROR(IF(ISBLANK(INDIRECT("'"&amp;$Q$2&amp;"'!D"&amp;ROW())),"",INDIRECT("'"&amp;$Q$2&amp;"'!D"&amp;ROW())),""))</f>
        <v>24217</v>
      </c>
      <c r="F84" s="33" t="n">
        <f aca="false">IF(OR(D84="",E84=""),"",D84-E84)</f>
        <v>1633</v>
      </c>
      <c r="G84" s="34" t="n">
        <f aca="false">IFERROR(F84/E84,"")</f>
        <v>0.0674319692777801</v>
      </c>
      <c r="H84" s="32" t="n">
        <v>336</v>
      </c>
      <c r="I84" s="32" t="str">
        <f aca="true">IF($H84="","",IFERROR(IF(ISBLANK(INDIRECT("'"&amp;$Q$2&amp;"'!H"&amp;ROW())),"",INDIRECT("'"&amp;$Q$2&amp;"'!H"&amp;ROW())),""))</f>
        <v/>
      </c>
      <c r="J84" s="33" t="str">
        <f aca="false">IF(OR(H84="",I84=""),"",H84-I84)</f>
        <v/>
      </c>
      <c r="K84" s="34" t="str">
        <f aca="false">IFERROR(J84/I84,"")</f>
        <v/>
      </c>
      <c r="L84" s="32" t="n">
        <f aca="false">IFERROR(D84/C84,"")</f>
        <v>246.190476190476</v>
      </c>
      <c r="M84" s="32" t="n">
        <f aca="false">IFERROR(H84/D84*1000,"")</f>
        <v>12.9980657640232</v>
      </c>
      <c r="N84" s="32" t="n">
        <v>729</v>
      </c>
      <c r="O84" s="33" t="n">
        <f aca="true">IFERROR(IF(OR(N84="",ISBLANK(INDIRECT("'"&amp;$Q$2&amp;"'!N"&amp;ROW()))),"",N84-INDIRECT("'"&amp;$Q$2&amp;"'!N"&amp;ROW())),"")</f>
        <v>11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9</v>
      </c>
      <c r="X84" s="17" t="n">
        <f aca="false">IF(OR($O84="",$W84=""),"",$O84-$W84)</f>
        <v>2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69</v>
      </c>
      <c r="D85" s="32" t="n">
        <v>8238</v>
      </c>
      <c r="E85" s="32" t="n">
        <f aca="true">IF($D85="","",IFERROR(IF(ISBLANK(INDIRECT("'"&amp;$Q$2&amp;"'!D"&amp;ROW())),"",INDIRECT("'"&amp;$Q$2&amp;"'!D"&amp;ROW())),""))</f>
        <v>7988</v>
      </c>
      <c r="F85" s="33" t="n">
        <f aca="false">IF(OR(D85="",E85=""),"",D85-E85)</f>
        <v>250</v>
      </c>
      <c r="G85" s="34" t="n">
        <f aca="false">IFERROR(F85/E85,"")</f>
        <v>0.0312969454181272</v>
      </c>
      <c r="H85" s="32" t="n">
        <v>705</v>
      </c>
      <c r="I85" s="32" t="str">
        <f aca="true">IF($H85="","",IFERROR(IF(ISBLANK(INDIRECT("'"&amp;$Q$2&amp;"'!H"&amp;ROW())),"",INDIRECT("'"&amp;$Q$2&amp;"'!H"&amp;ROW())),""))</f>
        <v/>
      </c>
      <c r="J85" s="33" t="str">
        <f aca="false">IF(OR(H85="",I85=""),"",H85-I85)</f>
        <v/>
      </c>
      <c r="K85" s="34" t="str">
        <f aca="false">IFERROR(J85/I85,"")</f>
        <v/>
      </c>
      <c r="L85" s="32" t="n">
        <f aca="false">IFERROR(D85/C85,"")</f>
        <v>119.391304347826</v>
      </c>
      <c r="M85" s="32" t="n">
        <f aca="false">IFERROR(H85/D85*1000,"")</f>
        <v>85.5790240349599</v>
      </c>
      <c r="N85" s="32" t="n">
        <v>263</v>
      </c>
      <c r="O85" s="33" t="n">
        <f aca="true">IFERROR(IF(OR(N85="",ISBLANK(INDIRECT("'"&amp;$Q$2&amp;"'!N"&amp;ROW()))),"",N85-INDIRECT("'"&amp;$Q$2&amp;"'!N"&amp;ROW())),"")</f>
        <v>6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4</v>
      </c>
      <c r="X85" s="17" t="n">
        <f aca="false">IF(OR($O85="",$W85=""),"",$O85-$W85)</f>
        <v>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87</v>
      </c>
      <c r="D86" s="32" t="n">
        <v>76602</v>
      </c>
      <c r="E86" s="32" t="n">
        <f aca="true">IF($D86="","",IFERROR(IF(ISBLANK(INDIRECT("'"&amp;$Q$2&amp;"'!D"&amp;ROW())),"",INDIRECT("'"&amp;$Q$2&amp;"'!D"&amp;ROW())),""))</f>
        <v>45339</v>
      </c>
      <c r="F86" s="33" t="n">
        <f aca="false">IF(OR(D86="",E86=""),"",D86-E86)</f>
        <v>31263</v>
      </c>
      <c r="G86" s="34" t="n">
        <f aca="false">IFERROR(F86/E86,"")</f>
        <v>0.689538807649044</v>
      </c>
      <c r="H86" s="32" t="n">
        <v>778</v>
      </c>
      <c r="I86" s="32" t="str">
        <f aca="true">IF($H86="","",IFERROR(IF(ISBLANK(INDIRECT("'"&amp;$Q$2&amp;"'!H"&amp;ROW())),"",INDIRECT("'"&amp;$Q$2&amp;"'!H"&amp;ROW())),""))</f>
        <v/>
      </c>
      <c r="J86" s="33" t="str">
        <f aca="false">IF(OR(H86="",I86=""),"",H86-I86)</f>
        <v/>
      </c>
      <c r="K86" s="34" t="str">
        <f aca="false">IFERROR(J86/I86,"")</f>
        <v/>
      </c>
      <c r="L86" s="32" t="n">
        <f aca="false">IFERROR(D86/C86,"")</f>
        <v>880.48275862069</v>
      </c>
      <c r="M86" s="32" t="n">
        <f aca="false">IFERROR(H86/D86*1000,"")</f>
        <v>10.1563927834782</v>
      </c>
      <c r="N86" s="32" t="n">
        <v>1886</v>
      </c>
      <c r="O86" s="33" t="n">
        <f aca="true">IFERROR(IF(OR(N86="",ISBLANK(INDIRECT("'"&amp;$Q$2&amp;"'!N"&amp;ROW()))),"",N86-INDIRECT("'"&amp;$Q$2&amp;"'!N"&amp;ROW())),"")</f>
        <v>48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48</v>
      </c>
      <c r="D87" s="32" t="n">
        <v>9916</v>
      </c>
      <c r="E87" s="32" t="n">
        <f aca="true">IF($D87="","",IFERROR(IF(ISBLANK(INDIRECT("'"&amp;$Q$2&amp;"'!D"&amp;ROW())),"",INDIRECT("'"&amp;$Q$2&amp;"'!D"&amp;ROW())),""))</f>
        <v>10293</v>
      </c>
      <c r="F87" s="33" t="n">
        <f aca="false">IF(OR(D87="",E87=""),"",D87-E87)</f>
        <v>-377</v>
      </c>
      <c r="G87" s="34" t="n">
        <f aca="false">IFERROR(F87/E87,"")</f>
        <v>-0.0366268337705237</v>
      </c>
      <c r="H87" s="32" t="n">
        <v>30</v>
      </c>
      <c r="I87" s="32" t="str">
        <f aca="true">IF($H87="","",IFERROR(IF(ISBLANK(INDIRECT("'"&amp;$Q$2&amp;"'!H"&amp;ROW())),"",INDIRECT("'"&amp;$Q$2&amp;"'!H"&amp;ROW())),""))</f>
        <v/>
      </c>
      <c r="J87" s="33" t="str">
        <f aca="false">IF(OR(H87="",I87=""),"",H87-I87)</f>
        <v/>
      </c>
      <c r="K87" s="34" t="str">
        <f aca="false">IFERROR(J87/I87,"")</f>
        <v/>
      </c>
      <c r="L87" s="32" t="n">
        <f aca="false">IFERROR(D87/C87,"")</f>
        <v>206.583333333333</v>
      </c>
      <c r="M87" s="32" t="n">
        <f aca="false">IFERROR(H87/D87*1000,"")</f>
        <v>3.02541347317467</v>
      </c>
      <c r="N87" s="32" t="n">
        <v>484</v>
      </c>
      <c r="O87" s="33" t="n">
        <f aca="true">IFERROR(IF(OR(N87="",ISBLANK(INDIRECT("'"&amp;$Q$2&amp;"'!N"&amp;ROW()))),"",N87-INDIRECT("'"&amp;$Q$2&amp;"'!N"&amp;ROW())),"")</f>
        <v>9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13</v>
      </c>
      <c r="X87" s="17" t="n">
        <f aca="false">IF(OR($O87="",$W87=""),"",$O87-$W87)</f>
        <v>-4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35</v>
      </c>
      <c r="D88" s="32" t="n">
        <v>6957</v>
      </c>
      <c r="E88" s="32" t="n">
        <f aca="true">IF($D88="","",IFERROR(IF(ISBLANK(INDIRECT("'"&amp;$Q$2&amp;"'!D"&amp;ROW())),"",INDIRECT("'"&amp;$Q$2&amp;"'!D"&amp;ROW())),""))</f>
        <v>6253</v>
      </c>
      <c r="F88" s="33" t="n">
        <f aca="false">IF(OR(D88="",E88=""),"",D88-E88)</f>
        <v>704</v>
      </c>
      <c r="G88" s="34" t="n">
        <f aca="false">IFERROR(F88/E88,"")</f>
        <v>0.112585958739805</v>
      </c>
      <c r="H88" s="32" t="n">
        <v>66</v>
      </c>
      <c r="I88" s="32" t="str">
        <f aca="true">IF($H88="","",IFERROR(IF(ISBLANK(INDIRECT("'"&amp;$Q$2&amp;"'!H"&amp;ROW())),"",INDIRECT("'"&amp;$Q$2&amp;"'!H"&amp;ROW())),""))</f>
        <v/>
      </c>
      <c r="J88" s="33" t="str">
        <f aca="false">IF(OR(H88="",I88=""),"",H88-I88)</f>
        <v/>
      </c>
      <c r="K88" s="34" t="str">
        <f aca="false">IFERROR(J88/I88,"")</f>
        <v/>
      </c>
      <c r="L88" s="32" t="n">
        <f aca="false">IFERROR(D88/C88,"")</f>
        <v>198.771428571429</v>
      </c>
      <c r="M88" s="32" t="n">
        <f aca="false">IFERROR(H88/D88*1000,"")</f>
        <v>9.48684777921518</v>
      </c>
      <c r="N88" s="32" t="n">
        <v>416</v>
      </c>
      <c r="O88" s="33" t="n">
        <f aca="true">IFERROR(IF(OR(N88="",ISBLANK(INDIRECT("'"&amp;$Q$2&amp;"'!N"&amp;ROW()))),"",N88-INDIRECT("'"&amp;$Q$2&amp;"'!N"&amp;ROW())),"")</f>
        <v>14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47</v>
      </c>
      <c r="D89" s="32" t="n">
        <v>8025</v>
      </c>
      <c r="E89" s="32" t="n">
        <f aca="true">IF($D89="","",IFERROR(IF(ISBLANK(INDIRECT("'"&amp;$Q$2&amp;"'!D"&amp;ROW())),"",INDIRECT("'"&amp;$Q$2&amp;"'!D"&amp;ROW())),""))</f>
        <v>9659</v>
      </c>
      <c r="F89" s="33" t="n">
        <f aca="false">IF(OR(D89="",E89=""),"",D89-E89)</f>
        <v>-1634</v>
      </c>
      <c r="G89" s="34" t="n">
        <f aca="false">IFERROR(F89/E89,"")</f>
        <v>-0.169168650999068</v>
      </c>
      <c r="H89" s="32" t="n">
        <v>149</v>
      </c>
      <c r="I89" s="32" t="str">
        <f aca="true">IF($H89="","",IFERROR(IF(ISBLANK(INDIRECT("'"&amp;$Q$2&amp;"'!H"&amp;ROW())),"",INDIRECT("'"&amp;$Q$2&amp;"'!H"&amp;ROW())),""))</f>
        <v/>
      </c>
      <c r="J89" s="33" t="str">
        <f aca="false">IF(OR(H89="",I89=""),"",H89-I89)</f>
        <v/>
      </c>
      <c r="K89" s="34" t="str">
        <f aca="false">IFERROR(J89/I89,"")</f>
        <v/>
      </c>
      <c r="L89" s="32" t="n">
        <f aca="false">IFERROR(D89/C89,"")</f>
        <v>170.744680851064</v>
      </c>
      <c r="M89" s="32" t="n">
        <f aca="false">IFERROR(H89/D89*1000,"")</f>
        <v>18.5669781931464</v>
      </c>
      <c r="N89" s="32" t="n">
        <v>442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2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53</v>
      </c>
      <c r="D90" s="32" t="n">
        <v>26834</v>
      </c>
      <c r="E90" s="32" t="n">
        <f aca="true">IF($D90="","",IFERROR(IF(ISBLANK(INDIRECT("'"&amp;$Q$2&amp;"'!D"&amp;ROW())),"",INDIRECT("'"&amp;$Q$2&amp;"'!D"&amp;ROW())),""))</f>
        <v>29380</v>
      </c>
      <c r="F90" s="33" t="n">
        <f aca="false">IF(OR(D90="",E90=""),"",D90-E90)</f>
        <v>-2546</v>
      </c>
      <c r="G90" s="34" t="n">
        <f aca="false">IFERROR(F90/E90,"")</f>
        <v>-0.0866575901974132</v>
      </c>
      <c r="H90" s="32" t="n">
        <v>578</v>
      </c>
      <c r="I90" s="32" t="str">
        <f aca="true">IF($H90="","",IFERROR(IF(ISBLANK(INDIRECT("'"&amp;$Q$2&amp;"'!H"&amp;ROW())),"",INDIRECT("'"&amp;$Q$2&amp;"'!H"&amp;ROW())),""))</f>
        <v/>
      </c>
      <c r="J90" s="33" t="str">
        <f aca="false">IF(OR(H90="",I90=""),"",H90-I90)</f>
        <v/>
      </c>
      <c r="K90" s="34" t="str">
        <f aca="false">IFERROR(J90/I90,"")</f>
        <v/>
      </c>
      <c r="L90" s="32" t="n">
        <f aca="false">IFERROR(D90/C90,"")</f>
        <v>506.301886792453</v>
      </c>
      <c r="M90" s="32" t="n">
        <f aca="false">IFERROR(H90/D90*1000,"")</f>
        <v>21.5398375195647</v>
      </c>
      <c r="N90" s="32" t="n">
        <v>1446</v>
      </c>
      <c r="O90" s="33" t="n">
        <f aca="true">IFERROR(IF(OR(N90="",ISBLANK(INDIRECT("'"&amp;$Q$2&amp;"'!N"&amp;ROW()))),"",N90-INDIRECT("'"&amp;$Q$2&amp;"'!N"&amp;ROW())),"")</f>
        <v>5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6</v>
      </c>
      <c r="X90" s="17" t="n">
        <f aca="false">IF(OR($O90="",$W90=""),"",$O90-$W90)</f>
        <v>-1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82</v>
      </c>
      <c r="D91" s="32" t="n">
        <v>94449</v>
      </c>
      <c r="E91" s="32" t="n">
        <f aca="true">IF($D91="","",IFERROR(IF(ISBLANK(INDIRECT("'"&amp;$Q$2&amp;"'!D"&amp;ROW())),"",INDIRECT("'"&amp;$Q$2&amp;"'!D"&amp;ROW())),""))</f>
        <v>69350</v>
      </c>
      <c r="F91" s="33" t="n">
        <f aca="false">IF(OR(D91="",E91=""),"",D91-E91)</f>
        <v>25099</v>
      </c>
      <c r="G91" s="34" t="n">
        <f aca="false">IFERROR(F91/E91,"")</f>
        <v>0.361917808219178</v>
      </c>
      <c r="H91" s="32" t="n">
        <v>1355</v>
      </c>
      <c r="I91" s="32" t="str">
        <f aca="true">IF($H91="","",IFERROR(IF(ISBLANK(INDIRECT("'"&amp;$Q$2&amp;"'!H"&amp;ROW())),"",INDIRECT("'"&amp;$Q$2&amp;"'!H"&amp;ROW())),""))</f>
        <v/>
      </c>
      <c r="J91" s="33" t="str">
        <f aca="false">IF(OR(H91="",I91=""),"",H91-I91)</f>
        <v/>
      </c>
      <c r="K91" s="34" t="str">
        <f aca="false">IFERROR(J91/I91,"")</f>
        <v/>
      </c>
      <c r="L91" s="32" t="n">
        <f aca="false">IFERROR(D91/C91,"")</f>
        <v>1151.81707317073</v>
      </c>
      <c r="M91" s="32" t="n">
        <f aca="false">IFERROR(H91/D91*1000,"")</f>
        <v>14.3463668223062</v>
      </c>
      <c r="N91" s="32" t="n">
        <v>2410</v>
      </c>
      <c r="O91" s="33" t="n">
        <f aca="true">IFERROR(IF(OR(N91="",ISBLANK(INDIRECT("'"&amp;$Q$2&amp;"'!N"&amp;ROW()))),"",N91-INDIRECT("'"&amp;$Q$2&amp;"'!N"&amp;ROW())),"")</f>
        <v>201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62</v>
      </c>
      <c r="X91" s="17" t="n">
        <f aca="false">IF(OR($O91="",$W91=""),"",$O91-$W91)</f>
        <v>139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36268</v>
      </c>
      <c r="E92" s="32" t="n">
        <f aca="true">IF($D92="","",IFERROR(IF(ISBLANK(INDIRECT("'"&amp;$Q$2&amp;"'!D"&amp;ROW())),"",INDIRECT("'"&amp;$Q$2&amp;"'!D"&amp;ROW())),""))</f>
        <v>47993</v>
      </c>
      <c r="F92" s="33" t="n">
        <f aca="false">IF(OR(D92="",E92=""),"",D92-E92)</f>
        <v>-11725</v>
      </c>
      <c r="G92" s="34" t="n">
        <f aca="false">IFERROR(F92/E92,"")</f>
        <v>-0.244306461358948</v>
      </c>
      <c r="H92" s="32" t="n">
        <v>555</v>
      </c>
      <c r="I92" s="32" t="str">
        <f aca="true">IF($H92="","",IFERROR(IF(ISBLANK(INDIRECT("'"&amp;$Q$2&amp;"'!H"&amp;ROW())),"",INDIRECT("'"&amp;$Q$2&amp;"'!H"&amp;ROW())),""))</f>
        <v/>
      </c>
      <c r="J92" s="33" t="str">
        <f aca="false">IF(OR(H92="",I92=""),"",H92-I92)</f>
        <v/>
      </c>
      <c r="K92" s="34" t="str">
        <f aca="false">IFERROR(J92/I92,"")</f>
        <v/>
      </c>
      <c r="L92" s="32" t="n">
        <f aca="false">IFERROR(D92/C92,"")</f>
        <v>503.722222222222</v>
      </c>
      <c r="M92" s="32" t="n">
        <f aca="false">IFERROR(H92/D92*1000,"")</f>
        <v>15.3027462225653</v>
      </c>
      <c r="N92" s="32" t="n">
        <v>1146</v>
      </c>
      <c r="O92" s="33" t="n">
        <f aca="true">IFERROR(IF(OR(N92="",ISBLANK(INDIRECT("'"&amp;$Q$2&amp;"'!N"&amp;ROW()))),"",N92-INDIRECT("'"&amp;$Q$2&amp;"'!N"&amp;ROW())),"")</f>
        <v>136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201</v>
      </c>
      <c r="X92" s="17" t="n">
        <f aca="false">IF(OR($O92="",$W92=""),"",$O92-$W92)</f>
        <v>-65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17033</v>
      </c>
      <c r="E93" s="32" t="n">
        <f aca="true">IF($D93="","",IFERROR(IF(ISBLANK(INDIRECT("'"&amp;$Q$2&amp;"'!D"&amp;ROW())),"",INDIRECT("'"&amp;$Q$2&amp;"'!D"&amp;ROW())),""))</f>
        <v>10005</v>
      </c>
      <c r="F93" s="33" t="n">
        <f aca="false">IF(OR(D93="",E93=""),"",D93-E93)</f>
        <v>7028</v>
      </c>
      <c r="G93" s="34" t="n">
        <f aca="false">IFERROR(F93/E93,"")</f>
        <v>0.702448775612194</v>
      </c>
      <c r="H93" s="32" t="n">
        <v>1094</v>
      </c>
      <c r="I93" s="32" t="str">
        <f aca="true">IF($H93="","",IFERROR(IF(ISBLANK(INDIRECT("'"&amp;$Q$2&amp;"'!H"&amp;ROW())),"",INDIRECT("'"&amp;$Q$2&amp;"'!H"&amp;ROW())),""))</f>
        <v/>
      </c>
      <c r="J93" s="33" t="str">
        <f aca="false">IF(OR(H93="",I93=""),"",H93-I93)</f>
        <v/>
      </c>
      <c r="K93" s="34" t="str">
        <f aca="false">IFERROR(J93/I93,"")</f>
        <v/>
      </c>
      <c r="L93" s="32" t="n">
        <f aca="false">IFERROR(D93/C93,"")</f>
        <v>567.766666666667</v>
      </c>
      <c r="M93" s="32" t="n">
        <f aca="false">IFERROR(H93/D93*1000,"")</f>
        <v>64.2282627840075</v>
      </c>
      <c r="N93" s="32" t="n">
        <v>1349</v>
      </c>
      <c r="O93" s="33" t="n">
        <f aca="true">IFERROR(IF(OR(N93="",ISBLANK(INDIRECT("'"&amp;$Q$2&amp;"'!N"&amp;ROW()))),"",N93-INDIRECT("'"&amp;$Q$2&amp;"'!N"&amp;ROW())),"")</f>
        <v>18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</v>
      </c>
      <c r="X93" s="17" t="n">
        <f aca="false">IF(OR($O93="",$W93=""),"",$O93-$W93)</f>
        <v>17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856</v>
      </c>
      <c r="E94" s="32" t="n">
        <f aca="true">IF($D94="","",IFERROR(IF(ISBLANK(INDIRECT("'"&amp;$Q$2&amp;"'!D"&amp;ROW())),"",INDIRECT("'"&amp;$Q$2&amp;"'!D"&amp;ROW())),""))</f>
        <v>794</v>
      </c>
      <c r="F94" s="33" t="n">
        <f aca="false">IF(OR(D94="",E94=""),"",D94-E94)</f>
        <v>62</v>
      </c>
      <c r="G94" s="34" t="n">
        <f aca="false">IFERROR(F94/E94,"")</f>
        <v>0.0780856423173804</v>
      </c>
      <c r="H94" s="32" t="n">
        <v>46</v>
      </c>
      <c r="I94" s="32" t="str">
        <f aca="true">IF($H94="","",IFERROR(IF(ISBLANK(INDIRECT("'"&amp;$Q$2&amp;"'!H"&amp;ROW())),"",INDIRECT("'"&amp;$Q$2&amp;"'!H"&amp;ROW())),""))</f>
        <v/>
      </c>
      <c r="J94" s="33" t="str">
        <f aca="false">IF(OR(H94="",I94=""),"",H94-I94)</f>
        <v/>
      </c>
      <c r="K94" s="34" t="str">
        <f aca="false">IFERROR(J94/I94,"")</f>
        <v/>
      </c>
      <c r="L94" s="32" t="n">
        <f aca="false">IFERROR(D94/C94,"")</f>
        <v>107</v>
      </c>
      <c r="M94" s="32" t="n">
        <f aca="false">IFERROR(H94/D94*1000,"")</f>
        <v>53.7383177570094</v>
      </c>
      <c r="N94" s="32" t="n">
        <v>224</v>
      </c>
      <c r="O94" s="33" t="n">
        <f aca="true">IFERROR(IF(OR(N94="",ISBLANK(INDIRECT("'"&amp;$Q$2&amp;"'!N"&amp;ROW()))),"",N94-INDIRECT("'"&amp;$Q$2&amp;"'!N"&amp;ROW())),"")</f>
        <v>-2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-5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6537</v>
      </c>
      <c r="E95" s="32" t="n">
        <f aca="true">IF($D95="","",IFERROR(IF(ISBLANK(INDIRECT("'"&amp;$Q$2&amp;"'!D"&amp;ROW())),"",INDIRECT("'"&amp;$Q$2&amp;"'!D"&amp;ROW())),""))</f>
        <v>1952</v>
      </c>
      <c r="F95" s="33" t="n">
        <f aca="false">IF(OR(D95="",E95=""),"",D95-E95)</f>
        <v>4585</v>
      </c>
      <c r="G95" s="34" t="n">
        <f aca="false">IFERROR(F95/E95,"")</f>
        <v>2.34887295081967</v>
      </c>
      <c r="H95" s="32" t="n">
        <v>135</v>
      </c>
      <c r="I95" s="32" t="str">
        <f aca="true">IF($H95="","",IFERROR(IF(ISBLANK(INDIRECT("'"&amp;$Q$2&amp;"'!H"&amp;ROW())),"",INDIRECT("'"&amp;$Q$2&amp;"'!H"&amp;ROW())),""))</f>
        <v/>
      </c>
      <c r="J95" s="33" t="str">
        <f aca="false">IF(OR(H95="",I95=""),"",H95-I95)</f>
        <v/>
      </c>
      <c r="K95" s="34" t="str">
        <f aca="false">IFERROR(J95/I95,"")</f>
        <v/>
      </c>
      <c r="L95" s="32" t="n">
        <f aca="false">IFERROR(D95/C95,"")</f>
        <v>817.125</v>
      </c>
      <c r="M95" s="32" t="n">
        <f aca="false">IFERROR(H95/D95*1000,"")</f>
        <v>20.6516750803121</v>
      </c>
      <c r="N95" s="32" t="n">
        <v>278</v>
      </c>
      <c r="O95" s="33" t="n">
        <f aca="true">IFERROR(IF(OR(N95="",ISBLANK(INDIRECT("'"&amp;$Q$2&amp;"'!N"&amp;ROW()))),"",N95-INDIRECT("'"&amp;$Q$2&amp;"'!N"&amp;ROW())),"")</f>
        <v>30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5</v>
      </c>
      <c r="X95" s="17" t="n">
        <f aca="false">IF(OR($O95="",$W95=""),"",$O95-$W95)</f>
        <v>25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1484</v>
      </c>
      <c r="D96" s="36" t="n">
        <f aca="false">SUM(D75:D95)</f>
        <v>1067860</v>
      </c>
      <c r="E96" s="36" t="n">
        <f aca="false">SUM(E75:E95)</f>
        <v>884810</v>
      </c>
      <c r="F96" s="37" t="n">
        <f aca="false">SUM(F75:F95)</f>
        <v>183050</v>
      </c>
      <c r="G96" s="38" t="n">
        <f aca="false">IF(C96=0,"",IFERROR(F96/E96,""))</f>
        <v>0.206880573230411</v>
      </c>
      <c r="H96" s="36" t="n">
        <f aca="false">SUM(H75:H95)</f>
        <v>17252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719.582210242588</v>
      </c>
      <c r="M96" s="36" t="n">
        <f aca="false">IFERROR(H96/D96*1000,"")</f>
        <v>16.1556758376566</v>
      </c>
      <c r="N96" s="36" t="n">
        <f aca="false">SUM(N75:N95)</f>
        <v>29437</v>
      </c>
      <c r="O96" s="37" t="n">
        <f aca="false">SUM(O75:O95)</f>
        <v>1269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482</v>
      </c>
      <c r="X96" s="25" t="n">
        <f aca="false">IF(OR(C96=0,$O96="",$W96=""),"",$O96-$W96)</f>
        <v>787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6567</v>
      </c>
      <c r="D97" s="40" t="n">
        <f aca="false">D30+D51+D74+D96</f>
        <v>5046618</v>
      </c>
      <c r="E97" s="40" t="n">
        <f aca="false">E30+E51+E74+E96</f>
        <v>4672077</v>
      </c>
      <c r="F97" s="41" t="n">
        <f aca="false">F30+F51+F74+F96</f>
        <v>367290</v>
      </c>
      <c r="G97" s="42" t="n">
        <f aca="false">IF(OR(C30=0,C51=0,C74=0,C96=0),"",IFERROR(F97/E97,""))</f>
        <v>0.0786138584616649</v>
      </c>
      <c r="H97" s="40" t="n">
        <f aca="false">H30+H51+H74+H96</f>
        <v>60007</v>
      </c>
      <c r="I97" s="40" t="n">
        <f aca="false">I30+I51+I74+I96</f>
        <v>38365</v>
      </c>
      <c r="J97" s="41" t="n">
        <f aca="false">J30+J51+J74+J96</f>
        <v>4380</v>
      </c>
      <c r="K97" s="42" t="n">
        <f aca="false">IF(OR(C30=0,C51=0,C74=0,C96=0),"",IFERROR(J97/I97,""))</f>
        <v>0.114166558060732</v>
      </c>
      <c r="L97" s="40" t="n">
        <f aca="false">IFERROR(D97/C97,"")</f>
        <v>768.481498401096</v>
      </c>
      <c r="M97" s="40" t="n">
        <f aca="false">IFERROR(H97/D97*1000,"")</f>
        <v>11.8905373856313</v>
      </c>
      <c r="N97" s="40" t="n">
        <f aca="false">N30+N51+N74+N96</f>
        <v>695384</v>
      </c>
      <c r="O97" s="41" t="n">
        <f aca="false">O30+O51+O74+O96</f>
        <v>2224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n">
        <f aca="true">IFERROR(IF(ISBLANK(INDIRECT("'"&amp;$Q$2&amp;"'!O"&amp;ROW())),"",INDIRECT("'"&amp;$Q$2&amp;"'!O"&amp;ROW())),"")</f>
        <v>5503</v>
      </c>
      <c r="X97" s="25" t="n">
        <f aca="false">IF(OR(C30=0,C51=0,C74=0,C96=0),"",$O97-$W97)</f>
        <v>-3279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/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119</v>
      </c>
      <c r="D3" s="32" t="n">
        <v>420384</v>
      </c>
      <c r="E3" s="32" t="str">
        <f aca="true">IF($D3="","",IFERROR(IF(ISBLANK(INDIRECT("'"&amp;$Q$2&amp;"'!D"&amp;ROW())),"",INDIRECT("'"&amp;$Q$2&amp;"'!D"&amp;ROW())),""))</f>
        <v/>
      </c>
      <c r="F3" s="33"/>
      <c r="G3" s="34"/>
      <c r="H3" s="32" t="n">
        <v>1760</v>
      </c>
      <c r="I3" s="32" t="str">
        <f aca="true">IF($H3="","",IFERROR(IF(ISBLANK(INDIRECT("'"&amp;$Q$2&amp;"'!H"&amp;ROW())),"",INDIRECT("'"&amp;$Q$2&amp;"'!H"&amp;ROW())),""))</f>
        <v/>
      </c>
      <c r="J3" s="33"/>
      <c r="K3" s="34"/>
      <c r="L3" s="32" t="n">
        <f aca="false">IFERROR(D3/C3,"")</f>
        <v>3532.63865546219</v>
      </c>
      <c r="M3" s="32" t="n">
        <f aca="false">IFERROR(H3/D3*1000,"")</f>
        <v>4.18664839765548</v>
      </c>
      <c r="N3" s="32" t="n">
        <v>87657</v>
      </c>
      <c r="O3" s="33" t="n">
        <v>1107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str">
        <f aca="true">IFERROR(IF(ISBLANK(INDIRECT("'"&amp;$Q$2&amp;"'!O"&amp;ROW())),"",INDIRECT("'"&amp;$Q$2&amp;"'!O"&amp;ROW())),"")</f>
        <v/>
      </c>
      <c r="X3" s="17" t="str">
        <f aca="false">IF(OR($O3="",$W3=""),"",$O3-$W3)</f>
        <v/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127</v>
      </c>
      <c r="D4" s="32" t="n">
        <v>112305</v>
      </c>
      <c r="E4" s="32" t="str">
        <f aca="true">IF($D4="","",IFERROR(IF(ISBLANK(INDIRECT("'"&amp;$Q$2&amp;"'!D"&amp;ROW())),"",INDIRECT("'"&amp;$Q$2&amp;"'!D"&amp;ROW())),""))</f>
        <v/>
      </c>
      <c r="F4" s="33"/>
      <c r="G4" s="34"/>
      <c r="H4" s="32" t="n">
        <v>434</v>
      </c>
      <c r="I4" s="32" t="str">
        <f aca="true">IF($H4="","",IFERROR(IF(ISBLANK(INDIRECT("'"&amp;$Q$2&amp;"'!H"&amp;ROW())),"",INDIRECT("'"&amp;$Q$2&amp;"'!H"&amp;ROW())),""))</f>
        <v/>
      </c>
      <c r="J4" s="33"/>
      <c r="K4" s="34"/>
      <c r="L4" s="32" t="n">
        <f aca="false">IFERROR(D4/C4,"")</f>
        <v>884.291338582677</v>
      </c>
      <c r="M4" s="32" t="n">
        <f aca="false">IFERROR(H4/D4*1000,"")</f>
        <v>3.86447620319665</v>
      </c>
      <c r="N4" s="32" t="n">
        <v>26181</v>
      </c>
      <c r="O4" s="33" t="n">
        <v>125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str">
        <f aca="true">IFERROR(IF(ISBLANK(INDIRECT("'"&amp;$Q$2&amp;"'!O"&amp;ROW())),"",INDIRECT("'"&amp;$Q$2&amp;"'!O"&amp;ROW())),"")</f>
        <v/>
      </c>
      <c r="X4" s="17" t="str">
        <f aca="false">IF(OR($O4="",$W4=""),"",$O4-$W4)</f>
        <v/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282</v>
      </c>
      <c r="D5" s="32" t="n">
        <v>4059</v>
      </c>
      <c r="E5" s="32" t="str">
        <f aca="true">IF($D5="","",IFERROR(IF(ISBLANK(INDIRECT("'"&amp;$Q$2&amp;"'!D"&amp;ROW())),"",INDIRECT("'"&amp;$Q$2&amp;"'!D"&amp;ROW())),""))</f>
        <v/>
      </c>
      <c r="F5" s="33"/>
      <c r="G5" s="34"/>
      <c r="H5" s="32" t="n">
        <v>6</v>
      </c>
      <c r="I5" s="32" t="str">
        <f aca="true">IF($H5="","",IFERROR(IF(ISBLANK(INDIRECT("'"&amp;$Q$2&amp;"'!H"&amp;ROW())),"",INDIRECT("'"&amp;$Q$2&amp;"'!H"&amp;ROW())),""))</f>
        <v/>
      </c>
      <c r="J5" s="33"/>
      <c r="K5" s="34"/>
      <c r="L5" s="32" t="n">
        <f aca="false">IFERROR(D5/C5,"")</f>
        <v>14.3936170212766</v>
      </c>
      <c r="M5" s="32" t="n">
        <f aca="false">IFERROR(H5/D5*1000,"")</f>
        <v>1.47819660014782</v>
      </c>
      <c r="N5" s="32" t="n">
        <v>3502</v>
      </c>
      <c r="O5" s="33" t="n">
        <v>-5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str">
        <f aca="true">IFERROR(IF(ISBLANK(INDIRECT("'"&amp;$Q$2&amp;"'!O"&amp;ROW())),"",INDIRECT("'"&amp;$Q$2&amp;"'!O"&amp;ROW())),"")</f>
        <v/>
      </c>
      <c r="X5" s="17" t="str">
        <f aca="false">IF(OR($O5="",$W5=""),"",$O5-$W5)</f>
        <v/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86</v>
      </c>
      <c r="D6" s="32" t="n">
        <v>79566</v>
      </c>
      <c r="E6" s="32" t="str">
        <f aca="true">IF($D6="","",IFERROR(IF(ISBLANK(INDIRECT("'"&amp;$Q$2&amp;"'!D"&amp;ROW())),"",INDIRECT("'"&amp;$Q$2&amp;"'!D"&amp;ROW())),""))</f>
        <v/>
      </c>
      <c r="F6" s="33"/>
      <c r="G6" s="34"/>
      <c r="H6" s="32" t="n">
        <v>290</v>
      </c>
      <c r="I6" s="32" t="str">
        <f aca="true">IF($H6="","",IFERROR(IF(ISBLANK(INDIRECT("'"&amp;$Q$2&amp;"'!H"&amp;ROW())),"",INDIRECT("'"&amp;$Q$2&amp;"'!H"&amp;ROW())),""))</f>
        <v/>
      </c>
      <c r="J6" s="33"/>
      <c r="K6" s="34"/>
      <c r="L6" s="32" t="n">
        <f aca="false">IFERROR(D6/C6,"")</f>
        <v>925.186046511628</v>
      </c>
      <c r="M6" s="32" t="n">
        <f aca="false">IFERROR(H6/D6*1000,"")</f>
        <v>3.64477289294422</v>
      </c>
      <c r="N6" s="32" t="n">
        <v>22925</v>
      </c>
      <c r="O6" s="33" t="n">
        <v>70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str">
        <f aca="true">IFERROR(IF(ISBLANK(INDIRECT("'"&amp;$Q$2&amp;"'!O"&amp;ROW())),"",INDIRECT("'"&amp;$Q$2&amp;"'!O"&amp;ROW())),"")</f>
        <v/>
      </c>
      <c r="X6" s="17" t="str">
        <f aca="false">IF(OR($O6="",$W6=""),"",$O6-$W6)</f>
        <v/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87</v>
      </c>
      <c r="D7" s="32" t="n">
        <v>111876</v>
      </c>
      <c r="E7" s="32" t="str">
        <f aca="true">IF($D7="","",IFERROR(IF(ISBLANK(INDIRECT("'"&amp;$Q$2&amp;"'!D"&amp;ROW())),"",INDIRECT("'"&amp;$Q$2&amp;"'!D"&amp;ROW())),""))</f>
        <v/>
      </c>
      <c r="F7" s="33"/>
      <c r="G7" s="34"/>
      <c r="H7" s="32" t="n">
        <v>1128</v>
      </c>
      <c r="I7" s="32" t="str">
        <f aca="true">IF($H7="","",IFERROR(IF(ISBLANK(INDIRECT("'"&amp;$Q$2&amp;"'!H"&amp;ROW())),"",INDIRECT("'"&amp;$Q$2&amp;"'!H"&amp;ROW())),""))</f>
        <v/>
      </c>
      <c r="J7" s="33"/>
      <c r="K7" s="34"/>
      <c r="L7" s="32" t="n">
        <f aca="false">IFERROR(D7/C7,"")</f>
        <v>1285.93103448276</v>
      </c>
      <c r="M7" s="32" t="n">
        <f aca="false">IFERROR(H7/D7*1000,"")</f>
        <v>10.0825914405234</v>
      </c>
      <c r="N7" s="32" t="n">
        <v>24326</v>
      </c>
      <c r="O7" s="33" t="n">
        <v>328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str">
        <f aca="true">IFERROR(IF(ISBLANK(INDIRECT("'"&amp;$Q$2&amp;"'!O"&amp;ROW())),"",INDIRECT("'"&amp;$Q$2&amp;"'!O"&amp;ROW())),"")</f>
        <v/>
      </c>
      <c r="X7" s="17" t="str">
        <f aca="false">IF(OR($O7="",$W7=""),"",$O7-$W7)</f>
        <v/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90</v>
      </c>
      <c r="D8" s="32" t="n">
        <v>329208</v>
      </c>
      <c r="E8" s="32" t="str">
        <f aca="true">IF($D8="","",IFERROR(IF(ISBLANK(INDIRECT("'"&amp;$Q$2&amp;"'!D"&amp;ROW())),"",INDIRECT("'"&amp;$Q$2&amp;"'!D"&amp;ROW())),""))</f>
        <v/>
      </c>
      <c r="F8" s="33"/>
      <c r="G8" s="34"/>
      <c r="H8" s="32" t="n">
        <v>4811</v>
      </c>
      <c r="I8" s="32" t="str">
        <f aca="true">IF($H8="","",IFERROR(IF(ISBLANK(INDIRECT("'"&amp;$Q$2&amp;"'!H"&amp;ROW())),"",INDIRECT("'"&amp;$Q$2&amp;"'!H"&amp;ROW())),""))</f>
        <v/>
      </c>
      <c r="J8" s="33"/>
      <c r="K8" s="34"/>
      <c r="L8" s="32" t="n">
        <f aca="false">IFERROR(D8/C8,"")</f>
        <v>3657.86666666667</v>
      </c>
      <c r="M8" s="32" t="n">
        <f aca="false">IFERROR(H8/D8*1000,"")</f>
        <v>14.6138611455372</v>
      </c>
      <c r="N8" s="32" t="n">
        <v>21353</v>
      </c>
      <c r="O8" s="33" t="n">
        <v>296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str">
        <f aca="true">IFERROR(IF(ISBLANK(INDIRECT("'"&amp;$Q$2&amp;"'!O"&amp;ROW())),"",INDIRECT("'"&amp;$Q$2&amp;"'!O"&amp;ROW())),"")</f>
        <v/>
      </c>
      <c r="X8" s="17" t="str">
        <f aca="false">IF(OR($O8="",$W8=""),"",$O8-$W8)</f>
        <v/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86</v>
      </c>
      <c r="D9" s="32" t="n">
        <v>346152</v>
      </c>
      <c r="E9" s="32" t="str">
        <f aca="true">IF($D9="","",IFERROR(IF(ISBLANK(INDIRECT("'"&amp;$Q$2&amp;"'!D"&amp;ROW())),"",INDIRECT("'"&amp;$Q$2&amp;"'!D"&amp;ROW())),""))</f>
        <v/>
      </c>
      <c r="F9" s="33"/>
      <c r="G9" s="34"/>
      <c r="H9" s="32" t="n">
        <v>3872</v>
      </c>
      <c r="I9" s="32" t="str">
        <f aca="true">IF($H9="","",IFERROR(IF(ISBLANK(INDIRECT("'"&amp;$Q$2&amp;"'!H"&amp;ROW())),"",INDIRECT("'"&amp;$Q$2&amp;"'!H"&amp;ROW())),""))</f>
        <v/>
      </c>
      <c r="J9" s="33"/>
      <c r="K9" s="34"/>
      <c r="L9" s="32" t="n">
        <f aca="false">IFERROR(D9/C9,"")</f>
        <v>4025.02325581395</v>
      </c>
      <c r="M9" s="32" t="n">
        <f aca="false">IFERROR(H9/D9*1000,"")</f>
        <v>11.1858374355774</v>
      </c>
      <c r="N9" s="32" t="n">
        <v>30913</v>
      </c>
      <c r="O9" s="33" t="n">
        <v>297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str">
        <f aca="true">IFERROR(IF(ISBLANK(INDIRECT("'"&amp;$Q$2&amp;"'!O"&amp;ROW())),"",INDIRECT("'"&amp;$Q$2&amp;"'!O"&amp;ROW())),"")</f>
        <v/>
      </c>
      <c r="X9" s="17" t="str">
        <f aca="false">IF(OR($O9="",$W9=""),"",$O9-$W9)</f>
        <v/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96</v>
      </c>
      <c r="D10" s="32" t="n">
        <v>131412</v>
      </c>
      <c r="E10" s="32" t="str">
        <f aca="true">IF($D10="","",IFERROR(IF(ISBLANK(INDIRECT("'"&amp;$Q$2&amp;"'!D"&amp;ROW())),"",INDIRECT("'"&amp;$Q$2&amp;"'!D"&amp;ROW())),""))</f>
        <v/>
      </c>
      <c r="F10" s="33"/>
      <c r="G10" s="34"/>
      <c r="H10" s="32" t="n">
        <v>746</v>
      </c>
      <c r="I10" s="32" t="str">
        <f aca="true">IF($H10="","",IFERROR(IF(ISBLANK(INDIRECT("'"&amp;$Q$2&amp;"'!H"&amp;ROW())),"",INDIRECT("'"&amp;$Q$2&amp;"'!H"&amp;ROW())),""))</f>
        <v/>
      </c>
      <c r="J10" s="33"/>
      <c r="K10" s="34"/>
      <c r="L10" s="32" t="n">
        <f aca="false">IFERROR(D10/C10,"")</f>
        <v>1368.875</v>
      </c>
      <c r="M10" s="32" t="n">
        <f aca="false">IFERROR(H10/D10*1000,"")</f>
        <v>5.6768027273004</v>
      </c>
      <c r="N10" s="32" t="n">
        <v>21237</v>
      </c>
      <c r="O10" s="33" t="n">
        <v>-55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str">
        <f aca="true">IFERROR(IF(ISBLANK(INDIRECT("'"&amp;$Q$2&amp;"'!O"&amp;ROW())),"",INDIRECT("'"&amp;$Q$2&amp;"'!O"&amp;ROW())),"")</f>
        <v/>
      </c>
      <c r="X10" s="17" t="str">
        <f aca="false">IF(OR($O10="",$W10=""),"",$O10-$W10)</f>
        <v/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98</v>
      </c>
      <c r="D11" s="32" t="n">
        <v>332387</v>
      </c>
      <c r="E11" s="32" t="str">
        <f aca="true">IF($D11="","",IFERROR(IF(ISBLANK(INDIRECT("'"&amp;$Q$2&amp;"'!D"&amp;ROW())),"",INDIRECT("'"&amp;$Q$2&amp;"'!D"&amp;ROW())),""))</f>
        <v/>
      </c>
      <c r="F11" s="33"/>
      <c r="G11" s="34"/>
      <c r="H11" s="32" t="n">
        <v>2677</v>
      </c>
      <c r="I11" s="32" t="str">
        <f aca="true">IF($H11="","",IFERROR(IF(ISBLANK(INDIRECT("'"&amp;$Q$2&amp;"'!H"&amp;ROW())),"",INDIRECT("'"&amp;$Q$2&amp;"'!H"&amp;ROW())),""))</f>
        <v/>
      </c>
      <c r="J11" s="33"/>
      <c r="K11" s="34"/>
      <c r="L11" s="32" t="n">
        <f aca="false">IFERROR(D11/C11,"")</f>
        <v>3391.70408163265</v>
      </c>
      <c r="M11" s="32" t="n">
        <f aca="false">IFERROR(H11/D11*1000,"")</f>
        <v>8.05386492251502</v>
      </c>
      <c r="N11" s="32" t="n">
        <v>20536</v>
      </c>
      <c r="O11" s="33" t="n">
        <v>429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str">
        <f aca="true">IFERROR(IF(ISBLANK(INDIRECT("'"&amp;$Q$2&amp;"'!O"&amp;ROW())),"",INDIRECT("'"&amp;$Q$2&amp;"'!O"&amp;ROW())),"")</f>
        <v/>
      </c>
      <c r="X11" s="17" t="str">
        <f aca="false">IF(OR($O11="",$W11=""),"",$O11-$W11)</f>
        <v/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62</v>
      </c>
      <c r="D12" s="32" t="n">
        <v>88366</v>
      </c>
      <c r="E12" s="32" t="str">
        <f aca="true">IF($D12="","",IFERROR(IF(ISBLANK(INDIRECT("'"&amp;$Q$2&amp;"'!D"&amp;ROW())),"",INDIRECT("'"&amp;$Q$2&amp;"'!D"&amp;ROW())),""))</f>
        <v/>
      </c>
      <c r="F12" s="33"/>
      <c r="G12" s="34"/>
      <c r="H12" s="32" t="n">
        <v>6375</v>
      </c>
      <c r="I12" s="32" t="str">
        <f aca="true">IF($H12="","",IFERROR(IF(ISBLANK(INDIRECT("'"&amp;$Q$2&amp;"'!H"&amp;ROW())),"",INDIRECT("'"&amp;$Q$2&amp;"'!H"&amp;ROW())),""))</f>
        <v/>
      </c>
      <c r="J12" s="33"/>
      <c r="K12" s="34"/>
      <c r="L12" s="32" t="n">
        <f aca="false">IFERROR(D12/C12,"")</f>
        <v>1425.25806451613</v>
      </c>
      <c r="M12" s="32" t="n">
        <f aca="false">IFERROR(H12/D12*1000,"")</f>
        <v>72.1431319738361</v>
      </c>
      <c r="N12" s="32" t="n">
        <v>15218</v>
      </c>
      <c r="O12" s="33" t="n">
        <v>679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str">
        <f aca="true">IFERROR(IF(ISBLANK(INDIRECT("'"&amp;$Q$2&amp;"'!O"&amp;ROW())),"",INDIRECT("'"&amp;$Q$2&amp;"'!O"&amp;ROW())),"")</f>
        <v/>
      </c>
      <c r="X12" s="17" t="str">
        <f aca="false">IF(OR($O12="",$W12=""),"",$O12-$W12)</f>
        <v/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45</v>
      </c>
      <c r="D13" s="32" t="n">
        <v>32472</v>
      </c>
      <c r="E13" s="32" t="str">
        <f aca="true">IF($D13="","",IFERROR(IF(ISBLANK(INDIRECT("'"&amp;$Q$2&amp;"'!D"&amp;ROW())),"",INDIRECT("'"&amp;$Q$2&amp;"'!D"&amp;ROW())),""))</f>
        <v/>
      </c>
      <c r="F13" s="33"/>
      <c r="G13" s="34"/>
      <c r="H13" s="32" t="n">
        <v>499</v>
      </c>
      <c r="I13" s="32" t="str">
        <f aca="true">IF($H13="","",IFERROR(IF(ISBLANK(INDIRECT("'"&amp;$Q$2&amp;"'!H"&amp;ROW())),"",INDIRECT("'"&amp;$Q$2&amp;"'!H"&amp;ROW())),""))</f>
        <v/>
      </c>
      <c r="J13" s="33"/>
      <c r="K13" s="34"/>
      <c r="L13" s="32" t="n">
        <f aca="false">IFERROR(D13/C13,"")</f>
        <v>721.6</v>
      </c>
      <c r="M13" s="32" t="n">
        <f aca="false">IFERROR(H13/D13*1000,"")</f>
        <v>15.3670854890367</v>
      </c>
      <c r="N13" s="32" t="n">
        <v>16291</v>
      </c>
      <c r="O13" s="33" t="n">
        <v>211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str">
        <f aca="true">IFERROR(IF(ISBLANK(INDIRECT("'"&amp;$Q$2&amp;"'!O"&amp;ROW())),"",INDIRECT("'"&amp;$Q$2&amp;"'!O"&amp;ROW())),"")</f>
        <v/>
      </c>
      <c r="X13" s="17" t="str">
        <f aca="false">IF(OR($O13="",$W13=""),"",$O13-$W13)</f>
        <v/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47</v>
      </c>
      <c r="D14" s="32" t="n">
        <v>39481</v>
      </c>
      <c r="E14" s="32" t="str">
        <f aca="true">IF($D14="","",IFERROR(IF(ISBLANK(INDIRECT("'"&amp;$Q$2&amp;"'!D"&amp;ROW())),"",INDIRECT("'"&amp;$Q$2&amp;"'!D"&amp;ROW())),""))</f>
        <v/>
      </c>
      <c r="F14" s="33"/>
      <c r="G14" s="34"/>
      <c r="H14" s="32" t="n">
        <v>351</v>
      </c>
      <c r="I14" s="32" t="str">
        <f aca="true">IF($H14="","",IFERROR(IF(ISBLANK(INDIRECT("'"&amp;$Q$2&amp;"'!H"&amp;ROW())),"",INDIRECT("'"&amp;$Q$2&amp;"'!H"&amp;ROW())),""))</f>
        <v/>
      </c>
      <c r="J14" s="33"/>
      <c r="K14" s="34"/>
      <c r="L14" s="32" t="n">
        <f aca="false">IFERROR(D14/C14,"")</f>
        <v>840.021276595745</v>
      </c>
      <c r="M14" s="32" t="n">
        <f aca="false">IFERROR(H14/D14*1000,"")</f>
        <v>8.89035232136977</v>
      </c>
      <c r="N14" s="32" t="n">
        <v>6273</v>
      </c>
      <c r="O14" s="33" t="n">
        <v>251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str">
        <f aca="true">IFERROR(IF(ISBLANK(INDIRECT("'"&amp;$Q$2&amp;"'!O"&amp;ROW())),"",INDIRECT("'"&amp;$Q$2&amp;"'!O"&amp;ROW())),"")</f>
        <v/>
      </c>
      <c r="X14" s="17" t="str">
        <f aca="false">IF(OR($O14="",$W14=""),"",$O14-$W14)</f>
        <v/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30</v>
      </c>
      <c r="D15" s="32" t="n">
        <v>32883</v>
      </c>
      <c r="E15" s="32" t="str">
        <f aca="true">IF($D15="","",IFERROR(IF(ISBLANK(INDIRECT("'"&amp;$Q$2&amp;"'!D"&amp;ROW())),"",INDIRECT("'"&amp;$Q$2&amp;"'!D"&amp;ROW())),""))</f>
        <v/>
      </c>
      <c r="F15" s="33"/>
      <c r="G15" s="34"/>
      <c r="H15" s="32" t="n">
        <v>502</v>
      </c>
      <c r="I15" s="32" t="str">
        <f aca="true">IF($H15="","",IFERROR(IF(ISBLANK(INDIRECT("'"&amp;$Q$2&amp;"'!H"&amp;ROW())),"",INDIRECT("'"&amp;$Q$2&amp;"'!H"&amp;ROW())),""))</f>
        <v/>
      </c>
      <c r="J15" s="33"/>
      <c r="K15" s="34"/>
      <c r="L15" s="32" t="n">
        <f aca="false">IFERROR(D15/C15,"")</f>
        <v>1096.1</v>
      </c>
      <c r="M15" s="32" t="n">
        <f aca="false">IFERROR(H15/D15*1000,"")</f>
        <v>15.2662469969285</v>
      </c>
      <c r="N15" s="32" t="n">
        <v>3642</v>
      </c>
      <c r="O15" s="33" t="n">
        <v>35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str">
        <f aca="true">IFERROR(IF(ISBLANK(INDIRECT("'"&amp;$Q$2&amp;"'!O"&amp;ROW())),"",INDIRECT("'"&amp;$Q$2&amp;"'!O"&amp;ROW())),"")</f>
        <v/>
      </c>
      <c r="X15" s="17" t="str">
        <f aca="false">IF(OR($O15="",$W15=""),"",$O15-$W15)</f>
        <v/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52</v>
      </c>
      <c r="D16" s="32" t="n">
        <v>121485</v>
      </c>
      <c r="E16" s="32" t="str">
        <f aca="true">IF($D16="","",IFERROR(IF(ISBLANK(INDIRECT("'"&amp;$Q$2&amp;"'!D"&amp;ROW())),"",INDIRECT("'"&amp;$Q$2&amp;"'!D"&amp;ROW())),""))</f>
        <v/>
      </c>
      <c r="F16" s="33"/>
      <c r="G16" s="34"/>
      <c r="H16" s="32" t="n">
        <v>1065</v>
      </c>
      <c r="I16" s="32" t="str">
        <f aca="true">IF($H16="","",IFERROR(IF(ISBLANK(INDIRECT("'"&amp;$Q$2&amp;"'!H"&amp;ROW())),"",INDIRECT("'"&amp;$Q$2&amp;"'!H"&amp;ROW())),""))</f>
        <v/>
      </c>
      <c r="J16" s="33"/>
      <c r="K16" s="34"/>
      <c r="L16" s="32" t="n">
        <f aca="false">IFERROR(D16/C16,"")</f>
        <v>2336.25</v>
      </c>
      <c r="M16" s="32" t="n">
        <f aca="false">IFERROR(H16/D16*1000,"")</f>
        <v>8.76651438449191</v>
      </c>
      <c r="N16" s="32" t="n">
        <v>12217</v>
      </c>
      <c r="O16" s="33" t="n">
        <v>182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str">
        <f aca="true">IFERROR(IF(ISBLANK(INDIRECT("'"&amp;$Q$2&amp;"'!O"&amp;ROW())),"",INDIRECT("'"&amp;$Q$2&amp;"'!O"&amp;ROW())),"")</f>
        <v/>
      </c>
      <c r="X16" s="17" t="str">
        <f aca="false">IF(OR($O16="",$W16=""),"",$O16-$W16)</f>
        <v/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54</v>
      </c>
      <c r="D17" s="32" t="n">
        <v>118008</v>
      </c>
      <c r="E17" s="32" t="str">
        <f aca="true">IF($D17="","",IFERROR(IF(ISBLANK(INDIRECT("'"&amp;$Q$2&amp;"'!D"&amp;ROW())),"",INDIRECT("'"&amp;$Q$2&amp;"'!D"&amp;ROW())),""))</f>
        <v/>
      </c>
      <c r="F17" s="33"/>
      <c r="G17" s="34"/>
      <c r="H17" s="32" t="n">
        <v>1095</v>
      </c>
      <c r="I17" s="32" t="str">
        <f aca="true">IF($H17="","",IFERROR(IF(ISBLANK(INDIRECT("'"&amp;$Q$2&amp;"'!H"&amp;ROW())),"",INDIRECT("'"&amp;$Q$2&amp;"'!H"&amp;ROW())),""))</f>
        <v/>
      </c>
      <c r="J17" s="33"/>
      <c r="K17" s="34"/>
      <c r="L17" s="32" t="n">
        <f aca="false">IFERROR(D17/C17,"")</f>
        <v>2185.33333333333</v>
      </c>
      <c r="M17" s="32" t="n">
        <f aca="false">IFERROR(H17/D17*1000,"")</f>
        <v>9.27903193003864</v>
      </c>
      <c r="N17" s="32" t="n">
        <v>7752</v>
      </c>
      <c r="O17" s="33" t="n">
        <v>62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str">
        <f aca="true">IFERROR(IF(ISBLANK(INDIRECT("'"&amp;$Q$2&amp;"'!O"&amp;ROW())),"",INDIRECT("'"&amp;$Q$2&amp;"'!O"&amp;ROW())),"")</f>
        <v/>
      </c>
      <c r="X17" s="17" t="str">
        <f aca="false">IF(OR($O17="",$W17=""),"",$O17-$W17)</f>
        <v/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64</v>
      </c>
      <c r="D18" s="32" t="n">
        <v>185614</v>
      </c>
      <c r="E18" s="32" t="str">
        <f aca="true">IF($D18="","",IFERROR(IF(ISBLANK(INDIRECT("'"&amp;$Q$2&amp;"'!D"&amp;ROW())),"",INDIRECT("'"&amp;$Q$2&amp;"'!D"&amp;ROW())),""))</f>
        <v/>
      </c>
      <c r="F18" s="33"/>
      <c r="G18" s="34"/>
      <c r="H18" s="32" t="n">
        <v>1382</v>
      </c>
      <c r="I18" s="32" t="str">
        <f aca="true">IF($H18="","",IFERROR(IF(ISBLANK(INDIRECT("'"&amp;$Q$2&amp;"'!H"&amp;ROW())),"",INDIRECT("'"&amp;$Q$2&amp;"'!H"&amp;ROW())),""))</f>
        <v/>
      </c>
      <c r="J18" s="33"/>
      <c r="K18" s="34"/>
      <c r="L18" s="32" t="n">
        <f aca="false">IFERROR(D18/C18,"")</f>
        <v>2900.21875</v>
      </c>
      <c r="M18" s="32" t="n">
        <f aca="false">IFERROR(H18/D18*1000,"")</f>
        <v>7.44555906343271</v>
      </c>
      <c r="N18" s="32" t="n">
        <v>18122</v>
      </c>
      <c r="O18" s="33" t="n">
        <v>97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str">
        <f aca="true">IFERROR(IF(ISBLANK(INDIRECT("'"&amp;$Q$2&amp;"'!O"&amp;ROW())),"",INDIRECT("'"&amp;$Q$2&amp;"'!O"&amp;ROW())),"")</f>
        <v/>
      </c>
      <c r="X18" s="17" t="str">
        <f aca="false">IF(OR($O18="",$W18=""),"",$O18-$W18)</f>
        <v/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108</v>
      </c>
      <c r="D19" s="32" t="n">
        <v>318015</v>
      </c>
      <c r="E19" s="32" t="str">
        <f aca="true">IF($D19="","",IFERROR(IF(ISBLANK(INDIRECT("'"&amp;$Q$2&amp;"'!D"&amp;ROW())),"",INDIRECT("'"&amp;$Q$2&amp;"'!D"&amp;ROW())),""))</f>
        <v/>
      </c>
      <c r="F19" s="33"/>
      <c r="G19" s="34"/>
      <c r="H19" s="32" t="n">
        <v>3679</v>
      </c>
      <c r="I19" s="32" t="str">
        <f aca="true">IF($H19="","",IFERROR(IF(ISBLANK(INDIRECT("'"&amp;$Q$2&amp;"'!H"&amp;ROW())),"",INDIRECT("'"&amp;$Q$2&amp;"'!H"&amp;ROW())),""))</f>
        <v/>
      </c>
      <c r="J19" s="33"/>
      <c r="K19" s="34"/>
      <c r="L19" s="32" t="n">
        <f aca="false">IFERROR(D19/C19,"")</f>
        <v>2944.58333333333</v>
      </c>
      <c r="M19" s="32" t="n">
        <f aca="false">IFERROR(H19/D19*1000,"")</f>
        <v>11.5686366995268</v>
      </c>
      <c r="N19" s="32" t="n">
        <v>18909</v>
      </c>
      <c r="O19" s="33" t="n">
        <v>138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str">
        <f aca="true">IFERROR(IF(ISBLANK(INDIRECT("'"&amp;$Q$2&amp;"'!O"&amp;ROW())),"",INDIRECT("'"&amp;$Q$2&amp;"'!O"&amp;ROW())),"")</f>
        <v/>
      </c>
      <c r="X19" s="17" t="str">
        <f aca="false">IF(OR($O19="",$W19=""),"",$O19-$W19)</f>
        <v/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198157</v>
      </c>
      <c r="E20" s="32" t="str">
        <f aca="true">IF($D20="","",IFERROR(IF(ISBLANK(INDIRECT("'"&amp;$Q$2&amp;"'!D"&amp;ROW())),"",INDIRECT("'"&amp;$Q$2&amp;"'!D"&amp;ROW())),""))</f>
        <v/>
      </c>
      <c r="F20" s="33"/>
      <c r="G20" s="34"/>
      <c r="H20" s="32" t="n">
        <v>1889</v>
      </c>
      <c r="I20" s="32" t="str">
        <f aca="true">IF($H20="","",IFERROR(IF(ISBLANK(INDIRECT("'"&amp;$Q$2&amp;"'!H"&amp;ROW())),"",INDIRECT("'"&amp;$Q$2&amp;"'!H"&amp;ROW())),""))</f>
        <v/>
      </c>
      <c r="J20" s="33"/>
      <c r="K20" s="34"/>
      <c r="L20" s="32" t="n">
        <f aca="false">IFERROR(D20/C20,"")</f>
        <v>9436.04761904762</v>
      </c>
      <c r="M20" s="32" t="n">
        <f aca="false">IFERROR(H20/D20*1000,"")</f>
        <v>9.5328451682252</v>
      </c>
      <c r="N20" s="32" t="n">
        <v>14368</v>
      </c>
      <c r="O20" s="33" t="n">
        <v>1019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str">
        <f aca="true">IFERROR(IF(ISBLANK(INDIRECT("'"&amp;$Q$2&amp;"'!O"&amp;ROW())),"",INDIRECT("'"&amp;$Q$2&amp;"'!O"&amp;ROW())),"")</f>
        <v/>
      </c>
      <c r="X20" s="17" t="str">
        <f aca="false">IF(OR($O20="",$W20=""),"",$O20-$W20)</f>
        <v/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2474</v>
      </c>
      <c r="E21" s="32" t="str">
        <f aca="true">IF($D21="","",IFERROR(IF(ISBLANK(INDIRECT("'"&amp;$Q$2&amp;"'!D"&amp;ROW())),"",INDIRECT("'"&amp;$Q$2&amp;"'!D"&amp;ROW())),""))</f>
        <v/>
      </c>
      <c r="F21" s="33"/>
      <c r="G21" s="34"/>
      <c r="H21" s="32" t="n">
        <v>65</v>
      </c>
      <c r="I21" s="32" t="str">
        <f aca="true">IF($H21="","",IFERROR(IF(ISBLANK(INDIRECT("'"&amp;$Q$2&amp;"'!H"&amp;ROW())),"",INDIRECT("'"&amp;$Q$2&amp;"'!H"&amp;ROW())),""))</f>
        <v/>
      </c>
      <c r="J21" s="33"/>
      <c r="K21" s="34"/>
      <c r="L21" s="32" t="n">
        <f aca="false">IFERROR(D21/C21,"")</f>
        <v>824.666666666667</v>
      </c>
      <c r="M21" s="32" t="n">
        <f aca="false">IFERROR(H21/D21*1000,"")</f>
        <v>26.2732417138238</v>
      </c>
      <c r="N21" s="32" t="n">
        <v>10598</v>
      </c>
      <c r="O21" s="33" t="n">
        <v>44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str">
        <f aca="true">IFERROR(IF(ISBLANK(INDIRECT("'"&amp;$Q$2&amp;"'!O"&amp;ROW())),"",INDIRECT("'"&amp;$Q$2&amp;"'!O"&amp;ROW())),"")</f>
        <v/>
      </c>
      <c r="X21" s="17" t="str">
        <f aca="false">IF(OR($O21="",$W21=""),"",$O21-$W21)</f>
        <v/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5</v>
      </c>
      <c r="D22" s="32" t="n">
        <v>1071</v>
      </c>
      <c r="E22" s="32" t="str">
        <f aca="true">IF($D22="","",IFERROR(IF(ISBLANK(INDIRECT("'"&amp;$Q$2&amp;"'!D"&amp;ROW())),"",INDIRECT("'"&amp;$Q$2&amp;"'!D"&amp;ROW())),""))</f>
        <v/>
      </c>
      <c r="F22" s="33"/>
      <c r="G22" s="34"/>
      <c r="H22" s="32" t="n">
        <v>39</v>
      </c>
      <c r="I22" s="32" t="str">
        <f aca="true">IF($H22="","",IFERROR(IF(ISBLANK(INDIRECT("'"&amp;$Q$2&amp;"'!H"&amp;ROW())),"",INDIRECT("'"&amp;$Q$2&amp;"'!H"&amp;ROW())),""))</f>
        <v/>
      </c>
      <c r="J22" s="33"/>
      <c r="K22" s="34"/>
      <c r="L22" s="32" t="n">
        <f aca="false">IFERROR(D22/C22,"")</f>
        <v>214.2</v>
      </c>
      <c r="M22" s="32" t="n">
        <f aca="false">IFERROR(H22/D22*1000,"")</f>
        <v>36.4145658263305</v>
      </c>
      <c r="N22" s="32" t="n">
        <v>7388</v>
      </c>
      <c r="O22" s="33" t="n">
        <v>-35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str">
        <f aca="true">IFERROR(IF(ISBLANK(INDIRECT("'"&amp;$Q$2&amp;"'!O"&amp;ROW())),"",INDIRECT("'"&amp;$Q$2&amp;"'!O"&amp;ROW())),"")</f>
        <v/>
      </c>
      <c r="X22" s="17" t="str">
        <f aca="false">IF(OR($O22="",$W22=""),"",$O22-$W22)</f>
        <v/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5</v>
      </c>
      <c r="D23" s="32" t="n">
        <v>7262</v>
      </c>
      <c r="E23" s="32" t="str">
        <f aca="true">IF($D23="","",IFERROR(IF(ISBLANK(INDIRECT("'"&amp;$Q$2&amp;"'!D"&amp;ROW())),"",INDIRECT("'"&amp;$Q$2&amp;"'!D"&amp;ROW())),""))</f>
        <v/>
      </c>
      <c r="F23" s="33"/>
      <c r="G23" s="34"/>
      <c r="H23" s="32" t="n">
        <v>175</v>
      </c>
      <c r="I23" s="32" t="str">
        <f aca="true">IF($H23="","",IFERROR(IF(ISBLANK(INDIRECT("'"&amp;$Q$2&amp;"'!H"&amp;ROW())),"",INDIRECT("'"&amp;$Q$2&amp;"'!H"&amp;ROW())),""))</f>
        <v/>
      </c>
      <c r="J23" s="33"/>
      <c r="K23" s="34"/>
      <c r="L23" s="32" t="n">
        <f aca="false">IFERROR(D23/C23,"")</f>
        <v>1452.4</v>
      </c>
      <c r="M23" s="32" t="n">
        <f aca="false">IFERROR(H23/D23*1000,"")</f>
        <v>24.0980446158083</v>
      </c>
      <c r="N23" s="32" t="n">
        <v>5599</v>
      </c>
      <c r="O23" s="33" t="n">
        <v>81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str">
        <f aca="true">IFERROR(IF(ISBLANK(INDIRECT("'"&amp;$Q$2&amp;"'!O"&amp;ROW())),"",INDIRECT("'"&amp;$Q$2&amp;"'!O"&amp;ROW())),"")</f>
        <v/>
      </c>
      <c r="X23" s="17" t="str">
        <f aca="false">IF(OR($O23="",$W23=""),"",$O23-$W23)</f>
        <v/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4</v>
      </c>
      <c r="D24" s="32" t="n">
        <v>7470</v>
      </c>
      <c r="E24" s="32" t="str">
        <f aca="true">IF($D24="","",IFERROR(IF(ISBLANK(INDIRECT("'"&amp;$Q$2&amp;"'!D"&amp;ROW())),"",INDIRECT("'"&amp;$Q$2&amp;"'!D"&amp;ROW())),""))</f>
        <v/>
      </c>
      <c r="F24" s="33"/>
      <c r="G24" s="34"/>
      <c r="H24" s="32" t="n">
        <v>196</v>
      </c>
      <c r="I24" s="32" t="str">
        <f aca="true">IF($H24="","",IFERROR(IF(ISBLANK(INDIRECT("'"&amp;$Q$2&amp;"'!H"&amp;ROW())),"",INDIRECT("'"&amp;$Q$2&amp;"'!H"&amp;ROW())),""))</f>
        <v/>
      </c>
      <c r="J24" s="33"/>
      <c r="K24" s="34"/>
      <c r="L24" s="32" t="n">
        <f aca="false">IFERROR(D24/C24,"")</f>
        <v>1867.5</v>
      </c>
      <c r="M24" s="32" t="n">
        <f aca="false">IFERROR(H24/D24*1000,"")</f>
        <v>26.2382864792503</v>
      </c>
      <c r="N24" s="32" t="n">
        <v>2313</v>
      </c>
      <c r="O24" s="33" t="n">
        <v>26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str">
        <f aca="true">IFERROR(IF(ISBLANK(INDIRECT("'"&amp;$Q$2&amp;"'!O"&amp;ROW())),"",INDIRECT("'"&amp;$Q$2&amp;"'!O"&amp;ROW())),"")</f>
        <v/>
      </c>
      <c r="X24" s="17" t="str">
        <f aca="false">IF(OR($O24="",$W24=""),"",$O24-$W24)</f>
        <v/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42129</v>
      </c>
      <c r="E25" s="32" t="str">
        <f aca="true">IF($D25="","",IFERROR(IF(ISBLANK(INDIRECT("'"&amp;$Q$2&amp;"'!D"&amp;ROW())),"",INDIRECT("'"&amp;$Q$2&amp;"'!D"&amp;ROW())),""))</f>
        <v/>
      </c>
      <c r="F25" s="33"/>
      <c r="G25" s="34"/>
      <c r="H25" s="32" t="n">
        <v>211</v>
      </c>
      <c r="I25" s="32" t="str">
        <f aca="true">IF($H25="","",IFERROR(IF(ISBLANK(INDIRECT("'"&amp;$Q$2&amp;"'!H"&amp;ROW())),"",INDIRECT("'"&amp;$Q$2&amp;"'!H"&amp;ROW())),""))</f>
        <v/>
      </c>
      <c r="J25" s="33"/>
      <c r="K25" s="34"/>
      <c r="L25" s="32" t="n">
        <f aca="false">IFERROR(D25/C25,"")</f>
        <v>6018.42857142857</v>
      </c>
      <c r="M25" s="32" t="n">
        <f aca="false">IFERROR(H25/D25*1000,"")</f>
        <v>5.00842649956087</v>
      </c>
      <c r="N25" s="32" t="n">
        <v>6137</v>
      </c>
      <c r="O25" s="33" t="n">
        <v>161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str">
        <f aca="true">IFERROR(IF(ISBLANK(INDIRECT("'"&amp;$Q$2&amp;"'!O"&amp;ROW())),"",INDIRECT("'"&amp;$Q$2&amp;"'!O"&amp;ROW())),"")</f>
        <v/>
      </c>
      <c r="X25" s="17" t="str">
        <f aca="false">IF(OR($O25="",$W25=""),"",$O25-$W25)</f>
        <v/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30181</v>
      </c>
      <c r="E26" s="32" t="str">
        <f aca="true">IF($D26="","",IFERROR(IF(ISBLANK(INDIRECT("'"&amp;$Q$2&amp;"'!D"&amp;ROW())),"",INDIRECT("'"&amp;$Q$2&amp;"'!D"&amp;ROW())),""))</f>
        <v/>
      </c>
      <c r="F26" s="33"/>
      <c r="G26" s="34"/>
      <c r="H26" s="32" t="n">
        <v>111</v>
      </c>
      <c r="I26" s="32" t="str">
        <f aca="true">IF($H26="","",IFERROR(IF(ISBLANK(INDIRECT("'"&amp;$Q$2&amp;"'!H"&amp;ROW())),"",INDIRECT("'"&amp;$Q$2&amp;"'!H"&amp;ROW())),""))</f>
        <v/>
      </c>
      <c r="J26" s="33"/>
      <c r="K26" s="34"/>
      <c r="L26" s="32" t="n">
        <f aca="false">IFERROR(D26/C26,"")</f>
        <v>126.810924369748</v>
      </c>
      <c r="M26" s="32" t="n">
        <f aca="false">IFERROR(H26/D26*1000,"")</f>
        <v>3.67781054305689</v>
      </c>
      <c r="N26" s="32" t="n">
        <v>7881</v>
      </c>
      <c r="O26" s="33" t="n">
        <v>122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str">
        <f aca="true">IFERROR(IF(ISBLANK(INDIRECT("'"&amp;$Q$2&amp;"'!O"&amp;ROW())),"",INDIRECT("'"&amp;$Q$2&amp;"'!O"&amp;ROW())),"")</f>
        <v/>
      </c>
      <c r="X26" s="17" t="str">
        <f aca="false">IF(OR($O26="",$W26=""),"",$O26-$W26)</f>
        <v/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7</v>
      </c>
      <c r="D27" s="32" t="n">
        <v>1528</v>
      </c>
      <c r="E27" s="32" t="str">
        <f aca="true">IF($D27="","",IFERROR(IF(ISBLANK(INDIRECT("'"&amp;$Q$2&amp;"'!D"&amp;ROW())),"",INDIRECT("'"&amp;$Q$2&amp;"'!D"&amp;ROW())),""))</f>
        <v/>
      </c>
      <c r="F27" s="33"/>
      <c r="G27" s="34"/>
      <c r="H27" s="32" t="n">
        <v>34</v>
      </c>
      <c r="I27" s="32" t="str">
        <f aca="true">IF($H27="","",IFERROR(IF(ISBLANK(INDIRECT("'"&amp;$Q$2&amp;"'!H"&amp;ROW())),"",INDIRECT("'"&amp;$Q$2&amp;"'!H"&amp;ROW())),""))</f>
        <v/>
      </c>
      <c r="J27" s="33"/>
      <c r="K27" s="34"/>
      <c r="L27" s="32" t="n">
        <f aca="false">IFERROR(D27/C27,"")</f>
        <v>218.285714285714</v>
      </c>
      <c r="M27" s="32" t="n">
        <f aca="false">IFERROR(H27/D27*1000,"")</f>
        <v>22.2513089005236</v>
      </c>
      <c r="N27" s="32" t="n">
        <v>16725</v>
      </c>
      <c r="O27" s="33" t="n">
        <v>-33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str">
        <f aca="true">IFERROR(IF(ISBLANK(INDIRECT("'"&amp;$Q$2&amp;"'!O"&amp;ROW())),"",INDIRECT("'"&amp;$Q$2&amp;"'!O"&amp;ROW())),"")</f>
        <v/>
      </c>
      <c r="X27" s="17" t="str">
        <f aca="false">IF(OR($O27="",$W27=""),"",$O27-$W27)</f>
        <v/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10798</v>
      </c>
      <c r="E28" s="32" t="str">
        <f aca="true">IF($D28="","",IFERROR(IF(ISBLANK(INDIRECT("'"&amp;$Q$2&amp;"'!D"&amp;ROW())),"",INDIRECT("'"&amp;$Q$2&amp;"'!D"&amp;ROW())),""))</f>
        <v/>
      </c>
      <c r="F28" s="33"/>
      <c r="G28" s="34"/>
      <c r="H28" s="32" t="n">
        <v>31</v>
      </c>
      <c r="I28" s="32" t="str">
        <f aca="true">IF($H28="","",IFERROR(IF(ISBLANK(INDIRECT("'"&amp;$Q$2&amp;"'!H"&amp;ROW())),"",INDIRECT("'"&amp;$Q$2&amp;"'!H"&amp;ROW())),""))</f>
        <v/>
      </c>
      <c r="J28" s="33"/>
      <c r="K28" s="34"/>
      <c r="L28" s="32" t="n">
        <f aca="false">IFERROR(D28/C28,"")</f>
        <v>539.9</v>
      </c>
      <c r="M28" s="32" t="n">
        <f aca="false">IFERROR(H28/D28*1000,"")</f>
        <v>2.87090201889239</v>
      </c>
      <c r="N28" s="32" t="n">
        <v>21905</v>
      </c>
      <c r="O28" s="33" t="n">
        <v>51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str">
        <f aca="true">IFERROR(IF(ISBLANK(INDIRECT("'"&amp;$Q$2&amp;"'!O"&amp;ROW())),"",INDIRECT("'"&amp;$Q$2&amp;"'!O"&amp;ROW())),"")</f>
        <v/>
      </c>
      <c r="X28" s="17" t="str">
        <f aca="false">IF(OR($O28="",$W28=""),"",$O28-$W28)</f>
        <v/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10975</v>
      </c>
      <c r="E29" s="32" t="str">
        <f aca="true">IF($D29="","",IFERROR(IF(ISBLANK(INDIRECT("'"&amp;$Q$2&amp;"'!D"&amp;ROW())),"",INDIRECT("'"&amp;$Q$2&amp;"'!D"&amp;ROW())),""))</f>
        <v/>
      </c>
      <c r="F29" s="33"/>
      <c r="G29" s="34"/>
      <c r="H29" s="32" t="n">
        <v>243</v>
      </c>
      <c r="I29" s="32" t="str">
        <f aca="true">IF($H29="","",IFERROR(IF(ISBLANK(INDIRECT("'"&amp;$Q$2&amp;"'!H"&amp;ROW())),"",INDIRECT("'"&amp;$Q$2&amp;"'!H"&amp;ROW())),""))</f>
        <v/>
      </c>
      <c r="J29" s="33"/>
      <c r="K29" s="34"/>
      <c r="L29" s="32" t="n">
        <f aca="false">IFERROR(D29/C29,"")</f>
        <v>1829.16666666667</v>
      </c>
      <c r="M29" s="32" t="n">
        <f aca="false">IFERROR(H29/D29*1000,"")</f>
        <v>22.1412300683371</v>
      </c>
      <c r="N29" s="32" t="n">
        <v>9451</v>
      </c>
      <c r="O29" s="33"/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1849</v>
      </c>
      <c r="D30" s="36" t="n">
        <f aca="false">SUM(D3:D29)</f>
        <v>3115718</v>
      </c>
      <c r="E30" s="36" t="n">
        <f aca="false">SUM(E3:E29)</f>
        <v>0</v>
      </c>
      <c r="F30" s="37" t="n">
        <f aca="false">SUM(F3:F29)</f>
        <v>0</v>
      </c>
      <c r="G30" s="38" t="str">
        <f aca="false">IF(C30=0,"",IFERROR(F30/E30,""))</f>
        <v/>
      </c>
      <c r="H30" s="36" t="n">
        <f aca="false">SUM(H3:H29)</f>
        <v>33666</v>
      </c>
      <c r="I30" s="36" t="n">
        <f aca="false">SUM(I3:I29)</f>
        <v>0</v>
      </c>
      <c r="J30" s="37" t="n">
        <f aca="false">SUM(J3:J29)</f>
        <v>0</v>
      </c>
      <c r="K30" s="38" t="str">
        <f aca="false">IF(C30=0,"",IFERROR(J30/I30,""))</f>
        <v/>
      </c>
      <c r="L30" s="36" t="n">
        <f aca="false">IFERROR(D30/C30,"")</f>
        <v>1685.08274743104</v>
      </c>
      <c r="M30" s="36" t="n">
        <f aca="false">IFERROR(H30/D30*1000,"")</f>
        <v>10.8052140790662</v>
      </c>
      <c r="N30" s="36" t="n">
        <f aca="false">SUM(N3:N29)</f>
        <v>459419</v>
      </c>
      <c r="O30" s="37" t="n">
        <f aca="false">SUM(O3:O29)</f>
        <v>5683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str">
        <f aca="true">IFERROR(IF(ISBLANK(INDIRECT("'"&amp;$Q$2&amp;"'!O"&amp;ROW())),"",INDIRECT("'"&amp;$Q$2&amp;"'!O"&amp;ROW())),"")</f>
        <v/>
      </c>
      <c r="X30" s="25" t="str">
        <f aca="false">IF(OR(C30=0,$O30="",$W30=""),"",$O30-$W30)</f>
        <v/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147</v>
      </c>
      <c r="D31" s="32" t="n">
        <v>27808</v>
      </c>
      <c r="E31" s="32" t="str">
        <f aca="true">IF($D31="","",IFERROR(IF(ISBLANK(INDIRECT("'"&amp;$Q$2&amp;"'!D"&amp;ROW())),"",INDIRECT("'"&amp;$Q$2&amp;"'!D"&amp;ROW())),""))</f>
        <v/>
      </c>
      <c r="F31" s="33"/>
      <c r="G31" s="34"/>
      <c r="H31" s="32" t="n">
        <v>61</v>
      </c>
      <c r="I31" s="32" t="str">
        <f aca="true">IF($H31="","",IFERROR(IF(ISBLANK(INDIRECT("'"&amp;$Q$2&amp;"'!H"&amp;ROW())),"",INDIRECT("'"&amp;$Q$2&amp;"'!H"&amp;ROW())),""))</f>
        <v/>
      </c>
      <c r="J31" s="33"/>
      <c r="K31" s="34"/>
      <c r="L31" s="32" t="n">
        <f aca="false">IFERROR(D31/C31,"")</f>
        <v>189.170068027211</v>
      </c>
      <c r="M31" s="32" t="n">
        <f aca="false">IFERROR(H31/D31*1000,"")</f>
        <v>2.19361334867664</v>
      </c>
      <c r="N31" s="32" t="n">
        <v>32460</v>
      </c>
      <c r="O31" s="33" t="n">
        <v>9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str">
        <f aca="true">IFERROR(IF(ISBLANK(INDIRECT("'"&amp;$Q$2&amp;"'!O"&amp;ROW())),"",INDIRECT("'"&amp;$Q$2&amp;"'!O"&amp;ROW())),"")</f>
        <v/>
      </c>
      <c r="X31" s="17" t="str">
        <f aca="false">IF(OR($O31="",$W31=""),"",$O31-$W31)</f>
        <v/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146</v>
      </c>
      <c r="D32" s="32" t="n">
        <v>34589</v>
      </c>
      <c r="E32" s="32" t="str">
        <f aca="true">IF($D32="","",IFERROR(IF(ISBLANK(INDIRECT("'"&amp;$Q$2&amp;"'!D"&amp;ROW())),"",INDIRECT("'"&amp;$Q$2&amp;"'!D"&amp;ROW())),""))</f>
        <v/>
      </c>
      <c r="F32" s="33"/>
      <c r="G32" s="34"/>
      <c r="H32" s="32" t="n">
        <v>45</v>
      </c>
      <c r="I32" s="32" t="str">
        <f aca="true">IF($H32="","",IFERROR(IF(ISBLANK(INDIRECT("'"&amp;$Q$2&amp;"'!H"&amp;ROW())),"",INDIRECT("'"&amp;$Q$2&amp;"'!H"&amp;ROW())),""))</f>
        <v/>
      </c>
      <c r="J32" s="33"/>
      <c r="K32" s="34"/>
      <c r="L32" s="32" t="n">
        <f aca="false">IFERROR(D32/C32,"")</f>
        <v>236.91095890411</v>
      </c>
      <c r="M32" s="32" t="n">
        <f aca="false">IFERROR(H32/D32*1000,"")</f>
        <v>1.30099164474255</v>
      </c>
      <c r="N32" s="32" t="n">
        <v>21732</v>
      </c>
      <c r="O32" s="33" t="n">
        <v>4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str">
        <f aca="true">IFERROR(IF(ISBLANK(INDIRECT("'"&amp;$Q$2&amp;"'!O"&amp;ROW())),"",INDIRECT("'"&amp;$Q$2&amp;"'!O"&amp;ROW())),"")</f>
        <v/>
      </c>
      <c r="X32" s="17" t="str">
        <f aca="false">IF(OR($O32="",$W32=""),"",$O32-$W32)</f>
        <v/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86</v>
      </c>
      <c r="D33" s="32" t="n">
        <v>22158</v>
      </c>
      <c r="E33" s="32" t="str">
        <f aca="true">IF($D33="","",IFERROR(IF(ISBLANK(INDIRECT("'"&amp;$Q$2&amp;"'!D"&amp;ROW())),"",INDIRECT("'"&amp;$Q$2&amp;"'!D"&amp;ROW())),""))</f>
        <v/>
      </c>
      <c r="F33" s="33"/>
      <c r="G33" s="34"/>
      <c r="H33" s="32" t="n">
        <v>5</v>
      </c>
      <c r="I33" s="32" t="str">
        <f aca="true">IF($H33="","",IFERROR(IF(ISBLANK(INDIRECT("'"&amp;$Q$2&amp;"'!H"&amp;ROW())),"",INDIRECT("'"&amp;$Q$2&amp;"'!H"&amp;ROW())),""))</f>
        <v/>
      </c>
      <c r="J33" s="33"/>
      <c r="K33" s="34"/>
      <c r="L33" s="32" t="n">
        <f aca="false">IFERROR(D33/C33,"")</f>
        <v>257.651162790698</v>
      </c>
      <c r="M33" s="32" t="n">
        <f aca="false">IFERROR(H33/D33*1000,"")</f>
        <v>0.225652134669194</v>
      </c>
      <c r="N33" s="32" t="n">
        <v>8963</v>
      </c>
      <c r="O33" s="33" t="n">
        <v>3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str">
        <f aca="true">IFERROR(IF(ISBLANK(INDIRECT("'"&amp;$Q$2&amp;"'!O"&amp;ROW())),"",INDIRECT("'"&amp;$Q$2&amp;"'!O"&amp;ROW())),"")</f>
        <v/>
      </c>
      <c r="X33" s="17" t="str">
        <f aca="false">IF(OR($O33="",$W33=""),"",$O33-$W33)</f>
        <v/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1088</v>
      </c>
      <c r="E34" s="32" t="str">
        <f aca="true">IF($D34="","",IFERROR(IF(ISBLANK(INDIRECT("'"&amp;$Q$2&amp;"'!D"&amp;ROW())),"",INDIRECT("'"&amp;$Q$2&amp;"'!D"&amp;ROW())),""))</f>
        <v/>
      </c>
      <c r="F34" s="33"/>
      <c r="G34" s="34"/>
      <c r="H34" s="32" t="n">
        <v>0</v>
      </c>
      <c r="I34" s="32" t="str">
        <f aca="true">IF($H34="","",IFERROR(IF(ISBLANK(INDIRECT("'"&amp;$Q$2&amp;"'!H"&amp;ROW())),"",INDIRECT("'"&amp;$Q$2&amp;"'!H"&amp;ROW())),""))</f>
        <v/>
      </c>
      <c r="J34" s="33"/>
      <c r="K34" s="34"/>
      <c r="L34" s="32" t="n">
        <f aca="false">IFERROR(D34/C34,"")</f>
        <v>13.4320987654321</v>
      </c>
      <c r="M34" s="32" t="n">
        <f aca="false">IFERROR(H34/D34*1000,"")</f>
        <v>0</v>
      </c>
      <c r="N34" s="32" t="n">
        <v>5</v>
      </c>
      <c r="O34" s="33" t="n">
        <v>2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str">
        <f aca="true">IFERROR(IF(ISBLANK(INDIRECT("'"&amp;$Q$2&amp;"'!O"&amp;ROW())),"",INDIRECT("'"&amp;$Q$2&amp;"'!O"&amp;ROW())),"")</f>
        <v/>
      </c>
      <c r="X34" s="17" t="str">
        <f aca="false">IF(OR($O34="",$W34=""),"",$O34-$W34)</f>
        <v/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87</v>
      </c>
      <c r="D35" s="32" t="n">
        <v>12768</v>
      </c>
      <c r="E35" s="32" t="str">
        <f aca="true">IF($D35="","",IFERROR(IF(ISBLANK(INDIRECT("'"&amp;$Q$2&amp;"'!D"&amp;ROW())),"",INDIRECT("'"&amp;$Q$2&amp;"'!D"&amp;ROW())),""))</f>
        <v/>
      </c>
      <c r="F35" s="33"/>
      <c r="G35" s="34"/>
      <c r="H35" s="32" t="n">
        <v>146</v>
      </c>
      <c r="I35" s="32" t="str">
        <f aca="true">IF($H35="","",IFERROR(IF(ISBLANK(INDIRECT("'"&amp;$Q$2&amp;"'!H"&amp;ROW())),"",INDIRECT("'"&amp;$Q$2&amp;"'!H"&amp;ROW())),""))</f>
        <v/>
      </c>
      <c r="J35" s="33"/>
      <c r="K35" s="34"/>
      <c r="L35" s="32" t="n">
        <f aca="false">IFERROR(D35/C35,"")</f>
        <v>146.758620689655</v>
      </c>
      <c r="M35" s="32" t="n">
        <f aca="false">IFERROR(H35/D35*1000,"")</f>
        <v>11.4348370927318</v>
      </c>
      <c r="N35" s="32" t="n">
        <v>1934</v>
      </c>
      <c r="O35" s="33" t="n">
        <v>4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str">
        <f aca="true">IFERROR(IF(ISBLANK(INDIRECT("'"&amp;$Q$2&amp;"'!O"&amp;ROW())),"",INDIRECT("'"&amp;$Q$2&amp;"'!O"&amp;ROW())),"")</f>
        <v/>
      </c>
      <c r="X35" s="17" t="str">
        <f aca="false">IF(OR($O35="",$W35=""),"",$O35-$W35)</f>
        <v/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37402</v>
      </c>
      <c r="E36" s="32" t="str">
        <f aca="true">IF($D36="","",IFERROR(IF(ISBLANK(INDIRECT("'"&amp;$Q$2&amp;"'!D"&amp;ROW())),"",INDIRECT("'"&amp;$Q$2&amp;"'!D"&amp;ROW())),""))</f>
        <v/>
      </c>
      <c r="F36" s="33"/>
      <c r="G36" s="34"/>
      <c r="H36" s="32" t="n">
        <v>608</v>
      </c>
      <c r="I36" s="32" t="str">
        <f aca="true">IF($H36="","",IFERROR(IF(ISBLANK(INDIRECT("'"&amp;$Q$2&amp;"'!H"&amp;ROW())),"",INDIRECT("'"&amp;$Q$2&amp;"'!H"&amp;ROW())),""))</f>
        <v/>
      </c>
      <c r="J36" s="33"/>
      <c r="K36" s="34"/>
      <c r="L36" s="32" t="n">
        <f aca="false">IFERROR(D36/C36,"")</f>
        <v>450.626506024096</v>
      </c>
      <c r="M36" s="32" t="n">
        <f aca="false">IFERROR(H36/D36*1000,"")</f>
        <v>16.2558151970483</v>
      </c>
      <c r="N36" s="32" t="n">
        <v>5875</v>
      </c>
      <c r="O36" s="33" t="n">
        <v>3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95</v>
      </c>
      <c r="D37" s="32" t="n">
        <v>6619</v>
      </c>
      <c r="E37" s="32" t="str">
        <f aca="true">IF($D37="","",IFERROR(IF(ISBLANK(INDIRECT("'"&amp;$Q$2&amp;"'!D"&amp;ROW())),"",INDIRECT("'"&amp;$Q$2&amp;"'!D"&amp;ROW())),""))</f>
        <v/>
      </c>
      <c r="F37" s="33"/>
      <c r="G37" s="34"/>
      <c r="H37" s="32" t="n">
        <v>31</v>
      </c>
      <c r="I37" s="32" t="str">
        <f aca="true">IF($H37="","",IFERROR(IF(ISBLANK(INDIRECT("'"&amp;$Q$2&amp;"'!H"&amp;ROW())),"",INDIRECT("'"&amp;$Q$2&amp;"'!H"&amp;ROW())),""))</f>
        <v/>
      </c>
      <c r="J37" s="33"/>
      <c r="K37" s="34"/>
      <c r="L37" s="32" t="n">
        <f aca="false">IFERROR(D37/C37,"")</f>
        <v>69.6736842105263</v>
      </c>
      <c r="M37" s="32" t="n">
        <f aca="false">IFERROR(H37/D37*1000,"")</f>
        <v>4.68348693156066</v>
      </c>
      <c r="N37" s="32" t="n">
        <v>3233</v>
      </c>
      <c r="O37" s="33" t="n"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str">
        <f aca="true">IFERROR(IF(ISBLANK(INDIRECT("'"&amp;$Q$2&amp;"'!O"&amp;ROW())),"",INDIRECT("'"&amp;$Q$2&amp;"'!O"&amp;ROW())),"")</f>
        <v/>
      </c>
      <c r="X37" s="17" t="str">
        <f aca="false">IF(OR($O37="",$W37=""),"",$O37-$W37)</f>
        <v/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65</v>
      </c>
      <c r="D38" s="32" t="n">
        <v>5396</v>
      </c>
      <c r="E38" s="32" t="str">
        <f aca="true">IF($D38="","",IFERROR(IF(ISBLANK(INDIRECT("'"&amp;$Q$2&amp;"'!D"&amp;ROW())),"",INDIRECT("'"&amp;$Q$2&amp;"'!D"&amp;ROW())),""))</f>
        <v/>
      </c>
      <c r="F38" s="33"/>
      <c r="G38" s="34"/>
      <c r="H38" s="32" t="n">
        <v>18</v>
      </c>
      <c r="I38" s="32" t="str">
        <f aca="true">IF($H38="","",IFERROR(IF(ISBLANK(INDIRECT("'"&amp;$Q$2&amp;"'!H"&amp;ROW())),"",INDIRECT("'"&amp;$Q$2&amp;"'!H"&amp;ROW())),""))</f>
        <v/>
      </c>
      <c r="J38" s="33"/>
      <c r="K38" s="34"/>
      <c r="L38" s="32" t="n">
        <f aca="false">IFERROR(D38/C38,"")</f>
        <v>83.0153846153846</v>
      </c>
      <c r="M38" s="32" t="n">
        <f aca="false">IFERROR(H38/D38*1000,"")</f>
        <v>3.3358042994811</v>
      </c>
      <c r="N38" s="32" t="n">
        <v>1693</v>
      </c>
      <c r="O38" s="33" t="n">
        <v>3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str">
        <f aca="true">IFERROR(IF(ISBLANK(INDIRECT("'"&amp;$Q$2&amp;"'!O"&amp;ROW())),"",INDIRECT("'"&amp;$Q$2&amp;"'!O"&amp;ROW())),"")</f>
        <v/>
      </c>
      <c r="X38" s="17" t="str">
        <f aca="false">IF(OR($O38="",$W38=""),"",$O38-$W38)</f>
        <v/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65</v>
      </c>
      <c r="D39" s="32" t="n">
        <v>2787</v>
      </c>
      <c r="E39" s="32" t="str">
        <f aca="true">IF($D39="","",IFERROR(IF(ISBLANK(INDIRECT("'"&amp;$Q$2&amp;"'!D"&amp;ROW())),"",INDIRECT("'"&amp;$Q$2&amp;"'!D"&amp;ROW())),""))</f>
        <v/>
      </c>
      <c r="F39" s="33"/>
      <c r="G39" s="34"/>
      <c r="H39" s="32" t="n">
        <v>3</v>
      </c>
      <c r="I39" s="32" t="str">
        <f aca="true">IF($H39="","",IFERROR(IF(ISBLANK(INDIRECT("'"&amp;$Q$2&amp;"'!H"&amp;ROW())),"",INDIRECT("'"&amp;$Q$2&amp;"'!H"&amp;ROW())),""))</f>
        <v/>
      </c>
      <c r="J39" s="33"/>
      <c r="K39" s="34"/>
      <c r="L39" s="32" t="n">
        <f aca="false">IFERROR(D39/C39,"")</f>
        <v>42.8769230769231</v>
      </c>
      <c r="M39" s="32" t="n">
        <f aca="false">IFERROR(H39/D39*1000,"")</f>
        <v>1.07642626480086</v>
      </c>
      <c r="N39" s="32" t="n">
        <v>224</v>
      </c>
      <c r="O39" s="33" t="n">
        <v>2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str">
        <f aca="true">IFERROR(IF(ISBLANK(INDIRECT("'"&amp;$Q$2&amp;"'!O"&amp;ROW())),"",INDIRECT("'"&amp;$Q$2&amp;"'!O"&amp;ROW())),"")</f>
        <v/>
      </c>
      <c r="X39" s="17" t="str">
        <f aca="false">IF(OR($O39="",$W39=""),"",$O39-$W39)</f>
        <v/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31</v>
      </c>
      <c r="D40" s="32" t="n">
        <v>4257</v>
      </c>
      <c r="E40" s="32" t="str">
        <f aca="true">IF($D40="","",IFERROR(IF(ISBLANK(INDIRECT("'"&amp;$Q$2&amp;"'!D"&amp;ROW())),"",INDIRECT("'"&amp;$Q$2&amp;"'!D"&amp;ROW())),""))</f>
        <v/>
      </c>
      <c r="F40" s="33"/>
      <c r="G40" s="34"/>
      <c r="H40" s="32" t="n">
        <v>15</v>
      </c>
      <c r="I40" s="32" t="str">
        <f aca="true">IF($H40="","",IFERROR(IF(ISBLANK(INDIRECT("'"&amp;$Q$2&amp;"'!H"&amp;ROW())),"",INDIRECT("'"&amp;$Q$2&amp;"'!H"&amp;ROW())),""))</f>
        <v/>
      </c>
      <c r="J40" s="33"/>
      <c r="K40" s="34"/>
      <c r="L40" s="32" t="n">
        <f aca="false">IFERROR(D40/C40,"")</f>
        <v>137.322580645161</v>
      </c>
      <c r="M40" s="32" t="n">
        <f aca="false">IFERROR(H40/D40*1000,"")</f>
        <v>3.52360817477097</v>
      </c>
      <c r="N40" s="32" t="n">
        <v>4949</v>
      </c>
      <c r="O40" s="33" t="n">
        <v>3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47</v>
      </c>
      <c r="D41" s="32" t="n">
        <v>7132</v>
      </c>
      <c r="E41" s="32" t="str">
        <f aca="true">IF($D41="","",IFERROR(IF(ISBLANK(INDIRECT("'"&amp;$Q$2&amp;"'!D"&amp;ROW())),"",INDIRECT("'"&amp;$Q$2&amp;"'!D"&amp;ROW())),""))</f>
        <v/>
      </c>
      <c r="F41" s="33"/>
      <c r="G41" s="34"/>
      <c r="H41" s="32" t="n">
        <v>57</v>
      </c>
      <c r="I41" s="32" t="str">
        <f aca="true">IF($H41="","",IFERROR(IF(ISBLANK(INDIRECT("'"&amp;$Q$2&amp;"'!H"&amp;ROW())),"",INDIRECT("'"&amp;$Q$2&amp;"'!H"&amp;ROW())),""))</f>
        <v/>
      </c>
      <c r="J41" s="33"/>
      <c r="K41" s="34"/>
      <c r="L41" s="32" t="n">
        <f aca="false">IFERROR(D41/C41,"")</f>
        <v>151.744680851064</v>
      </c>
      <c r="M41" s="32" t="n">
        <f aca="false">IFERROR(H41/D41*1000,"")</f>
        <v>7.99214806505889</v>
      </c>
      <c r="N41" s="32" t="n">
        <v>3530</v>
      </c>
      <c r="O41" s="33" t="n">
        <v>3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str">
        <f aca="true">IFERROR(IF(ISBLANK(INDIRECT("'"&amp;$Q$2&amp;"'!O"&amp;ROW())),"",INDIRECT("'"&amp;$Q$2&amp;"'!O"&amp;ROW())),"")</f>
        <v/>
      </c>
      <c r="X41" s="17" t="str">
        <f aca="false">IF(OR($O41="",$W41=""),"",$O41-$W41)</f>
        <v/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30</v>
      </c>
      <c r="D42" s="32" t="n">
        <v>9378</v>
      </c>
      <c r="E42" s="32" t="str">
        <f aca="true">IF($D42="","",IFERROR(IF(ISBLANK(INDIRECT("'"&amp;$Q$2&amp;"'!D"&amp;ROW())),"",INDIRECT("'"&amp;$Q$2&amp;"'!D"&amp;ROW())),""))</f>
        <v/>
      </c>
      <c r="F42" s="33"/>
      <c r="G42" s="34"/>
      <c r="H42" s="32" t="n">
        <v>186</v>
      </c>
      <c r="I42" s="32" t="str">
        <f aca="true">IF($H42="","",IFERROR(IF(ISBLANK(INDIRECT("'"&amp;$Q$2&amp;"'!H"&amp;ROW())),"",INDIRECT("'"&amp;$Q$2&amp;"'!H"&amp;ROW())),""))</f>
        <v/>
      </c>
      <c r="J42" s="33"/>
      <c r="K42" s="34"/>
      <c r="L42" s="32" t="n">
        <f aca="false">IFERROR(D42/C42,"")</f>
        <v>312.6</v>
      </c>
      <c r="M42" s="32" t="n">
        <f aca="false">IFERROR(H42/D42*1000,"")</f>
        <v>19.8336532309661</v>
      </c>
      <c r="N42" s="32" t="n">
        <v>643</v>
      </c>
      <c r="O42" s="33" t="n">
        <v>9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str">
        <f aca="true">IFERROR(IF(ISBLANK(INDIRECT("'"&amp;$Q$2&amp;"'!O"&amp;ROW())),"",INDIRECT("'"&amp;$Q$2&amp;"'!O"&amp;ROW())),"")</f>
        <v/>
      </c>
      <c r="X42" s="17" t="str">
        <f aca="false">IF(OR($O42="",$W42=""),"",$O42-$W42)</f>
        <v/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52</v>
      </c>
      <c r="D43" s="32" t="n">
        <v>3692</v>
      </c>
      <c r="E43" s="32" t="str">
        <f aca="true">IF($D43="","",IFERROR(IF(ISBLANK(INDIRECT("'"&amp;$Q$2&amp;"'!D"&amp;ROW())),"",INDIRECT("'"&amp;$Q$2&amp;"'!D"&amp;ROW())),""))</f>
        <v/>
      </c>
      <c r="F43" s="33"/>
      <c r="G43" s="34"/>
      <c r="H43" s="32" t="n">
        <v>25</v>
      </c>
      <c r="I43" s="32" t="str">
        <f aca="true">IF($H43="","",IFERROR(IF(ISBLANK(INDIRECT("'"&amp;$Q$2&amp;"'!H"&amp;ROW())),"",INDIRECT("'"&amp;$Q$2&amp;"'!H"&amp;ROW())),""))</f>
        <v/>
      </c>
      <c r="J43" s="33"/>
      <c r="K43" s="34"/>
      <c r="L43" s="32" t="n">
        <f aca="false">IFERROR(D43/C43,"")</f>
        <v>71</v>
      </c>
      <c r="M43" s="32" t="n">
        <f aca="false">IFERROR(H43/D43*1000,"")</f>
        <v>6.77139761646804</v>
      </c>
      <c r="N43" s="32" t="n">
        <v>1948</v>
      </c>
      <c r="O43" s="33" t="n"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str">
        <f aca="true">IFERROR(IF(ISBLANK(INDIRECT("'"&amp;$Q$2&amp;"'!O"&amp;ROW())),"",INDIRECT("'"&amp;$Q$2&amp;"'!O"&amp;ROW())),"")</f>
        <v/>
      </c>
      <c r="X43" s="17" t="str">
        <f aca="false">IF(OR($O43="",$W43=""),"",$O43-$W43)</f>
        <v/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54</v>
      </c>
      <c r="D44" s="32" t="n">
        <v>9680</v>
      </c>
      <c r="E44" s="32" t="str">
        <f aca="true">IF($D44="","",IFERROR(IF(ISBLANK(INDIRECT("'"&amp;$Q$2&amp;"'!D"&amp;ROW())),"",INDIRECT("'"&amp;$Q$2&amp;"'!D"&amp;ROW())),""))</f>
        <v/>
      </c>
      <c r="F44" s="33"/>
      <c r="G44" s="34"/>
      <c r="H44" s="32" t="n">
        <v>66</v>
      </c>
      <c r="I44" s="32" t="str">
        <f aca="true">IF($H44="","",IFERROR(IF(ISBLANK(INDIRECT("'"&amp;$Q$2&amp;"'!H"&amp;ROW())),"",INDIRECT("'"&amp;$Q$2&amp;"'!H"&amp;ROW())),""))</f>
        <v/>
      </c>
      <c r="J44" s="33"/>
      <c r="K44" s="34"/>
      <c r="L44" s="32" t="n">
        <f aca="false">IFERROR(D44/C44,"")</f>
        <v>179.259259259259</v>
      </c>
      <c r="M44" s="32" t="n">
        <f aca="false">IFERROR(H44/D44*1000,"")</f>
        <v>6.81818181818182</v>
      </c>
      <c r="N44" s="32" t="n">
        <v>4884</v>
      </c>
      <c r="O44" s="33" t="n">
        <v>5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65</v>
      </c>
      <c r="D45" s="32" t="n">
        <v>19928</v>
      </c>
      <c r="E45" s="32" t="str">
        <f aca="true">IF($D45="","",IFERROR(IF(ISBLANK(INDIRECT("'"&amp;$Q$2&amp;"'!D"&amp;ROW())),"",INDIRECT("'"&amp;$Q$2&amp;"'!D"&amp;ROW())),""))</f>
        <v/>
      </c>
      <c r="F45" s="33"/>
      <c r="G45" s="34"/>
      <c r="H45" s="32" t="n">
        <v>220</v>
      </c>
      <c r="I45" s="32" t="str">
        <f aca="true">IF($H45="","",IFERROR(IF(ISBLANK(INDIRECT("'"&amp;$Q$2&amp;"'!H"&amp;ROW())),"",INDIRECT("'"&amp;$Q$2&amp;"'!H"&amp;ROW())),""))</f>
        <v/>
      </c>
      <c r="J45" s="33"/>
      <c r="K45" s="34"/>
      <c r="L45" s="32" t="n">
        <f aca="false">IFERROR(D45/C45,"")</f>
        <v>306.584615384615</v>
      </c>
      <c r="M45" s="32" t="n">
        <f aca="false">IFERROR(H45/D45*1000,"")</f>
        <v>11.0397430750703</v>
      </c>
      <c r="N45" s="32" t="n">
        <v>3731</v>
      </c>
      <c r="O45" s="33" t="n">
        <v>12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str">
        <f aca="true">IFERROR(IF(ISBLANK(INDIRECT("'"&amp;$Q$2&amp;"'!O"&amp;ROW())),"",INDIRECT("'"&amp;$Q$2&amp;"'!O"&amp;ROW())),"")</f>
        <v/>
      </c>
      <c r="X45" s="17" t="str">
        <f aca="false">IF(OR($O45="",$W45=""),"",$O45-$W45)</f>
        <v/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107</v>
      </c>
      <c r="D46" s="32" t="n">
        <v>42572</v>
      </c>
      <c r="E46" s="32" t="str">
        <f aca="true">IF($D46="","",IFERROR(IF(ISBLANK(INDIRECT("'"&amp;$Q$2&amp;"'!D"&amp;ROW())),"",INDIRECT("'"&amp;$Q$2&amp;"'!D"&amp;ROW())),""))</f>
        <v/>
      </c>
      <c r="F46" s="33"/>
      <c r="G46" s="34"/>
      <c r="H46" s="32" t="n">
        <v>694</v>
      </c>
      <c r="I46" s="32" t="str">
        <f aca="true">IF($H46="","",IFERROR(IF(ISBLANK(INDIRECT("'"&amp;$Q$2&amp;"'!H"&amp;ROW())),"",INDIRECT("'"&amp;$Q$2&amp;"'!H"&amp;ROW())),""))</f>
        <v/>
      </c>
      <c r="J46" s="33"/>
      <c r="K46" s="34"/>
      <c r="L46" s="32" t="n">
        <f aca="false">IFERROR(D46/C46,"")</f>
        <v>397.869158878505</v>
      </c>
      <c r="M46" s="32" t="n">
        <f aca="false">IFERROR(H46/D46*1000,"")</f>
        <v>16.3017946067838</v>
      </c>
      <c r="N46" s="32" t="n">
        <v>4496</v>
      </c>
      <c r="O46" s="33" t="n">
        <v>9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str">
        <f aca="true">IFERROR(IF(ISBLANK(INDIRECT("'"&amp;$Q$2&amp;"'!O"&amp;ROW())),"",INDIRECT("'"&amp;$Q$2&amp;"'!O"&amp;ROW())),"")</f>
        <v/>
      </c>
      <c r="X46" s="17" t="str">
        <f aca="false">IF(OR($O46="",$W46=""),"",$O46-$W46)</f>
        <v/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8</v>
      </c>
      <c r="D47" s="32" t="n">
        <v>769</v>
      </c>
      <c r="E47" s="32" t="str">
        <f aca="true">IF($D47="","",IFERROR(IF(ISBLANK(INDIRECT("'"&amp;$Q$2&amp;"'!D"&amp;ROW())),"",INDIRECT("'"&amp;$Q$2&amp;"'!D"&amp;ROW())),""))</f>
        <v/>
      </c>
      <c r="F47" s="33"/>
      <c r="G47" s="34"/>
      <c r="H47" s="32" t="n">
        <v>16</v>
      </c>
      <c r="I47" s="32" t="str">
        <f aca="true">IF($H47="","",IFERROR(IF(ISBLANK(INDIRECT("'"&amp;$Q$2&amp;"'!H"&amp;ROW())),"",INDIRECT("'"&amp;$Q$2&amp;"'!H"&amp;ROW())),""))</f>
        <v/>
      </c>
      <c r="J47" s="33"/>
      <c r="K47" s="34"/>
      <c r="L47" s="32" t="n">
        <f aca="false">IFERROR(D47/C47,"")</f>
        <v>96.125</v>
      </c>
      <c r="M47" s="32" t="n">
        <f aca="false">IFERROR(H47/D47*1000,"")</f>
        <v>20.8062418725618</v>
      </c>
      <c r="N47" s="32" t="n">
        <v>855</v>
      </c>
      <c r="O47" s="33" t="n">
        <v>5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3</v>
      </c>
      <c r="D48" s="32" t="n">
        <v>336</v>
      </c>
      <c r="E48" s="32" t="str">
        <f aca="true">IF($D48="","",IFERROR(IF(ISBLANK(INDIRECT("'"&amp;$Q$2&amp;"'!D"&amp;ROW())),"",INDIRECT("'"&amp;$Q$2&amp;"'!D"&amp;ROW())),""))</f>
        <v/>
      </c>
      <c r="F48" s="33"/>
      <c r="G48" s="34"/>
      <c r="H48" s="32" t="n">
        <v>13</v>
      </c>
      <c r="I48" s="32" t="str">
        <f aca="true">IF($H48="","",IFERROR(IF(ISBLANK(INDIRECT("'"&amp;$Q$2&amp;"'!H"&amp;ROW())),"",INDIRECT("'"&amp;$Q$2&amp;"'!H"&amp;ROW())),""))</f>
        <v/>
      </c>
      <c r="J48" s="33"/>
      <c r="K48" s="34"/>
      <c r="L48" s="32" t="n">
        <f aca="false">IFERROR(D48/C48,"")</f>
        <v>112</v>
      </c>
      <c r="M48" s="32" t="n">
        <f aca="false">IFERROR(H48/D48*1000,"")</f>
        <v>38.6904761904762</v>
      </c>
      <c r="N48" s="32" t="n">
        <v>853</v>
      </c>
      <c r="O48" s="33" t="n">
        <v>2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43" t="s">
        <v>23</v>
      </c>
      <c r="B49" s="43" t="s">
        <v>62</v>
      </c>
      <c r="C49" s="44"/>
      <c r="D49" s="44"/>
      <c r="E49" s="44" t="str">
        <f aca="true">IF($D49="","",IFERROR(IF(ISBLANK(INDIRECT("'"&amp;$Q$2&amp;"'!D"&amp;ROW())),"",INDIRECT("'"&amp;$Q$2&amp;"'!D"&amp;ROW())),""))</f>
        <v/>
      </c>
      <c r="F49" s="45"/>
      <c r="G49" s="46"/>
      <c r="H49" s="44"/>
      <c r="I49" s="44" t="str">
        <f aca="true">IF($H49="","",IFERROR(IF(ISBLANK(INDIRECT("'"&amp;$Q$2&amp;"'!H"&amp;ROW())),"",INDIRECT("'"&amp;$Q$2&amp;"'!H"&amp;ROW())),""))</f>
        <v/>
      </c>
      <c r="J49" s="45"/>
      <c r="K49" s="46"/>
      <c r="L49" s="44" t="str">
        <f aca="false">IFERROR(D49/C49,"")</f>
        <v/>
      </c>
      <c r="M49" s="44" t="str">
        <f aca="false">IFERROR(H49/D49*1000,"")</f>
        <v/>
      </c>
      <c r="N49" s="44"/>
      <c r="O49" s="45"/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43" t="s">
        <v>23</v>
      </c>
      <c r="B50" s="43" t="s">
        <v>65</v>
      </c>
      <c r="C50" s="44"/>
      <c r="D50" s="44"/>
      <c r="E50" s="44" t="str">
        <f aca="true">IF($D50="","",IFERROR(IF(ISBLANK(INDIRECT("'"&amp;$Q$2&amp;"'!D"&amp;ROW())),"",INDIRECT("'"&amp;$Q$2&amp;"'!D"&amp;ROW())),""))</f>
        <v/>
      </c>
      <c r="F50" s="45"/>
      <c r="G50" s="46"/>
      <c r="H50" s="44"/>
      <c r="I50" s="44" t="str">
        <f aca="true">IF($H50="","",IFERROR(IF(ISBLANK(INDIRECT("'"&amp;$Q$2&amp;"'!H"&amp;ROW())),"",INDIRECT("'"&amp;$Q$2&amp;"'!H"&amp;ROW())),""))</f>
        <v/>
      </c>
      <c r="J50" s="45"/>
      <c r="K50" s="46"/>
      <c r="L50" s="44" t="str">
        <f aca="false">IFERROR(D50/C50,"")</f>
        <v/>
      </c>
      <c r="M50" s="44" t="str">
        <f aca="false">IFERROR(H50/D50*1000,"")</f>
        <v/>
      </c>
      <c r="N50" s="44"/>
      <c r="O50" s="45"/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1252</v>
      </c>
      <c r="D51" s="36" t="n">
        <f aca="false">SUM(D31:D50)</f>
        <v>248359</v>
      </c>
      <c r="E51" s="36" t="n">
        <f aca="false">SUM(E31:E50)</f>
        <v>0</v>
      </c>
      <c r="F51" s="37" t="n">
        <f aca="false">SUM(F31:F50)</f>
        <v>0</v>
      </c>
      <c r="G51" s="38" t="str">
        <f aca="false">IF(C51=0,"",IFERROR(F51/E51,""))</f>
        <v/>
      </c>
      <c r="H51" s="36" t="n">
        <f aca="false">SUM(H31:H50)</f>
        <v>2209</v>
      </c>
      <c r="I51" s="36" t="n">
        <f aca="false">SUM(I31:I50)</f>
        <v>0</v>
      </c>
      <c r="J51" s="37" t="n">
        <f aca="false">SUM(J31:J50)</f>
        <v>0</v>
      </c>
      <c r="K51" s="38" t="str">
        <f aca="false">IF(C51=0,"",IFERROR(J51/I51,""))</f>
        <v/>
      </c>
      <c r="L51" s="36" t="n">
        <f aca="false">IFERROR(D51/C51,"")</f>
        <v>198.369808306709</v>
      </c>
      <c r="M51" s="36" t="n">
        <f aca="false">IFERROR(H51/D51*1000,"")</f>
        <v>8.89438272822809</v>
      </c>
      <c r="N51" s="36" t="n">
        <f aca="false">SUM(N31:N50)</f>
        <v>102008</v>
      </c>
      <c r="O51" s="37" t="n">
        <f aca="false">SUM(O31:O50)</f>
        <v>82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str">
        <f aca="true">IFERROR(IF(ISBLANK(INDIRECT("'"&amp;$Q$2&amp;"'!O"&amp;ROW())),"",INDIRECT("'"&amp;$Q$2&amp;"'!O"&amp;ROW())),"")</f>
        <v/>
      </c>
      <c r="X51" s="25" t="str">
        <f aca="false">IF(OR(C51=0,$O51="",$W51=""),"",$O51-$W51)</f>
        <v/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38993</v>
      </c>
      <c r="E52" s="32" t="str">
        <f aca="true">IF($D52="","",IFERROR(IF(ISBLANK(INDIRECT("'"&amp;$Q$2&amp;"'!D"&amp;ROW())),"",INDIRECT("'"&amp;$Q$2&amp;"'!D"&amp;ROW())),""))</f>
        <v/>
      </c>
      <c r="F52" s="33"/>
      <c r="G52" s="34"/>
      <c r="H52" s="32" t="n">
        <v>176</v>
      </c>
      <c r="I52" s="32" t="str">
        <f aca="true">IF($H52="","",IFERROR(IF(ISBLANK(INDIRECT("'"&amp;$Q$2&amp;"'!H"&amp;ROW())),"",INDIRECT("'"&amp;$Q$2&amp;"'!H"&amp;ROW())),""))</f>
        <v/>
      </c>
      <c r="J52" s="33"/>
      <c r="K52" s="34"/>
      <c r="L52" s="32" t="n">
        <f aca="false">IFERROR(D52/C52,"")</f>
        <v>270.784722222222</v>
      </c>
      <c r="M52" s="32" t="n">
        <f aca="false">IFERROR(H52/D52*1000,"")</f>
        <v>4.51363065165543</v>
      </c>
      <c r="N52" s="32" t="n">
        <v>11843</v>
      </c>
      <c r="O52" s="33" t="n">
        <v>8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str">
        <f aca="true">IFERROR(IF(ISBLANK(INDIRECT("'"&amp;$Q$2&amp;"'!O"&amp;ROW())),"",INDIRECT("'"&amp;$Q$2&amp;"'!O"&amp;ROW())),"")</f>
        <v/>
      </c>
      <c r="X52" s="17" t="str">
        <f aca="false">IF(OR($O52="",$W52=""),"",$O52-$W52)</f>
        <v/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183</v>
      </c>
      <c r="D53" s="32" t="n">
        <v>49251</v>
      </c>
      <c r="E53" s="32" t="str">
        <f aca="true">IF($D53="","",IFERROR(IF(ISBLANK(INDIRECT("'"&amp;$Q$2&amp;"'!D"&amp;ROW())),"",INDIRECT("'"&amp;$Q$2&amp;"'!D"&amp;ROW())),""))</f>
        <v/>
      </c>
      <c r="F53" s="33"/>
      <c r="G53" s="34"/>
      <c r="H53" s="32" t="n">
        <v>30</v>
      </c>
      <c r="I53" s="32" t="str">
        <f aca="true">IF($H53="","",IFERROR(IF(ISBLANK(INDIRECT("'"&amp;$Q$2&amp;"'!H"&amp;ROW())),"",INDIRECT("'"&amp;$Q$2&amp;"'!H"&amp;ROW())),""))</f>
        <v/>
      </c>
      <c r="J53" s="33"/>
      <c r="K53" s="34"/>
      <c r="L53" s="32" t="n">
        <f aca="false">IFERROR(D53/C53,"")</f>
        <v>269.131147540984</v>
      </c>
      <c r="M53" s="32" t="n">
        <f aca="false">IFERROR(H53/D53*1000,"")</f>
        <v>0.609124687823598</v>
      </c>
      <c r="N53" s="32" t="n">
        <v>4826</v>
      </c>
      <c r="O53" s="33" t="n">
        <v>-19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str">
        <f aca="true">IFERROR(IF(ISBLANK(INDIRECT("'"&amp;$Q$2&amp;"'!O"&amp;ROW())),"",INDIRECT("'"&amp;$Q$2&amp;"'!O"&amp;ROW())),"")</f>
        <v/>
      </c>
      <c r="X53" s="17" t="str">
        <f aca="false">IF(OR($O53="",$W53=""),"",$O53-$W53)</f>
        <v/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87</v>
      </c>
      <c r="D54" s="32" t="n">
        <v>2006</v>
      </c>
      <c r="E54" s="32" t="str">
        <f aca="true">IF($D54="","",IFERROR(IF(ISBLANK(INDIRECT("'"&amp;$Q$2&amp;"'!D"&amp;ROW())),"",INDIRECT("'"&amp;$Q$2&amp;"'!D"&amp;ROW())),""))</f>
        <v/>
      </c>
      <c r="F54" s="33"/>
      <c r="G54" s="34"/>
      <c r="H54" s="32" t="n">
        <v>6</v>
      </c>
      <c r="I54" s="32" t="str">
        <f aca="true">IF($H54="","",IFERROR(IF(ISBLANK(INDIRECT("'"&amp;$Q$2&amp;"'!H"&amp;ROW())),"",INDIRECT("'"&amp;$Q$2&amp;"'!H"&amp;ROW())),""))</f>
        <v/>
      </c>
      <c r="J54" s="33"/>
      <c r="K54" s="34"/>
      <c r="L54" s="32" t="n">
        <f aca="false">IFERROR(D54/C54,"")</f>
        <v>23.0574712643678</v>
      </c>
      <c r="M54" s="32" t="n">
        <f aca="false">IFERROR(H54/D54*1000,"")</f>
        <v>2.99102691924227</v>
      </c>
      <c r="N54" s="32" t="n">
        <v>872</v>
      </c>
      <c r="O54" s="33" t="n">
        <v>-3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str">
        <f aca="true">IFERROR(IF(ISBLANK(INDIRECT("'"&amp;$Q$2&amp;"'!O"&amp;ROW())),"",INDIRECT("'"&amp;$Q$2&amp;"'!O"&amp;ROW())),"")</f>
        <v/>
      </c>
      <c r="X54" s="17" t="str">
        <f aca="false">IF(OR($O54="",$W54=""),"",$O54-$W54)</f>
        <v/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23655</v>
      </c>
      <c r="E55" s="32" t="str">
        <f aca="true">IF($D55="","",IFERROR(IF(ISBLANK(INDIRECT("'"&amp;$Q$2&amp;"'!D"&amp;ROW())),"",INDIRECT("'"&amp;$Q$2&amp;"'!D"&amp;ROW())),""))</f>
        <v/>
      </c>
      <c r="F55" s="33"/>
      <c r="G55" s="34"/>
      <c r="H55" s="32" t="n">
        <v>22</v>
      </c>
      <c r="I55" s="32" t="str">
        <f aca="true">IF($H55="","",IFERROR(IF(ISBLANK(INDIRECT("'"&amp;$Q$2&amp;"'!H"&amp;ROW())),"",INDIRECT("'"&amp;$Q$2&amp;"'!H"&amp;ROW())),""))</f>
        <v/>
      </c>
      <c r="J55" s="33"/>
      <c r="K55" s="34"/>
      <c r="L55" s="32" t="n">
        <f aca="false">IFERROR(D55/C55,"")</f>
        <v>2956.875</v>
      </c>
      <c r="M55" s="32" t="n">
        <f aca="false">IFERROR(H55/D55*1000,"")</f>
        <v>0.93003593320651</v>
      </c>
      <c r="N55" s="32" t="n">
        <v>13886</v>
      </c>
      <c r="O55" s="33" t="n">
        <v>-175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str">
        <f aca="true">IFERROR(IF(ISBLANK(INDIRECT("'"&amp;$Q$2&amp;"'!O"&amp;ROW())),"",INDIRECT("'"&amp;$Q$2&amp;"'!O"&amp;ROW())),"")</f>
        <v/>
      </c>
      <c r="X55" s="17" t="str">
        <f aca="false">IF(OR($O55="",$W55=""),"",$O55-$W55)</f>
        <v/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400</v>
      </c>
      <c r="E56" s="32" t="str">
        <f aca="true">IF($D56="","",IFERROR(IF(ISBLANK(INDIRECT("'"&amp;$Q$2&amp;"'!D"&amp;ROW())),"",INDIRECT("'"&amp;$Q$2&amp;"'!D"&amp;ROW())),""))</f>
        <v/>
      </c>
      <c r="F56" s="33"/>
      <c r="G56" s="34"/>
      <c r="H56" s="32" t="n">
        <v>3</v>
      </c>
      <c r="I56" s="32" t="str">
        <f aca="true">IF($H56="","",IFERROR(IF(ISBLANK(INDIRECT("'"&amp;$Q$2&amp;"'!H"&amp;ROW())),"",INDIRECT("'"&amp;$Q$2&amp;"'!H"&amp;ROW())),""))</f>
        <v/>
      </c>
      <c r="J56" s="33"/>
      <c r="K56" s="34"/>
      <c r="L56" s="32" t="n">
        <f aca="false">IFERROR(D56/C56,"")</f>
        <v>57.1428571428571</v>
      </c>
      <c r="M56" s="32" t="n">
        <f aca="false">IFERROR(H56/D56*1000,"")</f>
        <v>7.5</v>
      </c>
      <c r="N56" s="32" t="n">
        <v>8685</v>
      </c>
      <c r="O56" s="33" t="n">
        <v>-83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str">
        <f aca="true">IFERROR(IF(ISBLANK(INDIRECT("'"&amp;$Q$2&amp;"'!O"&amp;ROW())),"",INDIRECT("'"&amp;$Q$2&amp;"'!O"&amp;ROW())),"")</f>
        <v/>
      </c>
      <c r="X56" s="17" t="str">
        <f aca="false">IF(OR($O56="",$W56=""),"",$O56-$W56)</f>
        <v/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100</v>
      </c>
      <c r="D57" s="32" t="n">
        <v>64144</v>
      </c>
      <c r="E57" s="32" t="str">
        <f aca="true">IF($D57="","",IFERROR(IF(ISBLANK(INDIRECT("'"&amp;$Q$2&amp;"'!D"&amp;ROW())),"",INDIRECT("'"&amp;$Q$2&amp;"'!D"&amp;ROW())),""))</f>
        <v/>
      </c>
      <c r="F57" s="33"/>
      <c r="G57" s="34"/>
      <c r="H57" s="32" t="n">
        <v>273</v>
      </c>
      <c r="I57" s="32" t="str">
        <f aca="true">IF($H57="","",IFERROR(IF(ISBLANK(INDIRECT("'"&amp;$Q$2&amp;"'!H"&amp;ROW())),"",INDIRECT("'"&amp;$Q$2&amp;"'!H"&amp;ROW())),""))</f>
        <v/>
      </c>
      <c r="J57" s="33"/>
      <c r="K57" s="34"/>
      <c r="L57" s="32" t="n">
        <f aca="false">IFERROR(D57/C57,"")</f>
        <v>641.44</v>
      </c>
      <c r="M57" s="32" t="n">
        <f aca="false">IFERROR(H57/D57*1000,"")</f>
        <v>4.25604888999751</v>
      </c>
      <c r="N57" s="32" t="n">
        <v>10863</v>
      </c>
      <c r="O57" s="33" t="n">
        <v>-35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str">
        <f aca="true">IFERROR(IF(ISBLANK(INDIRECT("'"&amp;$Q$2&amp;"'!O"&amp;ROW())),"",INDIRECT("'"&amp;$Q$2&amp;"'!O"&amp;ROW())),"")</f>
        <v/>
      </c>
      <c r="X57" s="17" t="str">
        <f aca="false">IF(OR($O57="",$W57=""),"",$O57-$W57)</f>
        <v/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101</v>
      </c>
      <c r="D58" s="32" t="n">
        <v>22193</v>
      </c>
      <c r="E58" s="32" t="str">
        <f aca="true">IF($D58="","",IFERROR(IF(ISBLANK(INDIRECT("'"&amp;$Q$2&amp;"'!D"&amp;ROW())),"",INDIRECT("'"&amp;$Q$2&amp;"'!D"&amp;ROW())),""))</f>
        <v/>
      </c>
      <c r="F58" s="33"/>
      <c r="G58" s="34"/>
      <c r="H58" s="32" t="n">
        <v>271</v>
      </c>
      <c r="I58" s="32" t="str">
        <f aca="true">IF($H58="","",IFERROR(IF(ISBLANK(INDIRECT("'"&amp;$Q$2&amp;"'!H"&amp;ROW())),"",INDIRECT("'"&amp;$Q$2&amp;"'!H"&amp;ROW())),""))</f>
        <v/>
      </c>
      <c r="J58" s="33"/>
      <c r="K58" s="34"/>
      <c r="L58" s="32" t="n">
        <f aca="false">IFERROR(D58/C58,"")</f>
        <v>219.732673267327</v>
      </c>
      <c r="M58" s="32" t="n">
        <f aca="false">IFERROR(H58/D58*1000,"")</f>
        <v>12.211057540666</v>
      </c>
      <c r="N58" s="32" t="n">
        <v>4149</v>
      </c>
      <c r="O58" s="33" t="n">
        <v>-33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str">
        <f aca="true">IFERROR(IF(ISBLANK(INDIRECT("'"&amp;$Q$2&amp;"'!O"&amp;ROW())),"",INDIRECT("'"&amp;$Q$2&amp;"'!O"&amp;ROW())),"")</f>
        <v/>
      </c>
      <c r="X58" s="17" t="str">
        <f aca="false">IF(OR($O58="",$W58=""),"",$O58-$W58)</f>
        <v/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87</v>
      </c>
      <c r="D59" s="32" t="n">
        <v>30533</v>
      </c>
      <c r="E59" s="32" t="str">
        <f aca="true">IF($D59="","",IFERROR(IF(ISBLANK(INDIRECT("'"&amp;$Q$2&amp;"'!D"&amp;ROW())),"",INDIRECT("'"&amp;$Q$2&amp;"'!D"&amp;ROW())),""))</f>
        <v/>
      </c>
      <c r="F59" s="33"/>
      <c r="G59" s="34"/>
      <c r="H59" s="32" t="n">
        <v>190</v>
      </c>
      <c r="I59" s="32" t="str">
        <f aca="true">IF($H59="","",IFERROR(IF(ISBLANK(INDIRECT("'"&amp;$Q$2&amp;"'!H"&amp;ROW())),"",INDIRECT("'"&amp;$Q$2&amp;"'!H"&amp;ROW())),""))</f>
        <v/>
      </c>
      <c r="J59" s="33"/>
      <c r="K59" s="34"/>
      <c r="L59" s="32" t="n">
        <f aca="false">IFERROR(D59/C59,"")</f>
        <v>350.954022988506</v>
      </c>
      <c r="M59" s="32" t="n">
        <f aca="false">IFERROR(H59/D59*1000,"")</f>
        <v>6.22277535780958</v>
      </c>
      <c r="N59" s="32" t="n">
        <v>5551</v>
      </c>
      <c r="O59" s="33" t="n">
        <v>-42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str">
        <f aca="true">IFERROR(IF(ISBLANK(INDIRECT("'"&amp;$Q$2&amp;"'!O"&amp;ROW())),"",INDIRECT("'"&amp;$Q$2&amp;"'!O"&amp;ROW())),"")</f>
        <v/>
      </c>
      <c r="X59" s="17" t="str">
        <f aca="false">IF(OR($O59="",$W59=""),"",$O59-$W59)</f>
        <v/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97</v>
      </c>
      <c r="D60" s="32" t="n">
        <v>48843</v>
      </c>
      <c r="E60" s="32" t="str">
        <f aca="true">IF($D60="","",IFERROR(IF(ISBLANK(INDIRECT("'"&amp;$Q$2&amp;"'!D"&amp;ROW())),"",INDIRECT("'"&amp;$Q$2&amp;"'!D"&amp;ROW())),""))</f>
        <v/>
      </c>
      <c r="F60" s="33"/>
      <c r="G60" s="34"/>
      <c r="H60" s="32" t="n">
        <v>202</v>
      </c>
      <c r="I60" s="32" t="str">
        <f aca="true">IF($H60="","",IFERROR(IF(ISBLANK(INDIRECT("'"&amp;$Q$2&amp;"'!H"&amp;ROW())),"",INDIRECT("'"&amp;$Q$2&amp;"'!H"&amp;ROW())),""))</f>
        <v/>
      </c>
      <c r="J60" s="33"/>
      <c r="K60" s="34"/>
      <c r="L60" s="32" t="n">
        <f aca="false">IFERROR(D60/C60,"")</f>
        <v>503.536082474227</v>
      </c>
      <c r="M60" s="32" t="n">
        <f aca="false">IFERROR(H60/D60*1000,"")</f>
        <v>4.13570010032144</v>
      </c>
      <c r="N60" s="32" t="n">
        <v>10486</v>
      </c>
      <c r="O60" s="33" t="n">
        <v>-42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str">
        <f aca="true">IFERROR(IF(ISBLANK(INDIRECT("'"&amp;$Q$2&amp;"'!O"&amp;ROW())),"",INDIRECT("'"&amp;$Q$2&amp;"'!O"&amp;ROW())),"")</f>
        <v/>
      </c>
      <c r="X60" s="17" t="str">
        <f aca="false">IF(OR($O60="",$W60=""),"",$O60-$W60)</f>
        <v/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95</v>
      </c>
      <c r="D61" s="32" t="n">
        <v>13697</v>
      </c>
      <c r="E61" s="32" t="str">
        <f aca="true">IF($D61="","",IFERROR(IF(ISBLANK(INDIRECT("'"&amp;$Q$2&amp;"'!D"&amp;ROW())),"",INDIRECT("'"&amp;$Q$2&amp;"'!D"&amp;ROW())),""))</f>
        <v/>
      </c>
      <c r="F61" s="33"/>
      <c r="G61" s="34"/>
      <c r="H61" s="32" t="n">
        <v>21</v>
      </c>
      <c r="I61" s="32" t="str">
        <f aca="true">IF($H61="","",IFERROR(IF(ISBLANK(INDIRECT("'"&amp;$Q$2&amp;"'!H"&amp;ROW())),"",INDIRECT("'"&amp;$Q$2&amp;"'!H"&amp;ROW())),""))</f>
        <v/>
      </c>
      <c r="J61" s="33"/>
      <c r="K61" s="34"/>
      <c r="L61" s="32" t="n">
        <f aca="false">IFERROR(D61/C61,"")</f>
        <v>144.178947368421</v>
      </c>
      <c r="M61" s="32" t="n">
        <f aca="false">IFERROR(H61/D61*1000,"")</f>
        <v>1.5331824487114</v>
      </c>
      <c r="N61" s="32" t="n">
        <v>2319</v>
      </c>
      <c r="O61" s="33" t="n">
        <v>-22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str">
        <f aca="true">IFERROR(IF(ISBLANK(INDIRECT("'"&amp;$Q$2&amp;"'!O"&amp;ROW())),"",INDIRECT("'"&amp;$Q$2&amp;"'!O"&amp;ROW())),"")</f>
        <v/>
      </c>
      <c r="X61" s="17" t="str">
        <f aca="false">IF(OR($O61="",$W61=""),"",$O61-$W61)</f>
        <v/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61</v>
      </c>
      <c r="D62" s="32" t="n">
        <v>4841</v>
      </c>
      <c r="E62" s="32" t="str">
        <f aca="true">IF($D62="","",IFERROR(IF(ISBLANK(INDIRECT("'"&amp;$Q$2&amp;"'!D"&amp;ROW())),"",INDIRECT("'"&amp;$Q$2&amp;"'!D"&amp;ROW())),""))</f>
        <v/>
      </c>
      <c r="F62" s="33"/>
      <c r="G62" s="34"/>
      <c r="H62" s="32" t="n">
        <v>42</v>
      </c>
      <c r="I62" s="32" t="str">
        <f aca="true">IF($H62="","",IFERROR(IF(ISBLANK(INDIRECT("'"&amp;$Q$2&amp;"'!H"&amp;ROW())),"",INDIRECT("'"&amp;$Q$2&amp;"'!H"&amp;ROW())),""))</f>
        <v/>
      </c>
      <c r="J62" s="33"/>
      <c r="K62" s="34"/>
      <c r="L62" s="32" t="n">
        <f aca="false">IFERROR(D62/C62,"")</f>
        <v>79.3606557377049</v>
      </c>
      <c r="M62" s="32" t="n">
        <f aca="false">IFERROR(H62/D62*1000,"")</f>
        <v>8.67589341045239</v>
      </c>
      <c r="N62" s="32" t="n">
        <v>1381</v>
      </c>
      <c r="O62" s="33" t="n">
        <v>-9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str">
        <f aca="true">IFERROR(IF(ISBLANK(INDIRECT("'"&amp;$Q$2&amp;"'!O"&amp;ROW())),"",INDIRECT("'"&amp;$Q$2&amp;"'!O"&amp;ROW())),"")</f>
        <v/>
      </c>
      <c r="X62" s="17" t="str">
        <f aca="false">IF(OR($O62="",$W62=""),"",$O62-$W62)</f>
        <v/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19888</v>
      </c>
      <c r="E63" s="32" t="str">
        <f aca="true">IF($D63="","",IFERROR(IF(ISBLANK(INDIRECT("'"&amp;$Q$2&amp;"'!D"&amp;ROW())),"",INDIRECT("'"&amp;$Q$2&amp;"'!D"&amp;ROW())),""))</f>
        <v/>
      </c>
      <c r="F63" s="33"/>
      <c r="G63" s="34"/>
      <c r="H63" s="32" t="n">
        <v>82</v>
      </c>
      <c r="I63" s="32" t="str">
        <f aca="true">IF($H63="","",IFERROR(IF(ISBLANK(INDIRECT("'"&amp;$Q$2&amp;"'!H"&amp;ROW())),"",INDIRECT("'"&amp;$Q$2&amp;"'!H"&amp;ROW())),""))</f>
        <v/>
      </c>
      <c r="J63" s="33"/>
      <c r="K63" s="34"/>
      <c r="L63" s="32" t="n">
        <f aca="false">IFERROR(D63/C63,"")</f>
        <v>375.245283018868</v>
      </c>
      <c r="M63" s="32" t="n">
        <f aca="false">IFERROR(H63/D63*1000,"")</f>
        <v>4.12308930008045</v>
      </c>
      <c r="N63" s="32" t="n">
        <v>5686</v>
      </c>
      <c r="O63" s="33" t="n">
        <v>-75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str">
        <f aca="true">IFERROR(IF(ISBLANK(INDIRECT("'"&amp;$Q$2&amp;"'!O"&amp;ROW())),"",INDIRECT("'"&amp;$Q$2&amp;"'!O"&amp;ROW())),"")</f>
        <v/>
      </c>
      <c r="X63" s="17" t="str">
        <f aca="false">IF(OR($O63="",$W63=""),"",$O63-$W63)</f>
        <v/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47</v>
      </c>
      <c r="D64" s="32" t="n">
        <v>4988</v>
      </c>
      <c r="E64" s="32" t="str">
        <f aca="true">IF($D64="","",IFERROR(IF(ISBLANK(INDIRECT("'"&amp;$Q$2&amp;"'!D"&amp;ROW())),"",INDIRECT("'"&amp;$Q$2&amp;"'!D"&amp;ROW())),""))</f>
        <v/>
      </c>
      <c r="F64" s="33"/>
      <c r="G64" s="34"/>
      <c r="H64" s="32" t="n">
        <v>11</v>
      </c>
      <c r="I64" s="32" t="str">
        <f aca="true">IF($H64="","",IFERROR(IF(ISBLANK(INDIRECT("'"&amp;$Q$2&amp;"'!H"&amp;ROW())),"",INDIRECT("'"&amp;$Q$2&amp;"'!H"&amp;ROW())),""))</f>
        <v/>
      </c>
      <c r="J64" s="33"/>
      <c r="K64" s="34"/>
      <c r="L64" s="32" t="n">
        <f aca="false">IFERROR(D64/C64,"")</f>
        <v>106.127659574468</v>
      </c>
      <c r="M64" s="32" t="n">
        <f aca="false">IFERROR(H64/D64*1000,"")</f>
        <v>2.20529270248597</v>
      </c>
      <c r="N64" s="32" t="n">
        <v>1828</v>
      </c>
      <c r="O64" s="33" t="n">
        <v>-22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str">
        <f aca="true">IFERROR(IF(ISBLANK(INDIRECT("'"&amp;$Q$2&amp;"'!O"&amp;ROW())),"",INDIRECT("'"&amp;$Q$2&amp;"'!O"&amp;ROW())),"")</f>
        <v/>
      </c>
      <c r="X64" s="17" t="str">
        <f aca="false">IF(OR($O64="",$W64=""),"",$O64-$W64)</f>
        <v/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32</v>
      </c>
      <c r="D65" s="32" t="n">
        <v>2643</v>
      </c>
      <c r="E65" s="32" t="str">
        <f aca="true">IF($D65="","",IFERROR(IF(ISBLANK(INDIRECT("'"&amp;$Q$2&amp;"'!D"&amp;ROW())),"",INDIRECT("'"&amp;$Q$2&amp;"'!D"&amp;ROW())),""))</f>
        <v/>
      </c>
      <c r="F65" s="33"/>
      <c r="G65" s="34"/>
      <c r="H65" s="32" t="n">
        <v>17</v>
      </c>
      <c r="I65" s="32" t="str">
        <f aca="true">IF($H65="","",IFERROR(IF(ISBLANK(INDIRECT("'"&amp;$Q$2&amp;"'!H"&amp;ROW())),"",INDIRECT("'"&amp;$Q$2&amp;"'!H"&amp;ROW())),""))</f>
        <v/>
      </c>
      <c r="J65" s="33"/>
      <c r="K65" s="34"/>
      <c r="L65" s="32" t="n">
        <f aca="false">IFERROR(D65/C65,"")</f>
        <v>82.59375</v>
      </c>
      <c r="M65" s="32" t="n">
        <f aca="false">IFERROR(H65/D65*1000,"")</f>
        <v>6.43208475217556</v>
      </c>
      <c r="N65" s="32" t="n">
        <v>875</v>
      </c>
      <c r="O65" s="33" t="n">
        <v>-8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str">
        <f aca="true">IFERROR(IF(ISBLANK(INDIRECT("'"&amp;$Q$2&amp;"'!O"&amp;ROW())),"",INDIRECT("'"&amp;$Q$2&amp;"'!O"&amp;ROW())),"")</f>
        <v/>
      </c>
      <c r="X65" s="17" t="str">
        <f aca="false">IF(OR($O65="",$W65=""),"",$O65-$W65)</f>
        <v/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52</v>
      </c>
      <c r="D66" s="32" t="n">
        <v>3485</v>
      </c>
      <c r="E66" s="32" t="str">
        <f aca="true">IF($D66="","",IFERROR(IF(ISBLANK(INDIRECT("'"&amp;$Q$2&amp;"'!D"&amp;ROW())),"",INDIRECT("'"&amp;$Q$2&amp;"'!D"&amp;ROW())),""))</f>
        <v/>
      </c>
      <c r="F66" s="33"/>
      <c r="G66" s="34"/>
      <c r="H66" s="32" t="n">
        <v>5</v>
      </c>
      <c r="I66" s="32" t="str">
        <f aca="true">IF($H66="","",IFERROR(IF(ISBLANK(INDIRECT("'"&amp;$Q$2&amp;"'!H"&amp;ROW())),"",INDIRECT("'"&amp;$Q$2&amp;"'!H"&amp;ROW())),""))</f>
        <v/>
      </c>
      <c r="J66" s="33"/>
      <c r="K66" s="34"/>
      <c r="L66" s="32" t="n">
        <f aca="false">IFERROR(D66/C66,"")</f>
        <v>67.0192307692308</v>
      </c>
      <c r="M66" s="32" t="n">
        <f aca="false">IFERROR(H66/D66*1000,"")</f>
        <v>1.43472022955524</v>
      </c>
      <c r="N66" s="32" t="n">
        <v>863</v>
      </c>
      <c r="O66" s="33" t="n">
        <v>-17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str">
        <f aca="true">IFERROR(IF(ISBLANK(INDIRECT("'"&amp;$Q$2&amp;"'!O"&amp;ROW())),"",INDIRECT("'"&amp;$Q$2&amp;"'!O"&amp;ROW())),"")</f>
        <v/>
      </c>
      <c r="X66" s="17" t="str">
        <f aca="false">IF(OR($O66="",$W66=""),"",$O66-$W66)</f>
        <v/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54</v>
      </c>
      <c r="D67" s="32" t="n">
        <v>6149</v>
      </c>
      <c r="E67" s="32" t="str">
        <f aca="true">IF($D67="","",IFERROR(IF(ISBLANK(INDIRECT("'"&amp;$Q$2&amp;"'!D"&amp;ROW())),"",INDIRECT("'"&amp;$Q$2&amp;"'!D"&amp;ROW())),""))</f>
        <v/>
      </c>
      <c r="F67" s="33"/>
      <c r="G67" s="34"/>
      <c r="H67" s="32" t="n">
        <v>34</v>
      </c>
      <c r="I67" s="32" t="str">
        <f aca="true">IF($H67="","",IFERROR(IF(ISBLANK(INDIRECT("'"&amp;$Q$2&amp;"'!H"&amp;ROW())),"",INDIRECT("'"&amp;$Q$2&amp;"'!H"&amp;ROW())),""))</f>
        <v/>
      </c>
      <c r="J67" s="33"/>
      <c r="K67" s="34"/>
      <c r="L67" s="32" t="n">
        <f aca="false">IFERROR(D67/C67,"")</f>
        <v>113.87037037037</v>
      </c>
      <c r="M67" s="32" t="n">
        <f aca="false">IFERROR(H67/D67*1000,"")</f>
        <v>5.52935436656367</v>
      </c>
      <c r="N67" s="32" t="n">
        <v>1179</v>
      </c>
      <c r="O67" s="33"/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19814</v>
      </c>
      <c r="E68" s="32" t="str">
        <f aca="true">IF($D68="","",IFERROR(IF(ISBLANK(INDIRECT("'"&amp;$Q$2&amp;"'!D"&amp;ROW())),"",INDIRECT("'"&amp;$Q$2&amp;"'!D"&amp;ROW())),""))</f>
        <v/>
      </c>
      <c r="F68" s="33"/>
      <c r="G68" s="34"/>
      <c r="H68" s="32" t="n">
        <v>71</v>
      </c>
      <c r="I68" s="32" t="str">
        <f aca="true">IF($H68="","",IFERROR(IF(ISBLANK(INDIRECT("'"&amp;$Q$2&amp;"'!H"&amp;ROW())),"",INDIRECT("'"&amp;$Q$2&amp;"'!H"&amp;ROW())),""))</f>
        <v/>
      </c>
      <c r="J68" s="33"/>
      <c r="K68" s="34"/>
      <c r="L68" s="32" t="n">
        <f aca="false">IFERROR(D68/C68,"")</f>
        <v>304.830769230769</v>
      </c>
      <c r="M68" s="32" t="n">
        <f aca="false">IFERROR(H68/D68*1000,"")</f>
        <v>3.58332492177248</v>
      </c>
      <c r="N68" s="32" t="n">
        <v>4425</v>
      </c>
      <c r="O68" s="33" t="n">
        <v>-46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str">
        <f aca="true">IFERROR(IF(ISBLANK(INDIRECT("'"&amp;$Q$2&amp;"'!O"&amp;ROW())),"",INDIRECT("'"&amp;$Q$2&amp;"'!O"&amp;ROW())),"")</f>
        <v/>
      </c>
      <c r="X68" s="17" t="str">
        <f aca="false">IF(OR($O68="",$W68=""),"",$O68-$W68)</f>
        <v/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116</v>
      </c>
      <c r="D69" s="32" t="n">
        <v>55540</v>
      </c>
      <c r="E69" s="32" t="str">
        <f aca="true">IF($D69="","",IFERROR(IF(ISBLANK(INDIRECT("'"&amp;$Q$2&amp;"'!D"&amp;ROW())),"",INDIRECT("'"&amp;$Q$2&amp;"'!D"&amp;ROW())),""))</f>
        <v/>
      </c>
      <c r="F69" s="33"/>
      <c r="G69" s="34"/>
      <c r="H69" s="32" t="n">
        <v>432</v>
      </c>
      <c r="I69" s="32" t="str">
        <f aca="true">IF($H69="","",IFERROR(IF(ISBLANK(INDIRECT("'"&amp;$Q$2&amp;"'!H"&amp;ROW())),"",INDIRECT("'"&amp;$Q$2&amp;"'!H"&amp;ROW())),""))</f>
        <v/>
      </c>
      <c r="J69" s="33"/>
      <c r="K69" s="34"/>
      <c r="L69" s="32" t="n">
        <f aca="false">IFERROR(D69/C69,"")</f>
        <v>478.793103448276</v>
      </c>
      <c r="M69" s="32" t="n">
        <f aca="false">IFERROR(H69/D69*1000,"")</f>
        <v>7.77817788980915</v>
      </c>
      <c r="N69" s="32" t="n">
        <v>5570</v>
      </c>
      <c r="O69" s="33" t="n">
        <v>-122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str">
        <f aca="true">IFERROR(IF(ISBLANK(INDIRECT("'"&amp;$Q$2&amp;"'!O"&amp;ROW())),"",INDIRECT("'"&amp;$Q$2&amp;"'!O"&amp;ROW())),"")</f>
        <v/>
      </c>
      <c r="X69" s="17" t="str">
        <f aca="false">IF(OR($O69="",$W69=""),"",$O69-$W69)</f>
        <v/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232</v>
      </c>
      <c r="D70" s="32" t="n">
        <v>3586</v>
      </c>
      <c r="E70" s="32" t="str">
        <f aca="true">IF($D70="","",IFERROR(IF(ISBLANK(INDIRECT("'"&amp;$Q$2&amp;"'!D"&amp;ROW())),"",INDIRECT("'"&amp;$Q$2&amp;"'!D"&amp;ROW())),""))</f>
        <v/>
      </c>
      <c r="F70" s="33"/>
      <c r="G70" s="34"/>
      <c r="H70" s="32" t="n">
        <v>2</v>
      </c>
      <c r="I70" s="32" t="str">
        <f aca="true">IF($H70="","",IFERROR(IF(ISBLANK(INDIRECT("'"&amp;$Q$2&amp;"'!H"&amp;ROW())),"",INDIRECT("'"&amp;$Q$2&amp;"'!H"&amp;ROW())),""))</f>
        <v/>
      </c>
      <c r="J70" s="33"/>
      <c r="K70" s="34"/>
      <c r="L70" s="32" t="n">
        <f aca="false">IFERROR(D70/C70,"")</f>
        <v>15.4568965517241</v>
      </c>
      <c r="M70" s="32" t="n">
        <f aca="false">IFERROR(H70/D70*1000,"")</f>
        <v>0.557724484104852</v>
      </c>
      <c r="N70" s="32" t="n">
        <v>694</v>
      </c>
      <c r="O70" s="33" t="n">
        <v>-3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str">
        <f aca="true">IFERROR(IF(ISBLANK(INDIRECT("'"&amp;$Q$2&amp;"'!O"&amp;ROW())),"",INDIRECT("'"&amp;$Q$2&amp;"'!O"&amp;ROW())),"")</f>
        <v/>
      </c>
      <c r="X70" s="17" t="str">
        <f aca="false">IF(OR($O70="",$W70=""),"",$O70-$W70)</f>
        <v/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7230</v>
      </c>
      <c r="E71" s="32" t="str">
        <f aca="true">IF($D71="","",IFERROR(IF(ISBLANK(INDIRECT("'"&amp;$Q$2&amp;"'!D"&amp;ROW())),"",INDIRECT("'"&amp;$Q$2&amp;"'!D"&amp;ROW())),""))</f>
        <v/>
      </c>
      <c r="F71" s="33"/>
      <c r="G71" s="34"/>
      <c r="H71" s="32" t="n">
        <v>540</v>
      </c>
      <c r="I71" s="32" t="str">
        <f aca="true">IF($H71="","",IFERROR(IF(ISBLANK(INDIRECT("'"&amp;$Q$2&amp;"'!H"&amp;ROW())),"",INDIRECT("'"&amp;$Q$2&amp;"'!H"&amp;ROW())),""))</f>
        <v/>
      </c>
      <c r="J71" s="33"/>
      <c r="K71" s="34"/>
      <c r="L71" s="32" t="n">
        <f aca="false">IFERROR(D71/C71,"")</f>
        <v>344.285714285714</v>
      </c>
      <c r="M71" s="32" t="n">
        <f aca="false">IFERROR(H71/D71*1000,"")</f>
        <v>74.6887966804979</v>
      </c>
      <c r="N71" s="32" t="n">
        <v>2506</v>
      </c>
      <c r="O71" s="33" t="n">
        <v>2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str">
        <f aca="true">IFERROR(IF(ISBLANK(INDIRECT("'"&amp;$Q$2&amp;"'!O"&amp;ROW())),"",INDIRECT("'"&amp;$Q$2&amp;"'!O"&amp;ROW())),"")</f>
        <v/>
      </c>
      <c r="X71" s="17" t="str">
        <f aca="false">IF(OR($O71="",$W71=""),"",$O71-$W71)</f>
        <v/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164</v>
      </c>
      <c r="E72" s="32" t="str">
        <f aca="true">IF($D72="","",IFERROR(IF(ISBLANK(INDIRECT("'"&amp;$Q$2&amp;"'!D"&amp;ROW())),"",INDIRECT("'"&amp;$Q$2&amp;"'!D"&amp;ROW())),""))</f>
        <v/>
      </c>
      <c r="F72" s="33"/>
      <c r="G72" s="34"/>
      <c r="H72" s="32" t="n">
        <v>24</v>
      </c>
      <c r="I72" s="32" t="str">
        <f aca="true">IF($H72="","",IFERROR(IF(ISBLANK(INDIRECT("'"&amp;$Q$2&amp;"'!H"&amp;ROW())),"",INDIRECT("'"&amp;$Q$2&amp;"'!H"&amp;ROW())),""))</f>
        <v/>
      </c>
      <c r="J72" s="33"/>
      <c r="K72" s="34"/>
      <c r="L72" s="32" t="n">
        <f aca="false">IFERROR(D72/C72,"")</f>
        <v>23.4285714285714</v>
      </c>
      <c r="M72" s="32" t="n">
        <f aca="false">IFERROR(H72/D72*1000,"")</f>
        <v>146.341463414634</v>
      </c>
      <c r="N72" s="32" t="n">
        <v>172</v>
      </c>
      <c r="O72" s="33" t="n">
        <v>2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str">
        <f aca="true">IFERROR(IF(ISBLANK(INDIRECT("'"&amp;$Q$2&amp;"'!O"&amp;ROW())),"",INDIRECT("'"&amp;$Q$2&amp;"'!O"&amp;ROW())),"")</f>
        <v/>
      </c>
      <c r="X72" s="17" t="str">
        <f aca="false">IF(OR($O72="",$W72=""),"",$O72-$W72)</f>
        <v/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5</v>
      </c>
      <c r="D73" s="32" t="n">
        <v>1147</v>
      </c>
      <c r="E73" s="32" t="str">
        <f aca="true">IF($D73="","",IFERROR(IF(ISBLANK(INDIRECT("'"&amp;$Q$2&amp;"'!D"&amp;ROW())),"",INDIRECT("'"&amp;$Q$2&amp;"'!D"&amp;ROW())),""))</f>
        <v/>
      </c>
      <c r="F73" s="33"/>
      <c r="G73" s="34"/>
      <c r="H73" s="32" t="n">
        <v>36</v>
      </c>
      <c r="I73" s="32" t="str">
        <f aca="true">IF($H73="","",IFERROR(IF(ISBLANK(INDIRECT("'"&amp;$Q$2&amp;"'!H"&amp;ROW())),"",INDIRECT("'"&amp;$Q$2&amp;"'!H"&amp;ROW())),""))</f>
        <v/>
      </c>
      <c r="J73" s="33"/>
      <c r="K73" s="34"/>
      <c r="L73" s="32" t="n">
        <f aca="false">IFERROR(D73/C73,"")</f>
        <v>229.4</v>
      </c>
      <c r="M73" s="32" t="n">
        <f aca="false">IFERROR(H73/D73*1000,"")</f>
        <v>31.386224934612</v>
      </c>
      <c r="N73" s="32" t="n">
        <v>49</v>
      </c>
      <c r="O73" s="33"/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1654</v>
      </c>
      <c r="D74" s="36" t="n">
        <f aca="false">SUM(D52:D73)</f>
        <v>423190</v>
      </c>
      <c r="E74" s="36" t="n">
        <f aca="false">SUM(E52:E73)</f>
        <v>0</v>
      </c>
      <c r="F74" s="37" t="n">
        <f aca="false">SUM(F52:F73)</f>
        <v>0</v>
      </c>
      <c r="G74" s="38" t="str">
        <f aca="false">IF(C74=0,"",IFERROR(F74/E74,""))</f>
        <v/>
      </c>
      <c r="H74" s="36" t="n">
        <f aca="false">SUM(H52:H73)</f>
        <v>2490</v>
      </c>
      <c r="I74" s="36" t="n">
        <f aca="false">SUM(I52:I73)</f>
        <v>0</v>
      </c>
      <c r="J74" s="37" t="n">
        <f aca="false">SUM(J52:J73)</f>
        <v>0</v>
      </c>
      <c r="K74" s="38" t="str">
        <f aca="false">IF(C74=0,"",IFERROR(J74/I74,""))</f>
        <v/>
      </c>
      <c r="L74" s="36" t="n">
        <f aca="false">IFERROR(D74/C74,"")</f>
        <v>255.858524788392</v>
      </c>
      <c r="M74" s="36" t="n">
        <f aca="false">IFERROR(H74/D74*1000,"")</f>
        <v>5.88388194428035</v>
      </c>
      <c r="N74" s="36" t="n">
        <f aca="false">SUM(N52:N73)</f>
        <v>98708</v>
      </c>
      <c r="O74" s="37" t="n">
        <f aca="false">SUM(O52:O73)</f>
        <v>-744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str">
        <f aca="true">IFERROR(IF(ISBLANK(INDIRECT("'"&amp;$Q$2&amp;"'!O"&amp;ROW())),"",INDIRECT("'"&amp;$Q$2&amp;"'!O"&amp;ROW())),"")</f>
        <v/>
      </c>
      <c r="X74" s="25" t="str">
        <f aca="false">IF(OR(C74=0,$O74="",$W74=""),"",$O74-$W74)</f>
        <v/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149</v>
      </c>
      <c r="D75" s="32" t="n">
        <v>141488</v>
      </c>
      <c r="E75" s="32" t="str">
        <f aca="true">IF($D75="","",IFERROR(IF(ISBLANK(INDIRECT("'"&amp;$Q$2&amp;"'!D"&amp;ROW())),"",INDIRECT("'"&amp;$Q$2&amp;"'!D"&amp;ROW())),""))</f>
        <v/>
      </c>
      <c r="F75" s="33"/>
      <c r="G75" s="34"/>
      <c r="H75" s="32"/>
      <c r="I75" s="32" t="str">
        <f aca="true">IF($H75="","",IFERROR(IF(ISBLANK(INDIRECT("'"&amp;$Q$2&amp;"'!H"&amp;ROW())),"",INDIRECT("'"&amp;$Q$2&amp;"'!H"&amp;ROW())),""))</f>
        <v/>
      </c>
      <c r="J75" s="33"/>
      <c r="K75" s="34"/>
      <c r="L75" s="32" t="n">
        <f aca="false">IFERROR(D75/C75,"")</f>
        <v>949.58389261745</v>
      </c>
      <c r="M75" s="32" t="n">
        <f aca="false">IFERROR(H75/D75*1000,"")</f>
        <v>0</v>
      </c>
      <c r="N75" s="32" t="n">
        <v>4135</v>
      </c>
      <c r="O75" s="33" t="n">
        <v>18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str">
        <f aca="true">IFERROR(IF(ISBLANK(INDIRECT("'"&amp;$Q$2&amp;"'!O"&amp;ROW())),"",INDIRECT("'"&amp;$Q$2&amp;"'!O"&amp;ROW())),"")</f>
        <v/>
      </c>
      <c r="X75" s="17" t="str">
        <f aca="false">IF(OR($O75="",$W75=""),"",$O75-$W75)</f>
        <v/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189</v>
      </c>
      <c r="D76" s="32" t="n">
        <v>68887</v>
      </c>
      <c r="E76" s="32" t="str">
        <f aca="true">IF($D76="","",IFERROR(IF(ISBLANK(INDIRECT("'"&amp;$Q$2&amp;"'!D"&amp;ROW())),"",INDIRECT("'"&amp;$Q$2&amp;"'!D"&amp;ROW())),""))</f>
        <v/>
      </c>
      <c r="F76" s="33"/>
      <c r="G76" s="34"/>
      <c r="H76" s="32"/>
      <c r="I76" s="32" t="str">
        <f aca="true">IF($H76="","",IFERROR(IF(ISBLANK(INDIRECT("'"&amp;$Q$2&amp;"'!H"&amp;ROW())),"",INDIRECT("'"&amp;$Q$2&amp;"'!H"&amp;ROW())),""))</f>
        <v/>
      </c>
      <c r="J76" s="33"/>
      <c r="K76" s="34"/>
      <c r="L76" s="32" t="n">
        <f aca="false">IFERROR(D76/C76,"")</f>
        <v>364.481481481481</v>
      </c>
      <c r="M76" s="32" t="n">
        <f aca="false">IFERROR(H76/D76*1000,"")</f>
        <v>0</v>
      </c>
      <c r="N76" s="32" t="n">
        <v>2199</v>
      </c>
      <c r="O76" s="33" t="n">
        <v>-1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str">
        <f aca="true">IFERROR(IF(ISBLANK(INDIRECT("'"&amp;$Q$2&amp;"'!O"&amp;ROW())),"",INDIRECT("'"&amp;$Q$2&amp;"'!O"&amp;ROW())),"")</f>
        <v/>
      </c>
      <c r="X76" s="17" t="str">
        <f aca="false">IF(OR($O76="",$W76=""),"",$O76-$W76)</f>
        <v/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86</v>
      </c>
      <c r="D77" s="32" t="n">
        <v>6444</v>
      </c>
      <c r="E77" s="32" t="str">
        <f aca="true">IF($D77="","",IFERROR(IF(ISBLANK(INDIRECT("'"&amp;$Q$2&amp;"'!D"&amp;ROW())),"",INDIRECT("'"&amp;$Q$2&amp;"'!D"&amp;ROW())),""))</f>
        <v/>
      </c>
      <c r="F77" s="33"/>
      <c r="G77" s="34"/>
      <c r="H77" s="32"/>
      <c r="I77" s="32" t="str">
        <f aca="true">IF($H77="","",IFERROR(IF(ISBLANK(INDIRECT("'"&amp;$Q$2&amp;"'!H"&amp;ROW())),"",INDIRECT("'"&amp;$Q$2&amp;"'!H"&amp;ROW())),""))</f>
        <v/>
      </c>
      <c r="J77" s="33"/>
      <c r="K77" s="34"/>
      <c r="L77" s="32" t="n">
        <f aca="false">IFERROR(D77/C77,"")</f>
        <v>74.9302325581395</v>
      </c>
      <c r="M77" s="32" t="n">
        <f aca="false">IFERROR(H77/D77*1000,"")</f>
        <v>0</v>
      </c>
      <c r="N77" s="32" t="n">
        <v>263</v>
      </c>
      <c r="O77" s="33" t="n">
        <v>5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str">
        <f aca="true">IFERROR(IF(ISBLANK(INDIRECT("'"&amp;$Q$2&amp;"'!O"&amp;ROW())),"",INDIRECT("'"&amp;$Q$2&amp;"'!O"&amp;ROW())),"")</f>
        <v/>
      </c>
      <c r="X77" s="17" t="str">
        <f aca="false">IF(OR($O77="",$W77=""),"",$O77-$W77)</f>
        <v/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8</v>
      </c>
      <c r="D78" s="32" t="n">
        <v>810</v>
      </c>
      <c r="E78" s="32" t="str">
        <f aca="true">IF($D78="","",IFERROR(IF(ISBLANK(INDIRECT("'"&amp;$Q$2&amp;"'!D"&amp;ROW())),"",INDIRECT("'"&amp;$Q$2&amp;"'!D"&amp;ROW())),""))</f>
        <v/>
      </c>
      <c r="F78" s="33"/>
      <c r="G78" s="34"/>
      <c r="H78" s="32"/>
      <c r="I78" s="32" t="str">
        <f aca="true">IF($H78="","",IFERROR(IF(ISBLANK(INDIRECT("'"&amp;$Q$2&amp;"'!H"&amp;ROW())),"",INDIRECT("'"&amp;$Q$2&amp;"'!H"&amp;ROW())),""))</f>
        <v/>
      </c>
      <c r="J78" s="33"/>
      <c r="K78" s="34"/>
      <c r="L78" s="32" t="n">
        <f aca="false">IFERROR(D78/C78,"")</f>
        <v>101.25</v>
      </c>
      <c r="M78" s="32" t="n">
        <f aca="false">IFERROR(H78/D78*1000,"")</f>
        <v>0</v>
      </c>
      <c r="N78" s="32" t="n">
        <v>185</v>
      </c>
      <c r="O78" s="33" t="n">
        <v>4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str">
        <f aca="true">IFERROR(IF(ISBLANK(INDIRECT("'"&amp;$Q$2&amp;"'!O"&amp;ROW())),"",INDIRECT("'"&amp;$Q$2&amp;"'!O"&amp;ROW())),"")</f>
        <v/>
      </c>
      <c r="X78" s="17" t="str">
        <f aca="false">IF(OR($O78="",$W78=""),"",$O78-$W78)</f>
        <v/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156</v>
      </c>
      <c r="E79" s="32" t="str">
        <f aca="true">IF($D79="","",IFERROR(IF(ISBLANK(INDIRECT("'"&amp;$Q$2&amp;"'!D"&amp;ROW())),"",INDIRECT("'"&amp;$Q$2&amp;"'!D"&amp;ROW())),""))</f>
        <v/>
      </c>
      <c r="F79" s="33"/>
      <c r="G79" s="34"/>
      <c r="H79" s="32"/>
      <c r="I79" s="32" t="str">
        <f aca="true">IF($H79="","",IFERROR(IF(ISBLANK(INDIRECT("'"&amp;$Q$2&amp;"'!H"&amp;ROW())),"",INDIRECT("'"&amp;$Q$2&amp;"'!H"&amp;ROW())),""))</f>
        <v/>
      </c>
      <c r="J79" s="33"/>
      <c r="K79" s="34"/>
      <c r="L79" s="32" t="n">
        <f aca="false">IFERROR(D79/C79,"")</f>
        <v>22.2857142857143</v>
      </c>
      <c r="M79" s="32" t="n">
        <f aca="false">IFERROR(H79/D79*1000,"")</f>
        <v>0</v>
      </c>
      <c r="N79" s="32" t="n">
        <v>35</v>
      </c>
      <c r="O79" s="33" t="n">
        <v>2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str">
        <f aca="true">IFERROR(IF(ISBLANK(INDIRECT("'"&amp;$Q$2&amp;"'!O"&amp;ROW())),"",INDIRECT("'"&amp;$Q$2&amp;"'!O"&amp;ROW())),"")</f>
        <v/>
      </c>
      <c r="X79" s="17" t="str">
        <f aca="false">IF(OR($O79="",$W79=""),"",$O79-$W79)</f>
        <v/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96</v>
      </c>
      <c r="D80" s="32" t="n">
        <v>141883</v>
      </c>
      <c r="E80" s="32" t="str">
        <f aca="true">IF($D80="","",IFERROR(IF(ISBLANK(INDIRECT("'"&amp;$Q$2&amp;"'!D"&amp;ROW())),"",INDIRECT("'"&amp;$Q$2&amp;"'!D"&amp;ROW())),""))</f>
        <v/>
      </c>
      <c r="F80" s="33"/>
      <c r="G80" s="34"/>
      <c r="H80" s="32"/>
      <c r="I80" s="32" t="str">
        <f aca="true">IF($H80="","",IFERROR(IF(ISBLANK(INDIRECT("'"&amp;$Q$2&amp;"'!H"&amp;ROW())),"",INDIRECT("'"&amp;$Q$2&amp;"'!H"&amp;ROW())),""))</f>
        <v/>
      </c>
      <c r="J80" s="33"/>
      <c r="K80" s="34"/>
      <c r="L80" s="32" t="n">
        <f aca="false">IFERROR(D80/C80,"")</f>
        <v>1477.94791666667</v>
      </c>
      <c r="M80" s="32" t="n">
        <f aca="false">IFERROR(H80/D80*1000,"")</f>
        <v>0</v>
      </c>
      <c r="N80" s="32" t="n">
        <v>3774</v>
      </c>
      <c r="O80" s="33" t="n">
        <v>51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str">
        <f aca="true">IFERROR(IF(ISBLANK(INDIRECT("'"&amp;$Q$2&amp;"'!O"&amp;ROW())),"",INDIRECT("'"&amp;$Q$2&amp;"'!O"&amp;ROW())),"")</f>
        <v/>
      </c>
      <c r="X80" s="17" t="str">
        <f aca="false">IF(OR($O80="",$W80=""),"",$O80-$W80)</f>
        <v/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94</v>
      </c>
      <c r="D81" s="32" t="n">
        <v>70716</v>
      </c>
      <c r="E81" s="32" t="str">
        <f aca="true">IF($D81="","",IFERROR(IF(ISBLANK(INDIRECT("'"&amp;$Q$2&amp;"'!D"&amp;ROW())),"",INDIRECT("'"&amp;$Q$2&amp;"'!D"&amp;ROW())),""))</f>
        <v/>
      </c>
      <c r="F81" s="33"/>
      <c r="G81" s="34"/>
      <c r="H81" s="32"/>
      <c r="I81" s="32" t="str">
        <f aca="true">IF($H81="","",IFERROR(IF(ISBLANK(INDIRECT("'"&amp;$Q$2&amp;"'!H"&amp;ROW())),"",INDIRECT("'"&amp;$Q$2&amp;"'!H"&amp;ROW())),""))</f>
        <v/>
      </c>
      <c r="J81" s="33"/>
      <c r="K81" s="34"/>
      <c r="L81" s="32" t="n">
        <f aca="false">IFERROR(D81/C81,"")</f>
        <v>752.297872340426</v>
      </c>
      <c r="M81" s="32" t="n">
        <f aca="false">IFERROR(H81/D81*1000,"")</f>
        <v>0</v>
      </c>
      <c r="N81" s="32" t="n">
        <v>1953</v>
      </c>
      <c r="O81" s="33" t="n">
        <v>8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str">
        <f aca="true">IFERROR(IF(ISBLANK(INDIRECT("'"&amp;$Q$2&amp;"'!O"&amp;ROW())),"",INDIRECT("'"&amp;$Q$2&amp;"'!O"&amp;ROW())),"")</f>
        <v/>
      </c>
      <c r="X81" s="17" t="str">
        <f aca="false">IF(OR($O81="",$W81=""),"",$O81-$W81)</f>
        <v/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87</v>
      </c>
      <c r="D82" s="32" t="n">
        <v>134691</v>
      </c>
      <c r="E82" s="32" t="str">
        <f aca="true">IF($D82="","",IFERROR(IF(ISBLANK(INDIRECT("'"&amp;$Q$2&amp;"'!D"&amp;ROW())),"",INDIRECT("'"&amp;$Q$2&amp;"'!D"&amp;ROW())),""))</f>
        <v/>
      </c>
      <c r="F82" s="33"/>
      <c r="G82" s="34"/>
      <c r="H82" s="32"/>
      <c r="I82" s="32" t="str">
        <f aca="true">IF($H82="","",IFERROR(IF(ISBLANK(INDIRECT("'"&amp;$Q$2&amp;"'!H"&amp;ROW())),"",INDIRECT("'"&amp;$Q$2&amp;"'!H"&amp;ROW())),""))</f>
        <v/>
      </c>
      <c r="J82" s="33"/>
      <c r="K82" s="34"/>
      <c r="L82" s="32" t="n">
        <f aca="false">IFERROR(D82/C82,"")</f>
        <v>1548.1724137931</v>
      </c>
      <c r="M82" s="32" t="n">
        <f aca="false">IFERROR(H82/D82*1000,"")</f>
        <v>0</v>
      </c>
      <c r="N82" s="32" t="n">
        <v>3509</v>
      </c>
      <c r="O82" s="33" t="n">
        <v>51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str">
        <f aca="true">IFERROR(IF(ISBLANK(INDIRECT("'"&amp;$Q$2&amp;"'!O"&amp;ROW())),"",INDIRECT("'"&amp;$Q$2&amp;"'!O"&amp;ROW())),"")</f>
        <v/>
      </c>
      <c r="X82" s="17" t="str">
        <f aca="false">IF(OR($O82="",$W82=""),"",$O82-$W82)</f>
        <v/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96</v>
      </c>
      <c r="D83" s="32" t="n">
        <v>56512</v>
      </c>
      <c r="E83" s="32" t="str">
        <f aca="true">IF($D83="","",IFERROR(IF(ISBLANK(INDIRECT("'"&amp;$Q$2&amp;"'!D"&amp;ROW())),"",INDIRECT("'"&amp;$Q$2&amp;"'!D"&amp;ROW())),""))</f>
        <v/>
      </c>
      <c r="F83" s="33"/>
      <c r="G83" s="34"/>
      <c r="H83" s="32"/>
      <c r="I83" s="32" t="str">
        <f aca="true">IF($H83="","",IFERROR(IF(ISBLANK(INDIRECT("'"&amp;$Q$2&amp;"'!H"&amp;ROW())),"",INDIRECT("'"&amp;$Q$2&amp;"'!H"&amp;ROW())),""))</f>
        <v/>
      </c>
      <c r="J83" s="33"/>
      <c r="K83" s="34"/>
      <c r="L83" s="32" t="n">
        <f aca="false">IFERROR(D83/C83,"")</f>
        <v>588.666666666667</v>
      </c>
      <c r="M83" s="32" t="n">
        <f aca="false">IFERROR(H83/D83*1000,"")</f>
        <v>0</v>
      </c>
      <c r="N83" s="32" t="n">
        <v>1519</v>
      </c>
      <c r="O83" s="33" t="n">
        <v>28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str">
        <f aca="true">IFERROR(IF(ISBLANK(INDIRECT("'"&amp;$Q$2&amp;"'!O"&amp;ROW())),"",INDIRECT("'"&amp;$Q$2&amp;"'!O"&amp;ROW())),"")</f>
        <v/>
      </c>
      <c r="X83" s="17" t="str">
        <f aca="false">IF(OR($O83="",$W83=""),"",$O83-$W83)</f>
        <v/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102</v>
      </c>
      <c r="D84" s="32" t="n">
        <v>24217</v>
      </c>
      <c r="E84" s="32" t="str">
        <f aca="true">IF($D84="","",IFERROR(IF(ISBLANK(INDIRECT("'"&amp;$Q$2&amp;"'!D"&amp;ROW())),"",INDIRECT("'"&amp;$Q$2&amp;"'!D"&amp;ROW())),""))</f>
        <v/>
      </c>
      <c r="F84" s="33"/>
      <c r="G84" s="34"/>
      <c r="H84" s="32"/>
      <c r="I84" s="32" t="str">
        <f aca="true">IF($H84="","",IFERROR(IF(ISBLANK(INDIRECT("'"&amp;$Q$2&amp;"'!H"&amp;ROW())),"",INDIRECT("'"&amp;$Q$2&amp;"'!H"&amp;ROW())),""))</f>
        <v/>
      </c>
      <c r="J84" s="33"/>
      <c r="K84" s="34"/>
      <c r="L84" s="32" t="n">
        <f aca="false">IFERROR(D84/C84,"")</f>
        <v>237.421568627451</v>
      </c>
      <c r="M84" s="32" t="n">
        <f aca="false">IFERROR(H84/D84*1000,"")</f>
        <v>0</v>
      </c>
      <c r="N84" s="32" t="n">
        <v>718</v>
      </c>
      <c r="O84" s="33" t="n">
        <v>9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str">
        <f aca="true">IFERROR(IF(ISBLANK(INDIRECT("'"&amp;$Q$2&amp;"'!O"&amp;ROW())),"",INDIRECT("'"&amp;$Q$2&amp;"'!O"&amp;ROW())),"")</f>
        <v/>
      </c>
      <c r="X84" s="17" t="str">
        <f aca="false">IF(OR($O84="",$W84=""),"",$O84-$W84)</f>
        <v/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63</v>
      </c>
      <c r="D85" s="32" t="n">
        <v>7988</v>
      </c>
      <c r="E85" s="32" t="str">
        <f aca="true">IF($D85="","",IFERROR(IF(ISBLANK(INDIRECT("'"&amp;$Q$2&amp;"'!D"&amp;ROW())),"",INDIRECT("'"&amp;$Q$2&amp;"'!D"&amp;ROW())),""))</f>
        <v/>
      </c>
      <c r="F85" s="33"/>
      <c r="G85" s="34"/>
      <c r="H85" s="32"/>
      <c r="I85" s="32" t="str">
        <f aca="true">IF($H85="","",IFERROR(IF(ISBLANK(INDIRECT("'"&amp;$Q$2&amp;"'!H"&amp;ROW())),"",INDIRECT("'"&amp;$Q$2&amp;"'!H"&amp;ROW())),""))</f>
        <v/>
      </c>
      <c r="J85" s="33"/>
      <c r="K85" s="34"/>
      <c r="L85" s="32" t="n">
        <f aca="false">IFERROR(D85/C85,"")</f>
        <v>126.793650793651</v>
      </c>
      <c r="M85" s="32" t="n">
        <f aca="false">IFERROR(H85/D85*1000,"")</f>
        <v>0</v>
      </c>
      <c r="N85" s="32" t="n">
        <v>257</v>
      </c>
      <c r="O85" s="33" t="n">
        <v>4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str">
        <f aca="true">IFERROR(IF(ISBLANK(INDIRECT("'"&amp;$Q$2&amp;"'!O"&amp;ROW())),"",INDIRECT("'"&amp;$Q$2&amp;"'!O"&amp;ROW())),"")</f>
        <v/>
      </c>
      <c r="X85" s="17" t="str">
        <f aca="false">IF(OR($O85="",$W85=""),"",$O85-$W85)</f>
        <v/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45339</v>
      </c>
      <c r="E86" s="32" t="str">
        <f aca="true">IF($D86="","",IFERROR(IF(ISBLANK(INDIRECT("'"&amp;$Q$2&amp;"'!D"&amp;ROW())),"",INDIRECT("'"&amp;$Q$2&amp;"'!D"&amp;ROW())),""))</f>
        <v/>
      </c>
      <c r="F86" s="33"/>
      <c r="G86" s="34"/>
      <c r="H86" s="32"/>
      <c r="I86" s="32" t="str">
        <f aca="true">IF($H86="","",IFERROR(IF(ISBLANK(INDIRECT("'"&amp;$Q$2&amp;"'!H"&amp;ROW())),"",INDIRECT("'"&amp;$Q$2&amp;"'!H"&amp;ROW())),""))</f>
        <v/>
      </c>
      <c r="J86" s="33"/>
      <c r="K86" s="34"/>
      <c r="L86" s="32" t="n">
        <f aca="false">IFERROR(D86/C86,"")</f>
        <v>871.903846153846</v>
      </c>
      <c r="M86" s="32" t="n">
        <f aca="false">IFERROR(H86/D86*1000,"")</f>
        <v>0</v>
      </c>
      <c r="N86" s="32" t="n">
        <v>1838</v>
      </c>
      <c r="O86" s="33" t="n">
        <v>4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str">
        <f aca="true">IFERROR(IF(ISBLANK(INDIRECT("'"&amp;$Q$2&amp;"'!O"&amp;ROW())),"",INDIRECT("'"&amp;$Q$2&amp;"'!O"&amp;ROW())),"")</f>
        <v/>
      </c>
      <c r="X86" s="17" t="str">
        <f aca="false">IF(OR($O86="",$W86=""),"",$O86-$W86)</f>
        <v/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49</v>
      </c>
      <c r="D87" s="32" t="n">
        <v>10293</v>
      </c>
      <c r="E87" s="32" t="str">
        <f aca="true">IF($D87="","",IFERROR(IF(ISBLANK(INDIRECT("'"&amp;$Q$2&amp;"'!D"&amp;ROW())),"",INDIRECT("'"&amp;$Q$2&amp;"'!D"&amp;ROW())),""))</f>
        <v/>
      </c>
      <c r="F87" s="33"/>
      <c r="G87" s="34"/>
      <c r="H87" s="32"/>
      <c r="I87" s="32" t="str">
        <f aca="true">IF($H87="","",IFERROR(IF(ISBLANK(INDIRECT("'"&amp;$Q$2&amp;"'!H"&amp;ROW())),"",INDIRECT("'"&amp;$Q$2&amp;"'!H"&amp;ROW())),""))</f>
        <v/>
      </c>
      <c r="J87" s="33"/>
      <c r="K87" s="34"/>
      <c r="L87" s="32" t="n">
        <f aca="false">IFERROR(D87/C87,"")</f>
        <v>210.061224489796</v>
      </c>
      <c r="M87" s="32" t="n">
        <f aca="false">IFERROR(H87/D87*1000,"")</f>
        <v>0</v>
      </c>
      <c r="N87" s="32" t="n">
        <v>475</v>
      </c>
      <c r="O87" s="33" t="n">
        <v>13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str">
        <f aca="true">IFERROR(IF(ISBLANK(INDIRECT("'"&amp;$Q$2&amp;"'!O"&amp;ROW())),"",INDIRECT("'"&amp;$Q$2&amp;"'!O"&amp;ROW())),"")</f>
        <v/>
      </c>
      <c r="X87" s="17" t="str">
        <f aca="false">IF(OR($O87="",$W87=""),"",$O87-$W87)</f>
        <v/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6253</v>
      </c>
      <c r="E88" s="32" t="str">
        <f aca="true">IF($D88="","",IFERROR(IF(ISBLANK(INDIRECT("'"&amp;$Q$2&amp;"'!D"&amp;ROW())),"",INDIRECT("'"&amp;$Q$2&amp;"'!D"&amp;ROW())),""))</f>
        <v/>
      </c>
      <c r="F88" s="33"/>
      <c r="G88" s="34"/>
      <c r="H88" s="32"/>
      <c r="I88" s="32" t="str">
        <f aca="true">IF($H88="","",IFERROR(IF(ISBLANK(INDIRECT("'"&amp;$Q$2&amp;"'!H"&amp;ROW())),"",INDIRECT("'"&amp;$Q$2&amp;"'!H"&amp;ROW())),""))</f>
        <v/>
      </c>
      <c r="J88" s="33"/>
      <c r="K88" s="34"/>
      <c r="L88" s="32" t="n">
        <f aca="false">IFERROR(D88/C88,"")</f>
        <v>208.433333333333</v>
      </c>
      <c r="M88" s="32" t="n">
        <f aca="false">IFERROR(H88/D88*1000,"")</f>
        <v>0</v>
      </c>
      <c r="N88" s="32" t="n">
        <v>402</v>
      </c>
      <c r="O88" s="33" t="n">
        <v>6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str">
        <f aca="true">IFERROR(IF(ISBLANK(INDIRECT("'"&amp;$Q$2&amp;"'!O"&amp;ROW())),"",INDIRECT("'"&amp;$Q$2&amp;"'!O"&amp;ROW())),"")</f>
        <v/>
      </c>
      <c r="X88" s="17" t="str">
        <f aca="false">IF(OR($O88="",$W88=""),"",$O88-$W88)</f>
        <v/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54</v>
      </c>
      <c r="D89" s="32" t="n">
        <v>9659</v>
      </c>
      <c r="E89" s="32" t="str">
        <f aca="true">IF($D89="","",IFERROR(IF(ISBLANK(INDIRECT("'"&amp;$Q$2&amp;"'!D"&amp;ROW())),"",INDIRECT("'"&amp;$Q$2&amp;"'!D"&amp;ROW())),""))</f>
        <v/>
      </c>
      <c r="F89" s="33"/>
      <c r="G89" s="34"/>
      <c r="H89" s="32"/>
      <c r="I89" s="32" t="str">
        <f aca="true">IF($H89="","",IFERROR(IF(ISBLANK(INDIRECT("'"&amp;$Q$2&amp;"'!H"&amp;ROW())),"",INDIRECT("'"&amp;$Q$2&amp;"'!H"&amp;ROW())),""))</f>
        <v/>
      </c>
      <c r="J89" s="33"/>
      <c r="K89" s="34"/>
      <c r="L89" s="32" t="n">
        <f aca="false">IFERROR(D89/C89,"")</f>
        <v>178.87037037037</v>
      </c>
      <c r="M89" s="32" t="n">
        <f aca="false">IFERROR(H89/D89*1000,"")</f>
        <v>0</v>
      </c>
      <c r="N89" s="32" t="n">
        <v>441</v>
      </c>
      <c r="O89" s="33" t="n">
        <v>2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str">
        <f aca="true">IFERROR(IF(ISBLANK(INDIRECT("'"&amp;$Q$2&amp;"'!O"&amp;ROW())),"",INDIRECT("'"&amp;$Q$2&amp;"'!O"&amp;ROW())),"")</f>
        <v/>
      </c>
      <c r="X89" s="17" t="str">
        <f aca="false">IF(OR($O89="",$W89=""),"",$O89-$W89)</f>
        <v/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29380</v>
      </c>
      <c r="E90" s="32" t="str">
        <f aca="true">IF($D90="","",IFERROR(IF(ISBLANK(INDIRECT("'"&amp;$Q$2&amp;"'!D"&amp;ROW())),"",INDIRECT("'"&amp;$Q$2&amp;"'!D"&amp;ROW())),""))</f>
        <v/>
      </c>
      <c r="F90" s="33"/>
      <c r="G90" s="34"/>
      <c r="H90" s="32"/>
      <c r="I90" s="32" t="str">
        <f aca="true">IF($H90="","",IFERROR(IF(ISBLANK(INDIRECT("'"&amp;$Q$2&amp;"'!H"&amp;ROW())),"",INDIRECT("'"&amp;$Q$2&amp;"'!H"&amp;ROW())),""))</f>
        <v/>
      </c>
      <c r="J90" s="33"/>
      <c r="K90" s="34"/>
      <c r="L90" s="32" t="n">
        <f aca="false">IFERROR(D90/C90,"")</f>
        <v>506.551724137931</v>
      </c>
      <c r="M90" s="32" t="n">
        <f aca="false">IFERROR(H90/D90*1000,"")</f>
        <v>0</v>
      </c>
      <c r="N90" s="32" t="n">
        <v>1441</v>
      </c>
      <c r="O90" s="33" t="n">
        <v>6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str">
        <f aca="true">IFERROR(IF(ISBLANK(INDIRECT("'"&amp;$Q$2&amp;"'!O"&amp;ROW())),"",INDIRECT("'"&amp;$Q$2&amp;"'!O"&amp;ROW())),"")</f>
        <v/>
      </c>
      <c r="X90" s="17" t="str">
        <f aca="false">IF(OR($O90="",$W90=""),"",$O90-$W90)</f>
        <v/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63</v>
      </c>
      <c r="D91" s="32" t="n">
        <v>69350</v>
      </c>
      <c r="E91" s="32" t="str">
        <f aca="true">IF($D91="","",IFERROR(IF(ISBLANK(INDIRECT("'"&amp;$Q$2&amp;"'!D"&amp;ROW())),"",INDIRECT("'"&amp;$Q$2&amp;"'!D"&amp;ROW())),""))</f>
        <v/>
      </c>
      <c r="F91" s="33"/>
      <c r="G91" s="34"/>
      <c r="H91" s="32"/>
      <c r="I91" s="32" t="str">
        <f aca="true">IF($H91="","",IFERROR(IF(ISBLANK(INDIRECT("'"&amp;$Q$2&amp;"'!H"&amp;ROW())),"",INDIRECT("'"&amp;$Q$2&amp;"'!H"&amp;ROW())),""))</f>
        <v/>
      </c>
      <c r="J91" s="33"/>
      <c r="K91" s="34"/>
      <c r="L91" s="32" t="n">
        <f aca="false">IFERROR(D91/C91,"")</f>
        <v>1100.79365079365</v>
      </c>
      <c r="M91" s="32" t="n">
        <f aca="false">IFERROR(H91/D91*1000,"")</f>
        <v>0</v>
      </c>
      <c r="N91" s="32" t="n">
        <v>2209</v>
      </c>
      <c r="O91" s="33" t="n">
        <v>62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str">
        <f aca="true">IFERROR(IF(ISBLANK(INDIRECT("'"&amp;$Q$2&amp;"'!O"&amp;ROW())),"",INDIRECT("'"&amp;$Q$2&amp;"'!O"&amp;ROW())),"")</f>
        <v/>
      </c>
      <c r="X91" s="17" t="str">
        <f aca="false">IF(OR($O91="",$W91=""),"",$O91-$W91)</f>
        <v/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114</v>
      </c>
      <c r="D92" s="32" t="n">
        <v>47993</v>
      </c>
      <c r="E92" s="32" t="str">
        <f aca="true">IF($D92="","",IFERROR(IF(ISBLANK(INDIRECT("'"&amp;$Q$2&amp;"'!D"&amp;ROW())),"",INDIRECT("'"&amp;$Q$2&amp;"'!D"&amp;ROW())),""))</f>
        <v/>
      </c>
      <c r="F92" s="33"/>
      <c r="G92" s="34"/>
      <c r="H92" s="32"/>
      <c r="I92" s="32" t="str">
        <f aca="true">IF($H92="","",IFERROR(IF(ISBLANK(INDIRECT("'"&amp;$Q$2&amp;"'!H"&amp;ROW())),"",INDIRECT("'"&amp;$Q$2&amp;"'!H"&amp;ROW())),""))</f>
        <v/>
      </c>
      <c r="J92" s="33"/>
      <c r="K92" s="34"/>
      <c r="L92" s="32" t="n">
        <f aca="false">IFERROR(D92/C92,"")</f>
        <v>420.991228070175</v>
      </c>
      <c r="M92" s="32" t="n">
        <f aca="false">IFERROR(H92/D92*1000,"")</f>
        <v>0</v>
      </c>
      <c r="N92" s="32" t="n">
        <v>1010</v>
      </c>
      <c r="O92" s="33" t="n">
        <v>201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str">
        <f aca="true">IFERROR(IF(ISBLANK(INDIRECT("'"&amp;$Q$2&amp;"'!O"&amp;ROW())),"",INDIRECT("'"&amp;$Q$2&amp;"'!O"&amp;ROW())),"")</f>
        <v/>
      </c>
      <c r="X92" s="17" t="str">
        <f aca="false">IF(OR($O92="",$W92=""),"",$O92-$W92)</f>
        <v/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10005</v>
      </c>
      <c r="E93" s="32" t="str">
        <f aca="true">IF($D93="","",IFERROR(IF(ISBLANK(INDIRECT("'"&amp;$Q$2&amp;"'!D"&amp;ROW())),"",INDIRECT("'"&amp;$Q$2&amp;"'!D"&amp;ROW())),""))</f>
        <v/>
      </c>
      <c r="F93" s="33"/>
      <c r="G93" s="34"/>
      <c r="H93" s="32"/>
      <c r="I93" s="32" t="str">
        <f aca="true">IF($H93="","",IFERROR(IF(ISBLANK(INDIRECT("'"&amp;$Q$2&amp;"'!H"&amp;ROW())),"",INDIRECT("'"&amp;$Q$2&amp;"'!H"&amp;ROW())),""))</f>
        <v/>
      </c>
      <c r="J93" s="33"/>
      <c r="K93" s="34"/>
      <c r="L93" s="32" t="n">
        <f aca="false">IFERROR(D93/C93,"")</f>
        <v>476.428571428571</v>
      </c>
      <c r="M93" s="32" t="n">
        <f aca="false">IFERROR(H93/D93*1000,"")</f>
        <v>0</v>
      </c>
      <c r="N93" s="32" t="n">
        <v>1331</v>
      </c>
      <c r="O93" s="33" t="n">
        <v>1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str">
        <f aca="true">IFERROR(IF(ISBLANK(INDIRECT("'"&amp;$Q$2&amp;"'!O"&amp;ROW())),"",INDIRECT("'"&amp;$Q$2&amp;"'!O"&amp;ROW())),"")</f>
        <v/>
      </c>
      <c r="X93" s="17" t="str">
        <f aca="false">IF(OR($O93="",$W93=""),"",$O93-$W93)</f>
        <v/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794</v>
      </c>
      <c r="E94" s="32" t="str">
        <f aca="true">IF($D94="","",IFERROR(IF(ISBLANK(INDIRECT("'"&amp;$Q$2&amp;"'!D"&amp;ROW())),"",INDIRECT("'"&amp;$Q$2&amp;"'!D"&amp;ROW())),""))</f>
        <v/>
      </c>
      <c r="F94" s="33"/>
      <c r="G94" s="34"/>
      <c r="H94" s="32"/>
      <c r="I94" s="32" t="str">
        <f aca="true">IF($H94="","",IFERROR(IF(ISBLANK(INDIRECT("'"&amp;$Q$2&amp;"'!H"&amp;ROW())),"",INDIRECT("'"&amp;$Q$2&amp;"'!H"&amp;ROW())),""))</f>
        <v/>
      </c>
      <c r="J94" s="33"/>
      <c r="K94" s="34"/>
      <c r="L94" s="32" t="n">
        <f aca="false">IFERROR(D94/C94,"")</f>
        <v>113.428571428571</v>
      </c>
      <c r="M94" s="32" t="n">
        <f aca="false">IFERROR(H94/D94*1000,"")</f>
        <v>0</v>
      </c>
      <c r="N94" s="32" t="n">
        <v>226</v>
      </c>
      <c r="O94" s="33" t="n">
        <v>3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str">
        <f aca="true">IFERROR(IF(ISBLANK(INDIRECT("'"&amp;$Q$2&amp;"'!O"&amp;ROW())),"",INDIRECT("'"&amp;$Q$2&amp;"'!O"&amp;ROW())),"")</f>
        <v/>
      </c>
      <c r="X94" s="17" t="str">
        <f aca="false">IF(OR($O94="",$W94=""),"",$O94-$W94)</f>
        <v/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5</v>
      </c>
      <c r="D95" s="32" t="n">
        <v>1952</v>
      </c>
      <c r="E95" s="32" t="str">
        <f aca="true">IF($D95="","",IFERROR(IF(ISBLANK(INDIRECT("'"&amp;$Q$2&amp;"'!D"&amp;ROW())),"",INDIRECT("'"&amp;$Q$2&amp;"'!D"&amp;ROW())),""))</f>
        <v/>
      </c>
      <c r="F95" s="33"/>
      <c r="G95" s="34"/>
      <c r="H95" s="32"/>
      <c r="I95" s="32" t="str">
        <f aca="true">IF($H95="","",IFERROR(IF(ISBLANK(INDIRECT("'"&amp;$Q$2&amp;"'!H"&amp;ROW())),"",INDIRECT("'"&amp;$Q$2&amp;"'!H"&amp;ROW())),""))</f>
        <v/>
      </c>
      <c r="J95" s="33"/>
      <c r="K95" s="34"/>
      <c r="L95" s="32" t="n">
        <f aca="false">IFERROR(D95/C95,"")</f>
        <v>390.4</v>
      </c>
      <c r="M95" s="32" t="n">
        <f aca="false">IFERROR(H95/D95*1000,"")</f>
        <v>0</v>
      </c>
      <c r="N95" s="32" t="n">
        <v>248</v>
      </c>
      <c r="O95" s="33" t="n">
        <v>5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str">
        <f aca="true">IFERROR(IF(ISBLANK(INDIRECT("'"&amp;$Q$2&amp;"'!O"&amp;ROW())),"",INDIRECT("'"&amp;$Q$2&amp;"'!O"&amp;ROW())),"")</f>
        <v/>
      </c>
      <c r="X95" s="17" t="str">
        <f aca="false">IF(OR($O95="",$W95=""),"",$O95-$W95)</f>
        <v/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1430</v>
      </c>
      <c r="D96" s="36" t="n">
        <f aca="false">SUM(D75:D95)</f>
        <v>884810</v>
      </c>
      <c r="E96" s="36" t="n">
        <f aca="false">SUM(E75:E95)</f>
        <v>0</v>
      </c>
      <c r="F96" s="37" t="n">
        <f aca="false">SUM(F75:F95)</f>
        <v>0</v>
      </c>
      <c r="G96" s="38" t="str">
        <f aca="false">IF(C96=0,"",IFERROR(F96/E96,""))</f>
        <v/>
      </c>
      <c r="H96" s="36" t="n">
        <f aca="false">SUM(H75:H95)</f>
        <v>0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618.748251748252</v>
      </c>
      <c r="M96" s="36" t="n">
        <f aca="false">IFERROR(H96/D96*1000,"")</f>
        <v>0</v>
      </c>
      <c r="N96" s="36" t="n">
        <f aca="false">SUM(N75:N95)</f>
        <v>28168</v>
      </c>
      <c r="O96" s="37" t="n">
        <f aca="false">SUM(O75:O95)</f>
        <v>482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str">
        <f aca="true">IFERROR(IF(ISBLANK(INDIRECT("'"&amp;$Q$2&amp;"'!O"&amp;ROW())),"",INDIRECT("'"&amp;$Q$2&amp;"'!O"&amp;ROW())),"")</f>
        <v/>
      </c>
      <c r="X96" s="25" t="str">
        <f aca="false">IF(OR(C96=0,$O96="",$W96=""),"",$O96-$W96)</f>
        <v/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6185</v>
      </c>
      <c r="D97" s="40" t="n">
        <f aca="false">D30+D51+D74+D96</f>
        <v>4672077</v>
      </c>
      <c r="E97" s="40" t="n">
        <f aca="false">E30+E51+E74+E96</f>
        <v>0</v>
      </c>
      <c r="F97" s="41" t="n">
        <f aca="false">F30+F51+F74+F96</f>
        <v>0</v>
      </c>
      <c r="G97" s="42" t="str">
        <f aca="false">IF(OR(C30=0,C51=0,C74=0,C96=0),"",IFERROR(F97/E97,""))</f>
        <v/>
      </c>
      <c r="H97" s="40" t="n">
        <f aca="false">H30+H51+H74+H96</f>
        <v>38365</v>
      </c>
      <c r="I97" s="40" t="n">
        <f aca="false">I30+I51+I74+I96</f>
        <v>0</v>
      </c>
      <c r="J97" s="41" t="n">
        <f aca="false">J30+J51+J74+J96</f>
        <v>0</v>
      </c>
      <c r="K97" s="42" t="str">
        <f aca="false">IF(OR(C30=0,C51=0,C74=0,C96=0),"",IFERROR(J97/I97,""))</f>
        <v/>
      </c>
      <c r="L97" s="40" t="n">
        <f aca="false">IFERROR(D97/C97,"")</f>
        <v>755.388358932902</v>
      </c>
      <c r="M97" s="40" t="n">
        <f aca="false">IFERROR(H97/D97*1000,"")</f>
        <v>8.21155130790867</v>
      </c>
      <c r="N97" s="40" t="n">
        <f aca="false">N30+N51+N74+N96</f>
        <v>688303</v>
      </c>
      <c r="O97" s="41" t="n">
        <f aca="false">O30+O51+O74+O96</f>
        <v>5503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str">
        <f aca="true">IFERROR(IF(ISBLANK(INDIRECT("'"&amp;$Q$2&amp;"'!O"&amp;ROW())),"",INDIRECT("'"&amp;$Q$2&amp;"'!O"&amp;ROW())),"")</f>
        <v/>
      </c>
      <c r="X97" s="25" t="e">
        <f aca="false">IF(OR(C30=0,C51=0,C74=0,C96=0),"",$O97-$W97)</f>
        <v>#VALUE!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22" activeCellId="0" sqref="F22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"/>
    <col collapsed="false" customWidth="true" hidden="false" outlineLevel="0" max="4" min="3" style="1" width="10"/>
    <col collapsed="false" customWidth="true" hidden="false" outlineLevel="0" max="5" min="5" style="1" width="11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5" min="15" style="1" width="14"/>
  </cols>
  <sheetData>
    <row r="1" customFormat="false" ht="17.25" hidden="false" customHeight="true" outlineLevel="0" collapsed="false">
      <c r="A1" s="28" t="s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6" t="s">
        <v>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" t="s">
        <v>86</v>
      </c>
      <c r="B3" s="47" t="s">
        <v>8</v>
      </c>
      <c r="C3" s="47"/>
      <c r="D3" s="47"/>
      <c r="E3" s="47"/>
      <c r="F3" s="47"/>
      <c r="G3" s="47"/>
      <c r="H3" s="47" t="s">
        <v>11</v>
      </c>
      <c r="I3" s="47"/>
      <c r="J3" s="47"/>
      <c r="K3" s="47"/>
      <c r="L3" s="47"/>
      <c r="M3" s="4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7.5" hidden="false" customHeight="true" outlineLevel="0" collapsed="false">
      <c r="A4" s="8" t="s">
        <v>87</v>
      </c>
      <c r="B4" s="8" t="s">
        <v>88</v>
      </c>
      <c r="C4" s="8" t="s">
        <v>89</v>
      </c>
      <c r="D4" s="8" t="s">
        <v>90</v>
      </c>
      <c r="E4" s="8" t="s">
        <v>25</v>
      </c>
      <c r="F4" s="8" t="s">
        <v>91</v>
      </c>
      <c r="G4" s="8" t="s">
        <v>92</v>
      </c>
      <c r="H4" s="8" t="s">
        <v>88</v>
      </c>
      <c r="I4" s="8" t="s">
        <v>89</v>
      </c>
      <c r="J4" s="8" t="s">
        <v>90</v>
      </c>
      <c r="K4" s="8" t="s">
        <v>25</v>
      </c>
      <c r="L4" s="8" t="s">
        <v>91</v>
      </c>
      <c r="M4" s="8" t="s">
        <v>92</v>
      </c>
      <c r="N4" s="8" t="s">
        <v>7</v>
      </c>
      <c r="O4" s="8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48" t="s">
        <v>93</v>
      </c>
      <c r="B5" s="49"/>
      <c r="C5" s="49"/>
      <c r="D5" s="49"/>
      <c r="E5" s="49"/>
      <c r="F5" s="49"/>
      <c r="G5" s="50"/>
      <c r="H5" s="49"/>
      <c r="I5" s="49"/>
      <c r="J5" s="49"/>
      <c r="K5" s="49"/>
      <c r="L5" s="49"/>
      <c r="M5" s="50"/>
      <c r="N5" s="49"/>
      <c r="O5" s="5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37</v>
      </c>
      <c r="B6" s="32" t="n">
        <f aca="true" t="array" ref="B6:B6">IF(INDIRECT("'"&amp;Сводка!$B$2&amp;"'!D3")="","—",INDIRECT("'"&amp;Сводка!$B$2&amp;"'!D3"))</f>
        <v>1832889</v>
      </c>
      <c r="C6" s="32" t="n">
        <f aca="true" t="array" ref="C6:C6">IF(INDIRECT("'"&amp;Сводка!$B$2&amp;"'!D31")="","—",INDIRECT("'"&amp;Сводка!$B$2&amp;"'!D31"))</f>
        <v>35824</v>
      </c>
      <c r="D6" s="32" t="n">
        <f aca="true" t="array" ref="D6:D6">IF(INDIRECT("'"&amp;Сводка!$B$2&amp;"'!D52")="","—",INDIRECT("'"&amp;Сводка!$B$2&amp;"'!D52"))</f>
        <v>36166</v>
      </c>
      <c r="E6" s="32" t="n">
        <f aca="true" t="array" ref="E6:E6">IF(INDIRECT("'"&amp;Сводка!$B$2&amp;"'!D75")="","—",INDIRECT("'"&amp;Сводка!$B$2&amp;"'!D75"))</f>
        <v>154908</v>
      </c>
      <c r="F6" s="32" t="n">
        <f aca="true" t="array" ref="F6:F6">N(INDIRECT("'"&amp;Сводка!$B$2&amp;"'!D3"))+N(INDIRECT("'"&amp;Сводка!$B$2&amp;"'!D31"))+N(INDIRECT("'"&amp;Сводка!$B$2&amp;"'!D52"))+N(INDIRECT("'"&amp;Сводка!$B$2&amp;"'!D75"))</f>
        <v>2059787</v>
      </c>
      <c r="G6" s="34" t="n">
        <f aca="true" t="array" ref="G6:G6">IFERROR(F6/(N(INDIRECT("'"&amp;Сводка!$B$3&amp;"'!D3"))+N(INDIRECT("'"&amp;Сводка!$B$3&amp;"'!D31"))+N(INDIRECT("'"&amp;Сводка!$B$3&amp;"'!D52"))+N(INDIRECT("'"&amp;Сводка!$B$3&amp;"'!D75")))-1,"")</f>
        <v>-0.284783763607007</v>
      </c>
      <c r="H6" s="32" t="n">
        <f aca="true" t="array" ref="H6:H6">IF(INDIRECT("'"&amp;Сводка!$B$2&amp;"'!H3")="","—",INDIRECT("'"&amp;Сводка!$B$2&amp;"'!H3"))</f>
        <v>4521</v>
      </c>
      <c r="I6" s="32" t="n">
        <f aca="true" t="array" ref="I6:I6">IF(INDIRECT("'"&amp;Сводка!$B$2&amp;"'!H31")="","—",INDIRECT("'"&amp;Сводка!$B$2&amp;"'!H31"))</f>
        <v>109</v>
      </c>
      <c r="J6" s="32" t="n">
        <f aca="true" t="array" ref="J6:J6">IF(INDIRECT("'"&amp;Сводка!$B$2&amp;"'!H52")="","—",INDIRECT("'"&amp;Сводка!$B$2&amp;"'!H52"))</f>
        <v>267</v>
      </c>
      <c r="K6" s="32" t="n">
        <f aca="true" t="array" ref="K6:K6">IF(INDIRECT("'"&amp;Сводка!$B$2&amp;"'!H75")="","—",INDIRECT("'"&amp;Сводка!$B$2&amp;"'!H75"))</f>
        <v>1619</v>
      </c>
      <c r="L6" s="32" t="n">
        <f aca="true" t="array" ref="L6:L6">N(INDIRECT("'"&amp;Сводка!$B$2&amp;"'!H3"))+N(INDIRECT("'"&amp;Сводка!$B$2&amp;"'!H31"))+N(INDIRECT("'"&amp;Сводка!$B$2&amp;"'!H52"))+N(INDIRECT("'"&amp;Сводка!$B$2&amp;"'!H75"))</f>
        <v>6516</v>
      </c>
      <c r="M6" s="34" t="n">
        <f aca="true" t="array" ref="M6:M6">IFERROR(L6/(N(INDIRECT("'"&amp;Сводка!$B$3&amp;"'!H3"))+N(INDIRECT("'"&amp;Сводка!$B$3&amp;"'!H31"))+N(INDIRECT("'"&amp;Сводка!$B$3&amp;"'!H52"))+N(INDIRECT("'"&amp;Сводка!$B$3&amp;"'!H75")))-1,"")</f>
        <v>-0.156614030546208</v>
      </c>
      <c r="N6" s="32" t="n">
        <f aca="true" t="array" ref="N6:N6">N(INDIRECT("'"&amp;Сводка!$B$2&amp;"'!C3"))+N(INDIRECT("'"&amp;Сводка!$B$2&amp;"'!C31"))+N(INDIRECT("'"&amp;Сводка!$B$2&amp;"'!C52"))+N(INDIRECT("'"&amp;Сводка!$B$2&amp;"'!C75"))</f>
        <v>511</v>
      </c>
      <c r="O6" s="52" t="n">
        <f aca="false">IFERROR(L6/F6*1000,"")</f>
        <v>3.16343388903804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39</v>
      </c>
      <c r="B7" s="32" t="n">
        <f aca="true" t="array" ref="B7:B7">IF(INDIRECT("'"&amp;Сводка!$B$2&amp;"'!D4")="","—",INDIRECT("'"&amp;Сводка!$B$2&amp;"'!D4"))</f>
        <v>93897</v>
      </c>
      <c r="C7" s="32" t="n">
        <f aca="true" t="array" ref="C7:C7">IF(INDIRECT("'"&amp;Сводка!$B$2&amp;"'!D32")="","—",INDIRECT("'"&amp;Сводка!$B$2&amp;"'!D32"))</f>
        <v>234396</v>
      </c>
      <c r="D7" s="32" t="n">
        <f aca="true" t="array" ref="D7:D7">IF(INDIRECT("'"&amp;Сводка!$B$2&amp;"'!D53")="","—",INDIRECT("'"&amp;Сводка!$B$2&amp;"'!D53"))</f>
        <v>43966</v>
      </c>
      <c r="E7" s="32" t="n">
        <f aca="true" t="array" ref="E7:E7">IF(INDIRECT("'"&amp;Сводка!$B$2&amp;"'!D76")="","—",INDIRECT("'"&amp;Сводка!$B$2&amp;"'!D76"))</f>
        <v>67463</v>
      </c>
      <c r="F7" s="32" t="n">
        <f aca="true" t="array" ref="F7:F7">N(INDIRECT("'"&amp;Сводка!$B$2&amp;"'!D4"))+N(INDIRECT("'"&amp;Сводка!$B$2&amp;"'!D32"))+N(INDIRECT("'"&amp;Сводка!$B$2&amp;"'!D53"))+N(INDIRECT("'"&amp;Сводка!$B$2&amp;"'!D76"))</f>
        <v>439722</v>
      </c>
      <c r="G7" s="34" t="n">
        <f aca="true" t="array" ref="G7:G7">IFERROR(F7/(N(INDIRECT("'"&amp;Сводка!$B$3&amp;"'!D4"))+N(INDIRECT("'"&amp;Сводка!$B$3&amp;"'!D32"))+N(INDIRECT("'"&amp;Сводка!$B$3&amp;"'!D53"))+N(INDIRECT("'"&amp;Сводка!$B$3&amp;"'!D76")))-1,"")</f>
        <v>0.216425486946972</v>
      </c>
      <c r="H7" s="32" t="n">
        <f aca="true" t="array" ref="H7:H7">IF(INDIRECT("'"&amp;Сводка!$B$2&amp;"'!H4")="","—",INDIRECT("'"&amp;Сводка!$B$2&amp;"'!H4"))</f>
        <v>326</v>
      </c>
      <c r="I7" s="32" t="n">
        <f aca="true" t="array" ref="I7:I7">IF(INDIRECT("'"&amp;Сводка!$B$2&amp;"'!H32")="","—",INDIRECT("'"&amp;Сводка!$B$2&amp;"'!H32"))</f>
        <v>54</v>
      </c>
      <c r="J7" s="32" t="n">
        <f aca="true" t="array" ref="J7:J7">IF(INDIRECT("'"&amp;Сводка!$B$2&amp;"'!H53")="","—",INDIRECT("'"&amp;Сводка!$B$2&amp;"'!H53"))</f>
        <v>41</v>
      </c>
      <c r="K7" s="32" t="n">
        <f aca="true" t="array" ref="K7:K7">IF(INDIRECT("'"&amp;Сводка!$B$2&amp;"'!H76")="","—",INDIRECT("'"&amp;Сводка!$B$2&amp;"'!H76"))</f>
        <v>307</v>
      </c>
      <c r="L7" s="32" t="n">
        <f aca="true" t="array" ref="L7:L7">N(INDIRECT("'"&amp;Сводка!$B$2&amp;"'!H4"))+N(INDIRECT("'"&amp;Сводка!$B$2&amp;"'!H32"))+N(INDIRECT("'"&amp;Сводка!$B$2&amp;"'!H53"))+N(INDIRECT("'"&amp;Сводка!$B$2&amp;"'!H76"))</f>
        <v>728</v>
      </c>
      <c r="M7" s="34" t="n">
        <f aca="true" t="array" ref="M7:M7">IFERROR(L7/(N(INDIRECT("'"&amp;Сводка!$B$3&amp;"'!H4"))+N(INDIRECT("'"&amp;Сводка!$B$3&amp;"'!H32"))+N(INDIRECT("'"&amp;Сводка!$B$3&amp;"'!H53"))+N(INDIRECT("'"&amp;Сводка!$B$3&amp;"'!H76")))-1,"")</f>
        <v>-0.297297297297297</v>
      </c>
      <c r="N7" s="32" t="n">
        <f aca="true" t="array" ref="N7:N7">N(INDIRECT("'"&amp;Сводка!$B$2&amp;"'!C4"))+N(INDIRECT("'"&amp;Сводка!$B$2&amp;"'!C32"))+N(INDIRECT("'"&amp;Сводка!$B$2&amp;"'!C53"))+N(INDIRECT("'"&amp;Сводка!$B$2&amp;"'!C76"))</f>
        <v>502</v>
      </c>
      <c r="O7" s="52" t="n">
        <f aca="false">IFERROR(L7/F7*1000,"")</f>
        <v>1.65559148734883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42</v>
      </c>
      <c r="B8" s="32" t="n">
        <f aca="true" t="array" ref="B8:B8">IF(INDIRECT("'"&amp;Сводка!$B$2&amp;"'!D6")="","—",INDIRECT("'"&amp;Сводка!$B$2&amp;"'!D6"))</f>
        <v>59201</v>
      </c>
      <c r="C8" s="32" t="n">
        <f aca="true" t="array" ref="C8:C8">IF(INDIRECT("'"&amp;Сводка!$B$2&amp;"'!D33")="","—",INDIRECT("'"&amp;Сводка!$B$2&amp;"'!D33"))</f>
        <v>20354</v>
      </c>
      <c r="D8" s="32" t="n">
        <f aca="true" t="array" ref="D8:D8">IF(INDIRECT("'"&amp;Сводка!$B$2&amp;"'!D54")="","—",INDIRECT("'"&amp;Сводка!$B$2&amp;"'!D54"))</f>
        <v>1844</v>
      </c>
      <c r="E8" s="32" t="n">
        <f aca="true" t="array" ref="E8:E8">IF(INDIRECT("'"&amp;Сводка!$B$2&amp;"'!D77")="","—",INDIRECT("'"&amp;Сводка!$B$2&amp;"'!D77"))</f>
        <v>5512</v>
      </c>
      <c r="F8" s="32" t="n">
        <f aca="true" t="array" ref="F8:F8">N(INDIRECT("'"&amp;Сводка!$B$2&amp;"'!D6"))+N(INDIRECT("'"&amp;Сводка!$B$2&amp;"'!D33"))+N(INDIRECT("'"&amp;Сводка!$B$2&amp;"'!D54"))+N(INDIRECT("'"&amp;Сводка!$B$2&amp;"'!D77"))</f>
        <v>86911</v>
      </c>
      <c r="G8" s="34" t="n">
        <f aca="true" t="array" ref="G8:G8">IFERROR(F8/(N(INDIRECT("'"&amp;Сводка!$B$3&amp;"'!D6"))+N(INDIRECT("'"&amp;Сводка!$B$3&amp;"'!D33"))+N(INDIRECT("'"&amp;Сводка!$B$3&amp;"'!D54"))+N(INDIRECT("'"&amp;Сводка!$B$3&amp;"'!D77")))-1,"")</f>
        <v>-0.218355967263243</v>
      </c>
      <c r="H8" s="32" t="n">
        <f aca="true" t="array" ref="H8:H8">IF(INDIRECT("'"&amp;Сводка!$B$2&amp;"'!H6")="","—",INDIRECT("'"&amp;Сводка!$B$2&amp;"'!H6"))</f>
        <v>453</v>
      </c>
      <c r="I8" s="32" t="n">
        <f aca="true" t="array" ref="I8:I8">IF(INDIRECT("'"&amp;Сводка!$B$2&amp;"'!H33")="","—",INDIRECT("'"&amp;Сводка!$B$2&amp;"'!H33"))</f>
        <v>8</v>
      </c>
      <c r="J8" s="32" t="n">
        <f aca="true" t="array" ref="J8:J8">IF(INDIRECT("'"&amp;Сводка!$B$2&amp;"'!H54")="","—",INDIRECT("'"&amp;Сводка!$B$2&amp;"'!H54"))</f>
        <v>5</v>
      </c>
      <c r="K8" s="32" t="n">
        <f aca="true" t="array" ref="K8:K8">IF(INDIRECT("'"&amp;Сводка!$B$2&amp;"'!H77")="","—",INDIRECT("'"&amp;Сводка!$B$2&amp;"'!H77"))</f>
        <v>11</v>
      </c>
      <c r="L8" s="32" t="n">
        <f aca="true" t="array" ref="L8:L8">N(INDIRECT("'"&amp;Сводка!$B$2&amp;"'!H6"))+N(INDIRECT("'"&amp;Сводка!$B$2&amp;"'!H33"))+N(INDIRECT("'"&amp;Сводка!$B$2&amp;"'!H54"))+N(INDIRECT("'"&amp;Сводка!$B$2&amp;"'!H77"))</f>
        <v>477</v>
      </c>
      <c r="M8" s="34" t="n">
        <f aca="true" t="array" ref="M8:M8">IFERROR(L8/(N(INDIRECT("'"&amp;Сводка!$B$3&amp;"'!H6"))+N(INDIRECT("'"&amp;Сводка!$B$3&amp;"'!H33"))+N(INDIRECT("'"&amp;Сводка!$B$3&amp;"'!H54"))+N(INDIRECT("'"&amp;Сводка!$B$3&amp;"'!H77")))-1,"")</f>
        <v>-0.0421686746987952</v>
      </c>
      <c r="N8" s="32" t="n">
        <f aca="true" t="array" ref="N8:N8">N(INDIRECT("'"&amp;Сводка!$B$2&amp;"'!C6"))+N(INDIRECT("'"&amp;Сводка!$B$2&amp;"'!C33"))+N(INDIRECT("'"&amp;Сводка!$B$2&amp;"'!C54"))+N(INDIRECT("'"&amp;Сводка!$B$2&amp;"'!C77"))</f>
        <v>327</v>
      </c>
      <c r="O8" s="52" t="n">
        <f aca="false">IFERROR(L8/F8*1000,"")</f>
        <v>5.48837316335102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5" t="s">
        <v>94</v>
      </c>
      <c r="B9" s="36" t="n">
        <f aca="false">SUM(B6:B8)</f>
        <v>1985987</v>
      </c>
      <c r="C9" s="36" t="n">
        <f aca="false">SUM(C6:C8)</f>
        <v>290574</v>
      </c>
      <c r="D9" s="36" t="n">
        <f aca="false">SUM(D6:D8)</f>
        <v>81976</v>
      </c>
      <c r="E9" s="36" t="n">
        <f aca="false">SUM(E6:E8)</f>
        <v>227883</v>
      </c>
      <c r="F9" s="36" t="n">
        <f aca="false">SUM(F6:F8)</f>
        <v>2586420</v>
      </c>
      <c r="G9" s="38" t="n">
        <f aca="true" t="array" ref="G9:G9">IFERROR(F9/(N(INDIRECT("'"&amp;Сводка!$B$3&amp;"'!D3"))+N(INDIRECT("'"&amp;Сводка!$B$3&amp;"'!D31"))+N(INDIRECT("'"&amp;Сводка!$B$3&amp;"'!D52"))+N(INDIRECT("'"&amp;Сводка!$B$3&amp;"'!D75"))+N(INDIRECT("'"&amp;Сводка!$B$3&amp;"'!D4"))+N(INDIRECT("'"&amp;Сводка!$B$3&amp;"'!D32"))+N(INDIRECT("'"&amp;Сводка!$B$3&amp;"'!D53"))+N(INDIRECT("'"&amp;Сводка!$B$3&amp;"'!D76"))+N(INDIRECT("'"&amp;Сводка!$B$3&amp;"'!D6"))+N(INDIRECT("'"&amp;Сводка!$B$3&amp;"'!D33"))+N(INDIRECT("'"&amp;Сводка!$B$3&amp;"'!D54"))+N(INDIRECT("'"&amp;Сводка!$B$3&amp;"'!D77")))-1,"")</f>
        <v>-0.228539291725563</v>
      </c>
      <c r="H9" s="36" t="n">
        <f aca="false">SUM(H6:H8)</f>
        <v>5300</v>
      </c>
      <c r="I9" s="36" t="n">
        <f aca="false">SUM(I6:I8)</f>
        <v>171</v>
      </c>
      <c r="J9" s="36" t="n">
        <f aca="false">SUM(J6:J8)</f>
        <v>313</v>
      </c>
      <c r="K9" s="36" t="n">
        <f aca="false">SUM(K6:K8)</f>
        <v>1937</v>
      </c>
      <c r="L9" s="36" t="n">
        <f aca="false">SUM(L6:L8)</f>
        <v>7721</v>
      </c>
      <c r="M9" s="38" t="n">
        <f aca="true" t="array" ref="M9:M9">IFERROR(L9/(N(INDIRECT("'"&amp;Сводка!$B$3&amp;"'!H3"))+N(INDIRECT("'"&amp;Сводка!$B$3&amp;"'!H31"))+N(INDIRECT("'"&amp;Сводка!$B$3&amp;"'!H52"))+N(INDIRECT("'"&amp;Сводка!$B$3&amp;"'!H75"))+N(INDIRECT("'"&amp;Сводка!$B$3&amp;"'!H4"))+N(INDIRECT("'"&amp;Сводка!$B$3&amp;"'!H32"))+N(INDIRECT("'"&amp;Сводка!$B$3&amp;"'!H53"))+N(INDIRECT("'"&amp;Сводка!$B$3&amp;"'!H76"))+N(INDIRECT("'"&amp;Сводка!$B$3&amp;"'!H6"))+N(INDIRECT("'"&amp;Сводка!$B$3&amp;"'!H33"))+N(INDIRECT("'"&amp;Сводка!$B$3&amp;"'!H54"))+N(INDIRECT("'"&amp;Сводка!$B$3&amp;"'!H77")))-1,"")</f>
        <v>-0.166198704103672</v>
      </c>
      <c r="N9" s="36" t="n">
        <f aca="false">SUM(N6:N8)</f>
        <v>1340</v>
      </c>
      <c r="O9" s="53" t="n">
        <f aca="false">IFERROR(L9/F9*1000,"")</f>
        <v>2.98520735224751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"/>
      <c r="B10" s="54"/>
      <c r="C10" s="54"/>
      <c r="D10" s="54"/>
      <c r="E10" s="54"/>
      <c r="F10" s="54"/>
      <c r="G10" s="55"/>
      <c r="H10" s="54"/>
      <c r="I10" s="54"/>
      <c r="J10" s="54"/>
      <c r="K10" s="54"/>
      <c r="L10" s="54"/>
      <c r="M10" s="55"/>
      <c r="N10" s="54"/>
      <c r="O10" s="5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48" t="s">
        <v>95</v>
      </c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50"/>
      <c r="N11" s="49"/>
      <c r="O11" s="5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43</v>
      </c>
      <c r="B12" s="32" t="n">
        <f aca="true" t="array" ref="B12:B12">IF(INDIRECT("'"&amp;Сводка!$B$2&amp;"'!D7")="","—",INDIRECT("'"&amp;Сводка!$B$2&amp;"'!D7"))</f>
        <v>112105</v>
      </c>
      <c r="C12" s="32" t="n">
        <f aca="true" t="array" ref="C12:C12">IF(INDIRECT("'"&amp;Сводка!$B$2&amp;"'!D34")="","—",INDIRECT("'"&amp;Сводка!$B$2&amp;"'!D34"))</f>
        <v>742</v>
      </c>
      <c r="D12" s="32" t="n">
        <f aca="true" t="array" ref="D12:D12">IF(INDIRECT("'"&amp;Сводка!$B$2&amp;"'!D57")="","—",INDIRECT("'"&amp;Сводка!$B$2&amp;"'!D57"))</f>
        <v>65072</v>
      </c>
      <c r="E12" s="32" t="n">
        <f aca="true" t="array" ref="E12:E12">IF(INDIRECT("'"&amp;Сводка!$B$2&amp;"'!D80")="","—",INDIRECT("'"&amp;Сводка!$B$2&amp;"'!D80"))</f>
        <v>173061</v>
      </c>
      <c r="F12" s="32" t="n">
        <f aca="true" t="array" ref="F12:F12">N(INDIRECT("'"&amp;Сводка!$B$2&amp;"'!D7"))+N(INDIRECT("'"&amp;Сводка!$B$2&amp;"'!D34"))+N(INDIRECT("'"&amp;Сводка!$B$2&amp;"'!D57"))+N(INDIRECT("'"&amp;Сводка!$B$2&amp;"'!D80"))</f>
        <v>350980</v>
      </c>
      <c r="G12" s="34" t="n">
        <f aca="true" t="array" ref="G12:G12">IFERROR(F12/(N(INDIRECT("'"&amp;Сводка!$B$3&amp;"'!D7"))+N(INDIRECT("'"&amp;Сводка!$B$3&amp;"'!D34"))+N(INDIRECT("'"&amp;Сводка!$B$3&amp;"'!D57"))+N(INDIRECT("'"&amp;Сводка!$B$3&amp;"'!D80")))-1,"")</f>
        <v>0.224787482028447</v>
      </c>
      <c r="H12" s="32" t="n">
        <f aca="true" t="array" ref="H12:H12">IF(INDIRECT("'"&amp;Сводка!$B$2&amp;"'!H7")="","—",INDIRECT("'"&amp;Сводка!$B$2&amp;"'!H7"))</f>
        <v>916</v>
      </c>
      <c r="I12" s="32" t="n">
        <f aca="true" t="array" ref="I12:I12">IF(INDIRECT("'"&amp;Сводка!$B$2&amp;"'!H34")="","—",INDIRECT("'"&amp;Сводка!$B$2&amp;"'!H34"))</f>
        <v>0</v>
      </c>
      <c r="J12" s="32" t="n">
        <f aca="true" t="array" ref="J12:J12">IF(INDIRECT("'"&amp;Сводка!$B$2&amp;"'!H57")="","—",INDIRECT("'"&amp;Сводка!$B$2&amp;"'!H57"))</f>
        <v>255</v>
      </c>
      <c r="K12" s="32" t="n">
        <f aca="true" t="array" ref="K12:K12">IF(INDIRECT("'"&amp;Сводка!$B$2&amp;"'!H80")="","—",INDIRECT("'"&amp;Сводка!$B$2&amp;"'!H80"))</f>
        <v>1575</v>
      </c>
      <c r="L12" s="32" t="n">
        <f aca="true" t="array" ref="L12:L12">N(INDIRECT("'"&amp;Сводка!$B$2&amp;"'!H7"))+N(INDIRECT("'"&amp;Сводка!$B$2&amp;"'!H34"))+N(INDIRECT("'"&amp;Сводка!$B$2&amp;"'!H57"))+N(INDIRECT("'"&amp;Сводка!$B$2&amp;"'!H80"))</f>
        <v>2746</v>
      </c>
      <c r="M12" s="34" t="n">
        <f aca="true" t="array" ref="M12:M12">IFERROR(L12/(N(INDIRECT("'"&amp;Сводка!$B$3&amp;"'!H7"))+N(INDIRECT("'"&amp;Сводка!$B$3&amp;"'!H34"))+N(INDIRECT("'"&amp;Сводка!$B$3&amp;"'!H57"))+N(INDIRECT("'"&amp;Сводка!$B$3&amp;"'!H80")))-1,"")</f>
        <v>0.0319428786170612</v>
      </c>
      <c r="N12" s="32" t="n">
        <f aca="true" t="array" ref="N12:N12">N(INDIRECT("'"&amp;Сводка!$B$2&amp;"'!C7"))+N(INDIRECT("'"&amp;Сводка!$B$2&amp;"'!C34"))+N(INDIRECT("'"&amp;Сводка!$B$2&amp;"'!C57"))+N(INDIRECT("'"&amp;Сводка!$B$2&amp;"'!C80"))</f>
        <v>405</v>
      </c>
      <c r="O12" s="52" t="n">
        <f aca="false">IFERROR(L12/F12*1000,"")</f>
        <v>7.82380762436606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44</v>
      </c>
      <c r="B13" s="32" t="n">
        <f aca="true" t="array" ref="B13:B13">IF(INDIRECT("'"&amp;Сводка!$B$2&amp;"'!D8")="","—",INDIRECT("'"&amp;Сводка!$B$2&amp;"'!D8"))</f>
        <v>184234</v>
      </c>
      <c r="C13" s="32" t="n">
        <f aca="true" t="array" ref="C13:C13">IF(INDIRECT("'"&amp;Сводка!$B$2&amp;"'!D35")="","—",INDIRECT("'"&amp;Сводка!$B$2&amp;"'!D35"))</f>
        <v>8077</v>
      </c>
      <c r="D13" s="32" t="n">
        <f aca="true" t="array" ref="D13:D13">IF(INDIRECT("'"&amp;Сводка!$B$2&amp;"'!D58")="","—",INDIRECT("'"&amp;Сводка!$B$2&amp;"'!D58"))</f>
        <v>18992</v>
      </c>
      <c r="E13" s="32" t="n">
        <f aca="true" t="array" ref="E13:E13">IF(INDIRECT("'"&amp;Сводка!$B$2&amp;"'!D81")="","—",INDIRECT("'"&amp;Сводка!$B$2&amp;"'!D81"))</f>
        <v>73321</v>
      </c>
      <c r="F13" s="32" t="n">
        <f aca="true" t="array" ref="F13:F13">N(INDIRECT("'"&amp;Сводка!$B$2&amp;"'!D8"))+N(INDIRECT("'"&amp;Сводка!$B$2&amp;"'!D35"))+N(INDIRECT("'"&amp;Сводка!$B$2&amp;"'!D58"))+N(INDIRECT("'"&amp;Сводка!$B$2&amp;"'!D81"))</f>
        <v>284624</v>
      </c>
      <c r="G13" s="34" t="n">
        <f aca="true" t="array" ref="G13:G13">IFERROR(F13/(N(INDIRECT("'"&amp;Сводка!$B$3&amp;"'!D8"))+N(INDIRECT("'"&amp;Сводка!$B$3&amp;"'!D35"))+N(INDIRECT("'"&amp;Сводка!$B$3&amp;"'!D58"))+N(INDIRECT("'"&amp;Сводка!$B$3&amp;"'!D81")))-1,"")</f>
        <v>-0.00908321815390289</v>
      </c>
      <c r="H13" s="32" t="n">
        <f aca="true" t="array" ref="H13:H13">IF(INDIRECT("'"&amp;Сводка!$B$2&amp;"'!H8")="","—",INDIRECT("'"&amp;Сводка!$B$2&amp;"'!H8"))</f>
        <v>2347</v>
      </c>
      <c r="I13" s="32" t="n">
        <f aca="true" t="array" ref="I13:I13">IF(INDIRECT("'"&amp;Сводка!$B$2&amp;"'!H35")="","—",INDIRECT("'"&amp;Сводка!$B$2&amp;"'!H35"))</f>
        <v>93</v>
      </c>
      <c r="J13" s="32" t="n">
        <f aca="true" t="array" ref="J13:J13">IF(INDIRECT("'"&amp;Сводка!$B$2&amp;"'!H58")="","—",INDIRECT("'"&amp;Сводка!$B$2&amp;"'!H58"))</f>
        <v>294</v>
      </c>
      <c r="K13" s="32" t="n">
        <f aca="true" t="array" ref="K13:K13">IF(INDIRECT("'"&amp;Сводка!$B$2&amp;"'!H81")="","—",INDIRECT("'"&amp;Сводка!$B$2&amp;"'!H81"))</f>
        <v>1449</v>
      </c>
      <c r="L13" s="32" t="n">
        <f aca="true" t="array" ref="L13:L13">N(INDIRECT("'"&amp;Сводка!$B$2&amp;"'!H8"))+N(INDIRECT("'"&amp;Сводка!$B$2&amp;"'!H35"))+N(INDIRECT("'"&amp;Сводка!$B$2&amp;"'!H58"))+N(INDIRECT("'"&amp;Сводка!$B$2&amp;"'!H81"))</f>
        <v>4183</v>
      </c>
      <c r="M13" s="34" t="n">
        <f aca="true" t="array" ref="M13:M13">IFERROR(L13/(N(INDIRECT("'"&amp;Сводка!$B$3&amp;"'!H8"))+N(INDIRECT("'"&amp;Сводка!$B$3&amp;"'!H35"))+N(INDIRECT("'"&amp;Сводка!$B$3&amp;"'!H58"))+N(INDIRECT("'"&amp;Сводка!$B$3&amp;"'!H81")))-1,"")</f>
        <v>-0.0529771338012226</v>
      </c>
      <c r="N13" s="32" t="n">
        <f aca="true" t="array" ref="N13:N13">N(INDIRECT("'"&amp;Сводка!$B$2&amp;"'!C8"))+N(INDIRECT("'"&amp;Сводка!$B$2&amp;"'!C35"))+N(INDIRECT("'"&amp;Сводка!$B$2&amp;"'!C58"))+N(INDIRECT("'"&amp;Сводка!$B$2&amp;"'!C81"))</f>
        <v>329</v>
      </c>
      <c r="O13" s="52" t="n">
        <f aca="false">IFERROR(L13/F13*1000,"")</f>
        <v>14.6965821575131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45</v>
      </c>
      <c r="B14" s="32" t="n">
        <f aca="true" t="array" ref="B14:B14">IF(INDIRECT("'"&amp;Сводка!$B$2&amp;"'!D9")="","—",INDIRECT("'"&amp;Сводка!$B$2&amp;"'!D9"))</f>
        <v>214009</v>
      </c>
      <c r="C14" s="32" t="n">
        <f aca="true" t="array" ref="C14:C14">IF(INDIRECT("'"&amp;Сводка!$B$2&amp;"'!D36")="","—",INDIRECT("'"&amp;Сводка!$B$2&amp;"'!D36"))</f>
        <v>27190</v>
      </c>
      <c r="D14" s="32" t="n">
        <f aca="true" t="array" ref="D14:D14">IF(INDIRECT("'"&amp;Сводка!$B$2&amp;"'!D59")="","—",INDIRECT("'"&amp;Сводка!$B$2&amp;"'!D59"))</f>
        <v>30303</v>
      </c>
      <c r="E14" s="32" t="n">
        <f aca="true" t="array" ref="E14:E14">IF(INDIRECT("'"&amp;Сводка!$B$2&amp;"'!D82")="","—",INDIRECT("'"&amp;Сводка!$B$2&amp;"'!D82"))</f>
        <v>155131</v>
      </c>
      <c r="F14" s="32" t="n">
        <f aca="true" t="array" ref="F14:F14">N(INDIRECT("'"&amp;Сводка!$B$2&amp;"'!D9"))+N(INDIRECT("'"&amp;Сводка!$B$2&amp;"'!D36"))+N(INDIRECT("'"&amp;Сводка!$B$2&amp;"'!D59"))+N(INDIRECT("'"&amp;Сводка!$B$2&amp;"'!D82"))</f>
        <v>426633</v>
      </c>
      <c r="G14" s="34" t="n">
        <f aca="true" t="array" ref="G14:G14">IFERROR(F14/(N(INDIRECT("'"&amp;Сводка!$B$3&amp;"'!D9"))+N(INDIRECT("'"&amp;Сводка!$B$3&amp;"'!D36"))+N(INDIRECT("'"&amp;Сводка!$B$3&amp;"'!D59"))+N(INDIRECT("'"&amp;Сводка!$B$3&amp;"'!D82")))-1,"")</f>
        <v>-0.215980197037274</v>
      </c>
      <c r="H14" s="32" t="n">
        <f aca="true" t="array" ref="H14:H14">IF(INDIRECT("'"&amp;Сводка!$B$2&amp;"'!H9")="","—",INDIRECT("'"&amp;Сводка!$B$2&amp;"'!H9"))</f>
        <v>2868</v>
      </c>
      <c r="I14" s="32" t="n">
        <f aca="true" t="array" ref="I14:I14">IF(INDIRECT("'"&amp;Сводка!$B$2&amp;"'!H36")="","—",INDIRECT("'"&amp;Сводка!$B$2&amp;"'!H36"))</f>
        <v>374</v>
      </c>
      <c r="J14" s="32" t="n">
        <f aca="true" t="array" ref="J14:J14">IF(INDIRECT("'"&amp;Сводка!$B$2&amp;"'!H59")="","—",INDIRECT("'"&amp;Сводка!$B$2&amp;"'!H59"))</f>
        <v>212</v>
      </c>
      <c r="K14" s="32" t="n">
        <f aca="true" t="array" ref="K14:K14">IF(INDIRECT("'"&amp;Сводка!$B$2&amp;"'!H82")="","—",INDIRECT("'"&amp;Сводка!$B$2&amp;"'!H82"))</f>
        <v>3068</v>
      </c>
      <c r="L14" s="32" t="n">
        <f aca="true" t="array" ref="L14:L14">N(INDIRECT("'"&amp;Сводка!$B$2&amp;"'!H9"))+N(INDIRECT("'"&amp;Сводка!$B$2&amp;"'!H36"))+N(INDIRECT("'"&amp;Сводка!$B$2&amp;"'!H59"))+N(INDIRECT("'"&amp;Сводка!$B$2&amp;"'!H82"))</f>
        <v>6522</v>
      </c>
      <c r="M14" s="34" t="n">
        <f aca="true" t="array" ref="M14:M14">IFERROR(L14/(N(INDIRECT("'"&amp;Сводка!$B$3&amp;"'!H9"))+N(INDIRECT("'"&amp;Сводка!$B$3&amp;"'!H36"))+N(INDIRECT("'"&amp;Сводка!$B$3&amp;"'!H59"))+N(INDIRECT("'"&amp;Сводка!$B$3&amp;"'!H82")))-1,"")</f>
        <v>-0.19620409169337</v>
      </c>
      <c r="N14" s="32" t="n">
        <f aca="true" t="array" ref="N14:N14">N(INDIRECT("'"&amp;Сводка!$B$2&amp;"'!C9"))+N(INDIRECT("'"&amp;Сводка!$B$2&amp;"'!C36"))+N(INDIRECT("'"&amp;Сводка!$B$2&amp;"'!C59"))+N(INDIRECT("'"&amp;Сводка!$B$2&amp;"'!C82"))</f>
        <v>356</v>
      </c>
      <c r="O14" s="52" t="n">
        <f aca="false">IFERROR(L14/F14*1000,"")</f>
        <v>15.2871437511866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46</v>
      </c>
      <c r="B15" s="32" t="n">
        <f aca="true" t="array" ref="B15:B15">IF(INDIRECT("'"&amp;Сводка!$B$2&amp;"'!D10")="","—",INDIRECT("'"&amp;Сводка!$B$2&amp;"'!D10"))</f>
        <v>169334</v>
      </c>
      <c r="C15" s="32" t="n">
        <f aca="true" t="array" ref="C15:C15">IF(INDIRECT("'"&amp;Сводка!$B$2&amp;"'!D37")="","—",INDIRECT("'"&amp;Сводка!$B$2&amp;"'!D37"))</f>
        <v>5941</v>
      </c>
      <c r="D15" s="32" t="n">
        <f aca="true" t="array" ref="D15:D15">IF(INDIRECT("'"&amp;Сводка!$B$2&amp;"'!D60")="","—",INDIRECT("'"&amp;Сводка!$B$2&amp;"'!D60"))</f>
        <v>63579</v>
      </c>
      <c r="E15" s="32" t="n">
        <f aca="true" t="array" ref="E15:E15">IF(INDIRECT("'"&amp;Сводка!$B$2&amp;"'!D83")="","—",INDIRECT("'"&amp;Сводка!$B$2&amp;"'!D83"))</f>
        <v>89206</v>
      </c>
      <c r="F15" s="32" t="n">
        <f aca="true" t="array" ref="F15:F15">N(INDIRECT("'"&amp;Сводка!$B$2&amp;"'!D10"))+N(INDIRECT("'"&amp;Сводка!$B$2&amp;"'!D37"))+N(INDIRECT("'"&amp;Сводка!$B$2&amp;"'!D60"))+N(INDIRECT("'"&amp;Сводка!$B$2&amp;"'!D83"))</f>
        <v>328060</v>
      </c>
      <c r="G15" s="34" t="n">
        <f aca="true" t="array" ref="G15:G15">IFERROR(F15/(N(INDIRECT("'"&amp;Сводка!$B$3&amp;"'!D10"))+N(INDIRECT("'"&amp;Сводка!$B$3&amp;"'!D37"))+N(INDIRECT("'"&amp;Сводка!$B$3&amp;"'!D60"))+N(INDIRECT("'"&amp;Сводка!$B$3&amp;"'!D83")))-1,"")</f>
        <v>-0.122414203589418</v>
      </c>
      <c r="H15" s="32" t="n">
        <f aca="true" t="array" ref="H15:H15">IF(INDIRECT("'"&amp;Сводка!$B$2&amp;"'!H10")="","—",INDIRECT("'"&amp;Сводка!$B$2&amp;"'!H10"))</f>
        <v>1168</v>
      </c>
      <c r="I15" s="32" t="n">
        <f aca="true" t="array" ref="I15:I15">IF(INDIRECT("'"&amp;Сводка!$B$2&amp;"'!H37")="","—",INDIRECT("'"&amp;Сводка!$B$2&amp;"'!H37"))</f>
        <v>68</v>
      </c>
      <c r="J15" s="32" t="n">
        <f aca="true" t="array" ref="J15:J15">IF(INDIRECT("'"&amp;Сводка!$B$2&amp;"'!H60")="","—",INDIRECT("'"&amp;Сводка!$B$2&amp;"'!H60"))</f>
        <v>285</v>
      </c>
      <c r="K15" s="32" t="n">
        <f aca="true" t="array" ref="K15:K15">IF(INDIRECT("'"&amp;Сводка!$B$2&amp;"'!H83")="","—",INDIRECT("'"&amp;Сводка!$B$2&amp;"'!H83"))</f>
        <v>691</v>
      </c>
      <c r="L15" s="32" t="n">
        <f aca="true" t="array" ref="L15:L15">N(INDIRECT("'"&amp;Сводка!$B$2&amp;"'!H10"))+N(INDIRECT("'"&amp;Сводка!$B$2&amp;"'!H37"))+N(INDIRECT("'"&amp;Сводка!$B$2&amp;"'!H60"))+N(INDIRECT("'"&amp;Сводка!$B$2&amp;"'!H83"))</f>
        <v>2212</v>
      </c>
      <c r="M15" s="34" t="n">
        <f aca="true" t="array" ref="M15:M15">IFERROR(L15/(N(INDIRECT("'"&amp;Сводка!$B$3&amp;"'!H10"))+N(INDIRECT("'"&amp;Сводка!$B$3&amp;"'!H37"))+N(INDIRECT("'"&amp;Сводка!$B$3&amp;"'!H60"))+N(INDIRECT("'"&amp;Сводка!$B$3&amp;"'!H83")))-1,"")</f>
        <v>-0.276887871853547</v>
      </c>
      <c r="N15" s="32" t="n">
        <f aca="true" t="array" ref="N15:N15">N(INDIRECT("'"&amp;Сводка!$B$2&amp;"'!C10"))+N(INDIRECT("'"&amp;Сводка!$B$2&amp;"'!C37"))+N(INDIRECT("'"&amp;Сводка!$B$2&amp;"'!C60"))+N(INDIRECT("'"&amp;Сводка!$B$2&amp;"'!C83"))</f>
        <v>570</v>
      </c>
      <c r="O15" s="52" t="n">
        <f aca="false">IFERROR(L15/F15*1000,"")</f>
        <v>6.74266902395903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47</v>
      </c>
      <c r="B16" s="32" t="n">
        <f aca="true" t="array" ref="B16:B16">IF(INDIRECT("'"&amp;Сводка!$B$2&amp;"'!D11")="","—",INDIRECT("'"&amp;Сводка!$B$2&amp;"'!D11"))</f>
        <v>387676</v>
      </c>
      <c r="C16" s="32" t="n">
        <f aca="true" t="array" ref="C16:C16">IF(INDIRECT("'"&amp;Сводка!$B$2&amp;"'!D38")="","—",INDIRECT("'"&amp;Сводка!$B$2&amp;"'!D38"))</f>
        <v>7964</v>
      </c>
      <c r="D16" s="32" t="n">
        <f aca="true" t="array" ref="D16:D16">IF(INDIRECT("'"&amp;Сводка!$B$2&amp;"'!D61")="","—",INDIRECT("'"&amp;Сводка!$B$2&amp;"'!D61"))</f>
        <v>13159</v>
      </c>
      <c r="E16" s="32" t="n">
        <f aca="true" t="array" ref="E16:E16">IF(INDIRECT("'"&amp;Сводка!$B$2&amp;"'!D84")="","—",INDIRECT("'"&amp;Сводка!$B$2&amp;"'!D84"))</f>
        <v>27080</v>
      </c>
      <c r="F16" s="32" t="n">
        <f aca="true" t="array" ref="F16:F16">N(INDIRECT("'"&amp;Сводка!$B$2&amp;"'!D11"))+N(INDIRECT("'"&amp;Сводка!$B$2&amp;"'!D38"))+N(INDIRECT("'"&amp;Сводка!$B$2&amp;"'!D61"))+N(INDIRECT("'"&amp;Сводка!$B$2&amp;"'!D84"))</f>
        <v>435879</v>
      </c>
      <c r="G16" s="34" t="n">
        <f aca="true" t="array" ref="G16:G16">IFERROR(F16/(N(INDIRECT("'"&amp;Сводка!$B$3&amp;"'!D11"))+N(INDIRECT("'"&amp;Сводка!$B$3&amp;"'!D38"))+N(INDIRECT("'"&amp;Сводка!$B$3&amp;"'!D61"))+N(INDIRECT("'"&amp;Сводка!$B$3&amp;"'!D84")))-1,"")</f>
        <v>0.052776623803221</v>
      </c>
      <c r="H16" s="32" t="n">
        <f aca="true" t="array" ref="H16:H16">IF(INDIRECT("'"&amp;Сводка!$B$2&amp;"'!H11")="","—",INDIRECT("'"&amp;Сводка!$B$2&amp;"'!H11"))</f>
        <v>3546</v>
      </c>
      <c r="I16" s="32" t="n">
        <f aca="true" t="array" ref="I16:I16">IF(INDIRECT("'"&amp;Сводка!$B$2&amp;"'!H38")="","—",INDIRECT("'"&amp;Сводка!$B$2&amp;"'!H38"))</f>
        <v>201</v>
      </c>
      <c r="J16" s="32" t="n">
        <f aca="true" t="array" ref="J16:J16">IF(INDIRECT("'"&amp;Сводка!$B$2&amp;"'!H61")="","—",INDIRECT("'"&amp;Сводка!$B$2&amp;"'!H61"))</f>
        <v>237</v>
      </c>
      <c r="K16" s="32" t="n">
        <f aca="true" t="array" ref="K16:K16">IF(INDIRECT("'"&amp;Сводка!$B$2&amp;"'!H84")="","—",INDIRECT("'"&amp;Сводка!$B$2&amp;"'!H84"))</f>
        <v>319</v>
      </c>
      <c r="L16" s="32" t="n">
        <f aca="true" t="array" ref="L16:L16">N(INDIRECT("'"&amp;Сводка!$B$2&amp;"'!H11"))+N(INDIRECT("'"&amp;Сводка!$B$2&amp;"'!H38"))+N(INDIRECT("'"&amp;Сводка!$B$2&amp;"'!H61"))+N(INDIRECT("'"&amp;Сводка!$B$2&amp;"'!H84"))</f>
        <v>4303</v>
      </c>
      <c r="M16" s="34" t="n">
        <f aca="true" t="array" ref="M16:M16">IFERROR(L16/(N(INDIRECT("'"&amp;Сводка!$B$3&amp;"'!H11"))+N(INDIRECT("'"&amp;Сводка!$B$3&amp;"'!H38"))+N(INDIRECT("'"&amp;Сводка!$B$3&amp;"'!H61"))+N(INDIRECT("'"&amp;Сводка!$B$3&amp;"'!H84")))-1,"")</f>
        <v>0.216223855285472</v>
      </c>
      <c r="N16" s="32" t="n">
        <f aca="true" t="array" ref="N16:N16">N(INDIRECT("'"&amp;Сводка!$B$2&amp;"'!C11"))+N(INDIRECT("'"&amp;Сводка!$B$2&amp;"'!C38"))+N(INDIRECT("'"&amp;Сводка!$B$2&amp;"'!C61"))+N(INDIRECT("'"&amp;Сводка!$B$2&amp;"'!C84"))</f>
        <v>413</v>
      </c>
      <c r="O16" s="52" t="n">
        <f aca="false">IFERROR(L16/F16*1000,"")</f>
        <v>9.87200576306728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48</v>
      </c>
      <c r="B17" s="32" t="n">
        <f aca="true" t="array" ref="B17:B17">IF(INDIRECT("'"&amp;Сводка!$B$2&amp;"'!D12")="","—",INDIRECT("'"&amp;Сводка!$B$2&amp;"'!D12"))</f>
        <v>182432</v>
      </c>
      <c r="C17" s="32" t="n">
        <f aca="true" t="array" ref="C17:C17">IF(INDIRECT("'"&amp;Сводка!$B$2&amp;"'!D39")="","—",INDIRECT("'"&amp;Сводка!$B$2&amp;"'!D39"))</f>
        <v>4837</v>
      </c>
      <c r="D17" s="32" t="n">
        <f aca="true" t="array" ref="D17:D17">IF(INDIRECT("'"&amp;Сводка!$B$2&amp;"'!D62")="","—",INDIRECT("'"&amp;Сводка!$B$2&amp;"'!D62"))</f>
        <v>34484</v>
      </c>
      <c r="E17" s="32" t="n">
        <f aca="true" t="array" ref="E17:E17">IF(INDIRECT("'"&amp;Сводка!$B$2&amp;"'!D85")="","—",INDIRECT("'"&amp;Сводка!$B$2&amp;"'!D85"))</f>
        <v>10938</v>
      </c>
      <c r="F17" s="32" t="n">
        <f aca="true" t="array" ref="F17:F17">N(INDIRECT("'"&amp;Сводка!$B$2&amp;"'!D12"))+N(INDIRECT("'"&amp;Сводка!$B$2&amp;"'!D39"))+N(INDIRECT("'"&amp;Сводка!$B$2&amp;"'!D62"))+N(INDIRECT("'"&amp;Сводка!$B$2&amp;"'!D85"))</f>
        <v>232691</v>
      </c>
      <c r="G17" s="34" t="n">
        <f aca="true" t="array" ref="G17:G17">IFERROR(F17/(N(INDIRECT("'"&amp;Сводка!$B$3&amp;"'!D12"))+N(INDIRECT("'"&amp;Сводка!$B$3&amp;"'!D39"))+N(INDIRECT("'"&amp;Сводка!$B$3&amp;"'!D62"))+N(INDIRECT("'"&amp;Сводка!$B$3&amp;"'!D85")))-1,"")</f>
        <v>0.704670993831592</v>
      </c>
      <c r="H17" s="32" t="n">
        <f aca="true" t="array" ref="H17:H17">IF(INDIRECT("'"&amp;Сводка!$B$2&amp;"'!H12")="","—",INDIRECT("'"&amp;Сводка!$B$2&amp;"'!H12"))</f>
        <v>2953</v>
      </c>
      <c r="I17" s="32" t="n">
        <f aca="true" t="array" ref="I17:I17">IF(INDIRECT("'"&amp;Сводка!$B$2&amp;"'!H39")="","—",INDIRECT("'"&amp;Сводка!$B$2&amp;"'!H39"))</f>
        <v>18</v>
      </c>
      <c r="J17" s="32" t="n">
        <f aca="true" t="array" ref="J17:J17">IF(INDIRECT("'"&amp;Сводка!$B$2&amp;"'!H62")="","—",INDIRECT("'"&amp;Сводка!$B$2&amp;"'!H62"))</f>
        <v>72</v>
      </c>
      <c r="K17" s="32" t="n">
        <f aca="true" t="array" ref="K17:K17">IF(INDIRECT("'"&amp;Сводка!$B$2&amp;"'!H85")="","—",INDIRECT("'"&amp;Сводка!$B$2&amp;"'!H85"))</f>
        <v>664</v>
      </c>
      <c r="L17" s="32" t="n">
        <f aca="true" t="array" ref="L17:L17">N(INDIRECT("'"&amp;Сводка!$B$2&amp;"'!H12"))+N(INDIRECT("'"&amp;Сводка!$B$2&amp;"'!H39"))+N(INDIRECT("'"&amp;Сводка!$B$2&amp;"'!H62"))+N(INDIRECT("'"&amp;Сводка!$B$2&amp;"'!H85"))</f>
        <v>3707</v>
      </c>
      <c r="M17" s="34" t="n">
        <f aca="true" t="array" ref="M17:M17">IFERROR(L17/(N(INDIRECT("'"&amp;Сводка!$B$3&amp;"'!H12"))+N(INDIRECT("'"&amp;Сводка!$B$3&amp;"'!H39"))+N(INDIRECT("'"&amp;Сводка!$B$3&amp;"'!H62"))+N(INDIRECT("'"&amp;Сводка!$B$3&amp;"'!H85")))-1,"")</f>
        <v>0.519885198851989</v>
      </c>
      <c r="N17" s="32" t="n">
        <f aca="true" t="array" ref="N17:N17">N(INDIRECT("'"&amp;Сводка!$B$2&amp;"'!C12"))+N(INDIRECT("'"&amp;Сводка!$B$2&amp;"'!C39"))+N(INDIRECT("'"&amp;Сводка!$B$2&amp;"'!C62"))+N(INDIRECT("'"&amp;Сводка!$B$2&amp;"'!C85"))</f>
        <v>274</v>
      </c>
      <c r="O17" s="52" t="n">
        <f aca="false">IFERROR(L17/F17*1000,"")</f>
        <v>15.9309986204881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49</v>
      </c>
      <c r="B18" s="32" t="n">
        <f aca="true" t="array" ref="B18:B18">IF(INDIRECT("'"&amp;Сводка!$B$2&amp;"'!D13")="","—",INDIRECT("'"&amp;Сводка!$B$2&amp;"'!D13"))</f>
        <v>22648</v>
      </c>
      <c r="C18" s="32" t="n">
        <f aca="true" t="array" ref="C18:C18">IF(INDIRECT("'"&amp;Сводка!$B$2&amp;"'!D40")="","—",INDIRECT("'"&amp;Сводка!$B$2&amp;"'!D40"))</f>
        <v>4555</v>
      </c>
      <c r="D18" s="32" t="n">
        <f aca="true" t="array" ref="D18:D18">IF(INDIRECT("'"&amp;Сводка!$B$2&amp;"'!D63")="","—",INDIRECT("'"&amp;Сводка!$B$2&amp;"'!D63"))</f>
        <v>18230</v>
      </c>
      <c r="E18" s="32" t="n">
        <f aca="true" t="array" ref="E18:E18">IF(INDIRECT("'"&amp;Сводка!$B$2&amp;"'!D86")="","—",INDIRECT("'"&amp;Сводка!$B$2&amp;"'!D86"))</f>
        <v>43658</v>
      </c>
      <c r="F18" s="32" t="n">
        <f aca="true" t="array" ref="F18:F18">N(INDIRECT("'"&amp;Сводка!$B$2&amp;"'!D13"))+N(INDIRECT("'"&amp;Сводка!$B$2&amp;"'!D40"))+N(INDIRECT("'"&amp;Сводка!$B$2&amp;"'!D63"))+N(INDIRECT("'"&amp;Сводка!$B$2&amp;"'!D86"))</f>
        <v>89091</v>
      </c>
      <c r="G18" s="34" t="n">
        <f aca="true" t="array" ref="G18:G18">IFERROR(F18/(N(INDIRECT("'"&amp;Сводка!$B$3&amp;"'!D13"))+N(INDIRECT("'"&amp;Сводка!$B$3&amp;"'!D40"))+N(INDIRECT("'"&amp;Сводка!$B$3&amp;"'!D63"))+N(INDIRECT("'"&amp;Сводка!$B$3&amp;"'!D86")))-1,"")</f>
        <v>0.100038276803023</v>
      </c>
      <c r="H18" s="32" t="n">
        <f aca="true" t="array" ref="H18:H18">IF(INDIRECT("'"&amp;Сводка!$B$2&amp;"'!H13")="","—",INDIRECT("'"&amp;Сводка!$B$2&amp;"'!H13"))</f>
        <v>380</v>
      </c>
      <c r="I18" s="32" t="n">
        <f aca="true" t="array" ref="I18:I18">IF(INDIRECT("'"&amp;Сводка!$B$2&amp;"'!H40")="","—",INDIRECT("'"&amp;Сводка!$B$2&amp;"'!H40"))</f>
        <v>49</v>
      </c>
      <c r="J18" s="32" t="n">
        <f aca="true" t="array" ref="J18:J18">IF(INDIRECT("'"&amp;Сводка!$B$2&amp;"'!H63")="","—",INDIRECT("'"&amp;Сводка!$B$2&amp;"'!H63"))</f>
        <v>33</v>
      </c>
      <c r="K18" s="32" t="n">
        <f aca="true" t="array" ref="K18:K18">IF(INDIRECT("'"&amp;Сводка!$B$2&amp;"'!H86")="","—",INDIRECT("'"&amp;Сводка!$B$2&amp;"'!H86"))</f>
        <v>326</v>
      </c>
      <c r="L18" s="32" t="n">
        <f aca="true" t="array" ref="L18:L18">N(INDIRECT("'"&amp;Сводка!$B$2&amp;"'!H13"))+N(INDIRECT("'"&amp;Сводка!$B$2&amp;"'!H40"))+N(INDIRECT("'"&amp;Сводка!$B$2&amp;"'!H63"))+N(INDIRECT("'"&amp;Сводка!$B$2&amp;"'!H86"))</f>
        <v>788</v>
      </c>
      <c r="M18" s="34" t="n">
        <f aca="true" t="array" ref="M18:M18">IFERROR(L18/(N(INDIRECT("'"&amp;Сводка!$B$3&amp;"'!H13"))+N(INDIRECT("'"&amp;Сводка!$B$3&amp;"'!H40"))+N(INDIRECT("'"&amp;Сводка!$B$3&amp;"'!H63"))+N(INDIRECT("'"&amp;Сводка!$B$3&amp;"'!H86")))-1,"")</f>
        <v>0.111424541607899</v>
      </c>
      <c r="N18" s="32" t="n">
        <f aca="true" t="array" ref="N18:N18">N(INDIRECT("'"&amp;Сводка!$B$2&amp;"'!C13"))+N(INDIRECT("'"&amp;Сводка!$B$2&amp;"'!C40"))+N(INDIRECT("'"&amp;Сводка!$B$2&amp;"'!C63"))+N(INDIRECT("'"&amp;Сводка!$B$2&amp;"'!C86"))</f>
        <v>219</v>
      </c>
      <c r="O18" s="52" t="n">
        <f aca="false">IFERROR(L18/F18*1000,"")</f>
        <v>8.8448889337868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50</v>
      </c>
      <c r="B19" s="32" t="n">
        <f aca="true" t="array" ref="B19:B19">IF(INDIRECT("'"&amp;Сводка!$B$2&amp;"'!D14")="","—",INDIRECT("'"&amp;Сводка!$B$2&amp;"'!D14"))</f>
        <v>54222</v>
      </c>
      <c r="C19" s="32" t="n">
        <f aca="true" t="array" ref="C19:C19">IF(INDIRECT("'"&amp;Сводка!$B$2&amp;"'!D41")="","—",INDIRECT("'"&amp;Сводка!$B$2&amp;"'!D41"))</f>
        <v>14510</v>
      </c>
      <c r="D19" s="32" t="n">
        <f aca="true" t="array" ref="D19:D19">IF(INDIRECT("'"&amp;Сводка!$B$2&amp;"'!D64")="","—",INDIRECT("'"&amp;Сводка!$B$2&amp;"'!D64"))</f>
        <v>5962</v>
      </c>
      <c r="E19" s="32" t="n">
        <f aca="true" t="array" ref="E19:E19">IF(INDIRECT("'"&amp;Сводка!$B$2&amp;"'!D87")="","—",INDIRECT("'"&amp;Сводка!$B$2&amp;"'!D87"))</f>
        <v>15637</v>
      </c>
      <c r="F19" s="32" t="n">
        <f aca="true" t="array" ref="F19:F19">N(INDIRECT("'"&amp;Сводка!$B$2&amp;"'!D14"))+N(INDIRECT("'"&amp;Сводка!$B$2&amp;"'!D41"))+N(INDIRECT("'"&amp;Сводка!$B$2&amp;"'!D64"))+N(INDIRECT("'"&amp;Сводка!$B$2&amp;"'!D87"))</f>
        <v>90331</v>
      </c>
      <c r="G19" s="34" t="n">
        <f aca="true" t="array" ref="G19:G19">IFERROR(F19/(N(INDIRECT("'"&amp;Сводка!$B$3&amp;"'!D14"))+N(INDIRECT("'"&amp;Сводка!$B$3&amp;"'!D41"))+N(INDIRECT("'"&amp;Сводка!$B$3&amp;"'!D64"))+N(INDIRECT("'"&amp;Сводка!$B$3&amp;"'!D87")))-1,"")</f>
        <v>-0.0289912714451563</v>
      </c>
      <c r="H19" s="32" t="n">
        <f aca="true" t="array" ref="H19:H19">IF(INDIRECT("'"&amp;Сводка!$B$2&amp;"'!H14")="","—",INDIRECT("'"&amp;Сводка!$B$2&amp;"'!H14"))</f>
        <v>545</v>
      </c>
      <c r="I19" s="32" t="n">
        <f aca="true" t="array" ref="I19:I19">IF(INDIRECT("'"&amp;Сводка!$B$2&amp;"'!H41")="","—",INDIRECT("'"&amp;Сводка!$B$2&amp;"'!H41"))</f>
        <v>203</v>
      </c>
      <c r="J19" s="32" t="n">
        <f aca="true" t="array" ref="J19:J19">IF(INDIRECT("'"&amp;Сводка!$B$2&amp;"'!H64")="","—",INDIRECT("'"&amp;Сводка!$B$2&amp;"'!H64"))</f>
        <v>3</v>
      </c>
      <c r="K19" s="32" t="n">
        <f aca="true" t="array" ref="K19:K19">IF(INDIRECT("'"&amp;Сводка!$B$2&amp;"'!H87")="","—",INDIRECT("'"&amp;Сводка!$B$2&amp;"'!H87"))</f>
        <v>95</v>
      </c>
      <c r="L19" s="32" t="n">
        <f aca="true" t="array" ref="L19:L19">N(INDIRECT("'"&amp;Сводка!$B$2&amp;"'!H14"))+N(INDIRECT("'"&amp;Сводка!$B$2&amp;"'!H41"))+N(INDIRECT("'"&amp;Сводка!$B$2&amp;"'!H64"))+N(INDIRECT("'"&amp;Сводка!$B$2&amp;"'!H87"))</f>
        <v>846</v>
      </c>
      <c r="M19" s="34" t="n">
        <f aca="true" t="array" ref="M19:M19">IFERROR(L19/(N(INDIRECT("'"&amp;Сводка!$B$3&amp;"'!H14"))+N(INDIRECT("'"&amp;Сводка!$B$3&amp;"'!H41"))+N(INDIRECT("'"&amp;Сводка!$B$3&amp;"'!H64"))+N(INDIRECT("'"&amp;Сводка!$B$3&amp;"'!H87")))-1,"")</f>
        <v>-0.175438596491228</v>
      </c>
      <c r="N19" s="32" t="n">
        <f aca="true" t="array" ref="N19:N19">N(INDIRECT("'"&amp;Сводка!$B$2&amp;"'!C14"))+N(INDIRECT("'"&amp;Сводка!$B$2&amp;"'!C41"))+N(INDIRECT("'"&amp;Сводка!$B$2&amp;"'!C64"))+N(INDIRECT("'"&amp;Сводка!$B$2&amp;"'!C87"))</f>
        <v>238</v>
      </c>
      <c r="O19" s="52" t="n">
        <f aca="false">IFERROR(L19/F19*1000,"")</f>
        <v>9.365555567856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51</v>
      </c>
      <c r="B20" s="32" t="n">
        <f aca="true" t="array" ref="B20:B20">IF(INDIRECT("'"&amp;Сводка!$B$2&amp;"'!D15")="","—",INDIRECT("'"&amp;Сводка!$B$2&amp;"'!D15"))</f>
        <v>33116</v>
      </c>
      <c r="C20" s="32" t="n">
        <f aca="true" t="array" ref="C20:C20">IF(INDIRECT("'"&amp;Сводка!$B$2&amp;"'!D42")="","—",INDIRECT("'"&amp;Сводка!$B$2&amp;"'!D42"))</f>
        <v>7493</v>
      </c>
      <c r="D20" s="32" t="n">
        <f aca="true" t="array" ref="D20:D20">IF(INDIRECT("'"&amp;Сводка!$B$2&amp;"'!D65")="","—",INDIRECT("'"&amp;Сводка!$B$2&amp;"'!D65"))</f>
        <v>2812</v>
      </c>
      <c r="E20" s="32" t="n">
        <f aca="true" t="array" ref="E20:E20">IF(INDIRECT("'"&amp;Сводка!$B$2&amp;"'!D88")="","—",INDIRECT("'"&amp;Сводка!$B$2&amp;"'!D88"))</f>
        <v>7866</v>
      </c>
      <c r="F20" s="32" t="n">
        <f aca="true" t="array" ref="F20:F20">N(INDIRECT("'"&amp;Сводка!$B$2&amp;"'!D15"))+N(INDIRECT("'"&amp;Сводка!$B$2&amp;"'!D42"))+N(INDIRECT("'"&amp;Сводка!$B$2&amp;"'!D65"))+N(INDIRECT("'"&amp;Сводка!$B$2&amp;"'!D88"))</f>
        <v>51287</v>
      </c>
      <c r="G20" s="34" t="n">
        <f aca="true" t="array" ref="G20:G20">IFERROR(F20/(N(INDIRECT("'"&amp;Сводка!$B$3&amp;"'!D15"))+N(INDIRECT("'"&amp;Сводка!$B$3&amp;"'!D42"))+N(INDIRECT("'"&amp;Сводка!$B$3&amp;"'!D65"))+N(INDIRECT("'"&amp;Сводка!$B$3&amp;"'!D88")))-1,"")</f>
        <v>0.046417203950053</v>
      </c>
      <c r="H20" s="32" t="n">
        <f aca="true" t="array" ref="H20:H20">IF(INDIRECT("'"&amp;Сводка!$B$2&amp;"'!H15")="","—",INDIRECT("'"&amp;Сводка!$B$2&amp;"'!H15"))</f>
        <v>387</v>
      </c>
      <c r="I20" s="32" t="n">
        <f aca="true" t="array" ref="I20:I20">IF(INDIRECT("'"&amp;Сводка!$B$2&amp;"'!H42")="","—",INDIRECT("'"&amp;Сводка!$B$2&amp;"'!H42"))</f>
        <v>157</v>
      </c>
      <c r="J20" s="32" t="n">
        <f aca="true" t="array" ref="J20:J20">IF(INDIRECT("'"&amp;Сводка!$B$2&amp;"'!H65")="","—",INDIRECT("'"&amp;Сводка!$B$2&amp;"'!H65"))</f>
        <v>2</v>
      </c>
      <c r="K20" s="32" t="n">
        <f aca="true" t="array" ref="K20:K20">IF(INDIRECT("'"&amp;Сводка!$B$2&amp;"'!H88")="","—",INDIRECT("'"&amp;Сводка!$B$2&amp;"'!H88"))</f>
        <v>106</v>
      </c>
      <c r="L20" s="32" t="n">
        <f aca="true" t="array" ref="L20:L20">N(INDIRECT("'"&amp;Сводка!$B$2&amp;"'!H15"))+N(INDIRECT("'"&amp;Сводка!$B$2&amp;"'!H42"))+N(INDIRECT("'"&amp;Сводка!$B$2&amp;"'!H65"))+N(INDIRECT("'"&amp;Сводка!$B$2&amp;"'!H88"))</f>
        <v>652</v>
      </c>
      <c r="M20" s="34" t="n">
        <f aca="true" t="array" ref="M20:M20">IFERROR(L20/(N(INDIRECT("'"&amp;Сводка!$B$3&amp;"'!H15"))+N(INDIRECT("'"&amp;Сводка!$B$3&amp;"'!H42"))+N(INDIRECT("'"&amp;Сводка!$B$3&amp;"'!H65"))+N(INDIRECT("'"&amp;Сводка!$B$3&amp;"'!H88")))-1,"")</f>
        <v>0.344329896907217</v>
      </c>
      <c r="N20" s="32" t="n">
        <f aca="true" t="array" ref="N20:N20">N(INDIRECT("'"&amp;Сводка!$B$2&amp;"'!C15"))+N(INDIRECT("'"&amp;Сводка!$B$2&amp;"'!C42"))+N(INDIRECT("'"&amp;Сводка!$B$2&amp;"'!C65"))+N(INDIRECT("'"&amp;Сводка!$B$2&amp;"'!C88"))</f>
        <v>108</v>
      </c>
      <c r="O20" s="52" t="n">
        <f aca="false">IFERROR(L20/F20*1000,"")</f>
        <v>12.7127732173845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52</v>
      </c>
      <c r="B21" s="32" t="n">
        <f aca="true" t="array" ref="B21:B21">IF(INDIRECT("'"&amp;Сводка!$B$2&amp;"'!D16")="","—",INDIRECT("'"&amp;Сводка!$B$2&amp;"'!D16"))</f>
        <v>118008</v>
      </c>
      <c r="C21" s="32" t="n">
        <f aca="true" t="array" ref="C21:C21">IF(INDIRECT("'"&amp;Сводка!$B$2&amp;"'!D43")="","—",INDIRECT("'"&amp;Сводка!$B$2&amp;"'!D43"))</f>
        <v>3405</v>
      </c>
      <c r="D21" s="32" t="n">
        <f aca="true" t="array" ref="D21:D21">IF(INDIRECT("'"&amp;Сводка!$B$2&amp;"'!D66")="","—",INDIRECT("'"&amp;Сводка!$B$2&amp;"'!D66"))</f>
        <v>4655</v>
      </c>
      <c r="E21" s="32" t="n">
        <f aca="true" t="array" ref="E21:E21">IF(INDIRECT("'"&amp;Сводка!$B$2&amp;"'!D89")="","—",INDIRECT("'"&amp;Сводка!$B$2&amp;"'!D89"))</f>
        <v>11344</v>
      </c>
      <c r="F21" s="32" t="n">
        <f aca="true" t="array" ref="F21:F21">N(INDIRECT("'"&amp;Сводка!$B$2&amp;"'!D16"))+N(INDIRECT("'"&amp;Сводка!$B$2&amp;"'!D43"))+N(INDIRECT("'"&amp;Сводка!$B$2&amp;"'!D66"))+N(INDIRECT("'"&amp;Сводка!$B$2&amp;"'!D89"))</f>
        <v>137412</v>
      </c>
      <c r="G21" s="34" t="n">
        <f aca="true" t="array" ref="G21:G21">IFERROR(F21/(N(INDIRECT("'"&amp;Сводка!$B$3&amp;"'!D16"))+N(INDIRECT("'"&amp;Сводка!$B$3&amp;"'!D43"))+N(INDIRECT("'"&amp;Сводка!$B$3&amp;"'!D66"))+N(INDIRECT("'"&amp;Сводка!$B$3&amp;"'!D89")))-1,"")</f>
        <v>0.357061734003575</v>
      </c>
      <c r="H21" s="32" t="n">
        <f aca="true" t="array" ref="H21:H21">IF(INDIRECT("'"&amp;Сводка!$B$2&amp;"'!H16")="","—",INDIRECT("'"&amp;Сводка!$B$2&amp;"'!H16"))</f>
        <v>1068</v>
      </c>
      <c r="I21" s="32" t="n">
        <f aca="true" t="array" ref="I21:I21">IF(INDIRECT("'"&amp;Сводка!$B$2&amp;"'!H43")="","—",INDIRECT("'"&amp;Сводка!$B$2&amp;"'!H43"))</f>
        <v>7</v>
      </c>
      <c r="J21" s="32" t="n">
        <f aca="true" t="array" ref="J21:J21">IF(INDIRECT("'"&amp;Сводка!$B$2&amp;"'!H66")="","—",INDIRECT("'"&amp;Сводка!$B$2&amp;"'!H66"))</f>
        <v>7</v>
      </c>
      <c r="K21" s="32" t="n">
        <f aca="true" t="array" ref="K21:K21">IF(INDIRECT("'"&amp;Сводка!$B$2&amp;"'!H89")="","—",INDIRECT("'"&amp;Сводка!$B$2&amp;"'!H89"))</f>
        <v>232</v>
      </c>
      <c r="L21" s="32" t="n">
        <f aca="true" t="array" ref="L21:L21">N(INDIRECT("'"&amp;Сводка!$B$2&amp;"'!H16"))+N(INDIRECT("'"&amp;Сводка!$B$2&amp;"'!H43"))+N(INDIRECT("'"&amp;Сводка!$B$2&amp;"'!H66"))+N(INDIRECT("'"&amp;Сводка!$B$2&amp;"'!H89"))</f>
        <v>1314</v>
      </c>
      <c r="M21" s="34" t="n">
        <f aca="true" t="array" ref="M21:M21">IFERROR(L21/(N(INDIRECT("'"&amp;Сводка!$B$3&amp;"'!H16"))+N(INDIRECT("'"&amp;Сводка!$B$3&amp;"'!H43"))+N(INDIRECT("'"&amp;Сводка!$B$3&amp;"'!H66"))+N(INDIRECT("'"&amp;Сводка!$B$3&amp;"'!H89")))-1,"")</f>
        <v>0.524361948955916</v>
      </c>
      <c r="N21" s="32" t="n">
        <f aca="true" t="array" ref="N21:N21">N(INDIRECT("'"&amp;Сводка!$B$2&amp;"'!C16"))+N(INDIRECT("'"&amp;Сводка!$B$2&amp;"'!C43"))+N(INDIRECT("'"&amp;Сводка!$B$2&amp;"'!C66"))+N(INDIRECT("'"&amp;Сводка!$B$2&amp;"'!C89"))</f>
        <v>229</v>
      </c>
      <c r="O21" s="52" t="n">
        <f aca="false">IFERROR(L21/F21*1000,"")</f>
        <v>9.5624836258842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53</v>
      </c>
      <c r="B22" s="32" t="n">
        <f aca="true" t="array" ref="B22:B22">IF(INDIRECT("'"&amp;Сводка!$B$2&amp;"'!D17")="","—",INDIRECT("'"&amp;Сводка!$B$2&amp;"'!D17"))</f>
        <v>201712</v>
      </c>
      <c r="C22" s="32" t="n">
        <f aca="true" t="array" ref="C22:C22">IF(INDIRECT("'"&amp;Сводка!$B$2&amp;"'!D44")="","—",INDIRECT("'"&amp;Сводка!$B$2&amp;"'!D44"))</f>
        <v>11615</v>
      </c>
      <c r="D22" s="32" t="n">
        <f aca="true" t="array" ref="D22:D22">IF(INDIRECT("'"&amp;Сводка!$B$2&amp;"'!D67")="","—",INDIRECT("'"&amp;Сводка!$B$2&amp;"'!D67"))</f>
        <v>5889</v>
      </c>
      <c r="E22" s="32" t="n">
        <f aca="true" t="array" ref="E22:E22">IF(INDIRECT("'"&amp;Сводка!$B$2&amp;"'!D90")="","—",INDIRECT("'"&amp;Сводка!$B$2&amp;"'!D90"))</f>
        <v>34456</v>
      </c>
      <c r="F22" s="32" t="n">
        <f aca="true" t="array" ref="F22:F22">N(INDIRECT("'"&amp;Сводка!$B$2&amp;"'!D17"))+N(INDIRECT("'"&amp;Сводка!$B$2&amp;"'!D44"))+N(INDIRECT("'"&amp;Сводка!$B$2&amp;"'!D67"))+N(INDIRECT("'"&amp;Сводка!$B$2&amp;"'!D90"))</f>
        <v>253672</v>
      </c>
      <c r="G22" s="34" t="n">
        <f aca="true" t="array" ref="G22:G22">IFERROR(F22/(N(INDIRECT("'"&amp;Сводка!$B$3&amp;"'!D17"))+N(INDIRECT("'"&amp;Сводка!$B$3&amp;"'!D44"))+N(INDIRECT("'"&amp;Сводка!$B$3&amp;"'!D67"))+N(INDIRECT("'"&amp;Сводка!$B$3&amp;"'!D90")))-1,"")</f>
        <v>0.103910458932783</v>
      </c>
      <c r="H22" s="32" t="n">
        <f aca="true" t="array" ref="H22:H22">IF(INDIRECT("'"&amp;Сводка!$B$2&amp;"'!H17")="","—",INDIRECT("'"&amp;Сводка!$B$2&amp;"'!H17"))</f>
        <v>1732</v>
      </c>
      <c r="I22" s="32" t="n">
        <f aca="true" t="array" ref="I22:I22">IF(INDIRECT("'"&amp;Сводка!$B$2&amp;"'!H44")="","—",INDIRECT("'"&amp;Сводка!$B$2&amp;"'!H44"))</f>
        <v>225</v>
      </c>
      <c r="J22" s="32" t="n">
        <f aca="true" t="array" ref="J22:J22">IF(INDIRECT("'"&amp;Сводка!$B$2&amp;"'!H67")="","—",INDIRECT("'"&amp;Сводка!$B$2&amp;"'!H67"))</f>
        <v>22</v>
      </c>
      <c r="K22" s="32" t="n">
        <f aca="true" t="array" ref="K22:K22">IF(INDIRECT("'"&amp;Сводка!$B$2&amp;"'!H90")="","—",INDIRECT("'"&amp;Сводка!$B$2&amp;"'!H90"))</f>
        <v>645</v>
      </c>
      <c r="L22" s="32" t="n">
        <f aca="true" t="array" ref="L22:L22">N(INDIRECT("'"&amp;Сводка!$B$2&amp;"'!H17"))+N(INDIRECT("'"&amp;Сводка!$B$2&amp;"'!H44"))+N(INDIRECT("'"&amp;Сводка!$B$2&amp;"'!H67"))+N(INDIRECT("'"&amp;Сводка!$B$2&amp;"'!H90"))</f>
        <v>2624</v>
      </c>
      <c r="M22" s="34" t="n">
        <f aca="true" t="array" ref="M22:M22">IFERROR(L22/(N(INDIRECT("'"&amp;Сводка!$B$3&amp;"'!H17"))+N(INDIRECT("'"&amp;Сводка!$B$3&amp;"'!H44"))+N(INDIRECT("'"&amp;Сводка!$B$3&amp;"'!H67"))+N(INDIRECT("'"&amp;Сводка!$B$3&amp;"'!H90")))-1,"")</f>
        <v>-0.0741002117148906</v>
      </c>
      <c r="N22" s="32" t="n">
        <f aca="true" t="array" ref="N22:N22">N(INDIRECT("'"&amp;Сводка!$B$2&amp;"'!C17"))+N(INDIRECT("'"&amp;Сводка!$B$2&amp;"'!C44"))+N(INDIRECT("'"&amp;Сводка!$B$2&amp;"'!C67"))+N(INDIRECT("'"&amp;Сводка!$B$2&amp;"'!C90"))</f>
        <v>207</v>
      </c>
      <c r="O22" s="52" t="n">
        <f aca="false">IFERROR(L22/F22*1000,"")</f>
        <v>10.3440663534012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54</v>
      </c>
      <c r="B23" s="32" t="n">
        <f aca="true" t="array" ref="B23:B23">IF(INDIRECT("'"&amp;Сводка!$B$2&amp;"'!D18")="","—",INDIRECT("'"&amp;Сводка!$B$2&amp;"'!D18"))</f>
        <v>195710</v>
      </c>
      <c r="C23" s="32" t="n">
        <f aca="true" t="array" ref="C23:C23">IF(INDIRECT("'"&amp;Сводка!$B$2&amp;"'!D45")="","—",INDIRECT("'"&amp;Сводка!$B$2&amp;"'!D45"))</f>
        <v>17975</v>
      </c>
      <c r="D23" s="32" t="n">
        <f aca="true" t="array" ref="D23:D23">IF(INDIRECT("'"&amp;Сводка!$B$2&amp;"'!D68")="","—",INDIRECT("'"&amp;Сводка!$B$2&amp;"'!D68"))</f>
        <v>22001</v>
      </c>
      <c r="E23" s="32" t="n">
        <f aca="true" t="array" ref="E23:E23">IF(INDIRECT("'"&amp;Сводка!$B$2&amp;"'!D91")="","—",INDIRECT("'"&amp;Сводка!$B$2&amp;"'!D91"))</f>
        <v>96841</v>
      </c>
      <c r="F23" s="32" t="n">
        <f aca="true" t="array" ref="F23:F23">N(INDIRECT("'"&amp;Сводка!$B$2&amp;"'!D18"))+N(INDIRECT("'"&amp;Сводка!$B$2&amp;"'!D45"))+N(INDIRECT("'"&amp;Сводка!$B$2&amp;"'!D68"))+N(INDIRECT("'"&amp;Сводка!$B$2&amp;"'!D91"))</f>
        <v>332527</v>
      </c>
      <c r="G23" s="34" t="n">
        <f aca="true" t="array" ref="G23:G23">IFERROR(F23/(N(INDIRECT("'"&amp;Сводка!$B$3&amp;"'!D18"))+N(INDIRECT("'"&amp;Сводка!$B$3&amp;"'!D45"))+N(INDIRECT("'"&amp;Сводка!$B$3&amp;"'!D68"))+N(INDIRECT("'"&amp;Сводка!$B$3&amp;"'!D91")))-1,"")</f>
        <v>0.230000702800475</v>
      </c>
      <c r="H23" s="32" t="n">
        <f aca="true" t="array" ref="H23:H23">IF(INDIRECT("'"&amp;Сводка!$B$2&amp;"'!H18")="","—",INDIRECT("'"&amp;Сводка!$B$2&amp;"'!H18"))</f>
        <v>1313</v>
      </c>
      <c r="I23" s="32" t="n">
        <f aca="true" t="array" ref="I23:I23">IF(INDIRECT("'"&amp;Сводка!$B$2&amp;"'!H45")="","—",INDIRECT("'"&amp;Сводка!$B$2&amp;"'!H45"))</f>
        <v>188</v>
      </c>
      <c r="J23" s="32" t="n">
        <f aca="true" t="array" ref="J23:J23">IF(INDIRECT("'"&amp;Сводка!$B$2&amp;"'!H68")="","—",INDIRECT("'"&amp;Сводка!$B$2&amp;"'!H68"))</f>
        <v>65</v>
      </c>
      <c r="K23" s="32" t="n">
        <f aca="true" t="array" ref="K23:K23">IF(INDIRECT("'"&amp;Сводка!$B$2&amp;"'!H91")="","—",INDIRECT("'"&amp;Сводка!$B$2&amp;"'!H91"))</f>
        <v>990</v>
      </c>
      <c r="L23" s="32" t="n">
        <f aca="true" t="array" ref="L23:L23">N(INDIRECT("'"&amp;Сводка!$B$2&amp;"'!H18"))+N(INDIRECT("'"&amp;Сводка!$B$2&amp;"'!H45"))+N(INDIRECT("'"&amp;Сводка!$B$2&amp;"'!H68"))+N(INDIRECT("'"&amp;Сводка!$B$2&amp;"'!H91"))</f>
        <v>2556</v>
      </c>
      <c r="M23" s="34" t="n">
        <f aca="true" t="array" ref="M23:M23">IFERROR(L23/(N(INDIRECT("'"&amp;Сводка!$B$3&amp;"'!H18"))+N(INDIRECT("'"&amp;Сводка!$B$3&amp;"'!H45"))+N(INDIRECT("'"&amp;Сводка!$B$3&amp;"'!H68"))+N(INDIRECT("'"&amp;Сводка!$B$3&amp;"'!H91")))-1,"")</f>
        <v>-0.147715905301767</v>
      </c>
      <c r="N23" s="32" t="n">
        <f aca="true" t="array" ref="N23:N23">N(INDIRECT("'"&amp;Сводка!$B$2&amp;"'!C18"))+N(INDIRECT("'"&amp;Сводка!$B$2&amp;"'!C45"))+N(INDIRECT("'"&amp;Сводка!$B$2&amp;"'!C68"))+N(INDIRECT("'"&amp;Сводка!$B$2&amp;"'!C91"))</f>
        <v>265</v>
      </c>
      <c r="O23" s="52" t="n">
        <f aca="false">IFERROR(L23/F23*1000,"")</f>
        <v>7.68659387057292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55</v>
      </c>
      <c r="B24" s="32" t="n">
        <f aca="true" t="array" ref="B24:B24">IF(INDIRECT("'"&amp;Сводка!$B$2&amp;"'!D19")="","—",INDIRECT("'"&amp;Сводка!$B$2&amp;"'!D19"))</f>
        <v>136010</v>
      </c>
      <c r="C24" s="32" t="n">
        <f aca="true" t="array" ref="C24:C24">IF(INDIRECT("'"&amp;Сводка!$B$2&amp;"'!D46")="","—",INDIRECT("'"&amp;Сводка!$B$2&amp;"'!D46"))</f>
        <v>20260</v>
      </c>
      <c r="D24" s="32" t="n">
        <f aca="true" t="array" ref="D24:D24">IF(INDIRECT("'"&amp;Сводка!$B$2&amp;"'!D69")="","—",INDIRECT("'"&amp;Сводка!$B$2&amp;"'!D69"))</f>
        <v>39177</v>
      </c>
      <c r="E24" s="32" t="n">
        <f aca="true" t="array" ref="E24:E24">IF(INDIRECT("'"&amp;Сводка!$B$2&amp;"'!D92")="","—",INDIRECT("'"&amp;Сводка!$B$2&amp;"'!D92"))</f>
        <v>41556</v>
      </c>
      <c r="F24" s="32" t="n">
        <f aca="true" t="array" ref="F24:F24">N(INDIRECT("'"&amp;Сводка!$B$2&amp;"'!D19"))+N(INDIRECT("'"&amp;Сводка!$B$2&amp;"'!D46"))+N(INDIRECT("'"&amp;Сводка!$B$2&amp;"'!D69"))+N(INDIRECT("'"&amp;Сводка!$B$2&amp;"'!D92"))</f>
        <v>237003</v>
      </c>
      <c r="G24" s="34" t="n">
        <f aca="true" t="array" ref="G24:G24">IFERROR(F24/(N(INDIRECT("'"&amp;Сводка!$B$3&amp;"'!D19"))+N(INDIRECT("'"&amp;Сводка!$B$3&amp;"'!D46"))+N(INDIRECT("'"&amp;Сводка!$B$3&amp;"'!D69"))+N(INDIRECT("'"&amp;Сводка!$B$3&amp;"'!D92")))-1,"")</f>
        <v>-0.0998404800790004</v>
      </c>
      <c r="H24" s="32" t="n">
        <f aca="true" t="array" ref="H24:H24">IF(INDIRECT("'"&amp;Сводка!$B$2&amp;"'!H19")="","—",INDIRECT("'"&amp;Сводка!$B$2&amp;"'!H19"))</f>
        <v>1941</v>
      </c>
      <c r="I24" s="32" t="n">
        <f aca="true" t="array" ref="I24:I24">IF(INDIRECT("'"&amp;Сводка!$B$2&amp;"'!H46")="","—",INDIRECT("'"&amp;Сводка!$B$2&amp;"'!H46"))</f>
        <v>362</v>
      </c>
      <c r="J24" s="32" t="n">
        <f aca="true" t="array" ref="J24:J24">IF(INDIRECT("'"&amp;Сводка!$B$2&amp;"'!H69")="","—",INDIRECT("'"&amp;Сводка!$B$2&amp;"'!H69"))</f>
        <v>219</v>
      </c>
      <c r="K24" s="32" t="n">
        <f aca="true" t="array" ref="K24:K24">IF(INDIRECT("'"&amp;Сводка!$B$2&amp;"'!H92")="","—",INDIRECT("'"&amp;Сводка!$B$2&amp;"'!H92"))</f>
        <v>644</v>
      </c>
      <c r="L24" s="32" t="n">
        <f aca="true" t="array" ref="L24:L24">N(INDIRECT("'"&amp;Сводка!$B$2&amp;"'!H19"))+N(INDIRECT("'"&amp;Сводка!$B$2&amp;"'!H46"))+N(INDIRECT("'"&amp;Сводка!$B$2&amp;"'!H69"))+N(INDIRECT("'"&amp;Сводка!$B$2&amp;"'!H92"))</f>
        <v>3166</v>
      </c>
      <c r="M24" s="34" t="n">
        <f aca="true" t="array" ref="M24:M24">IFERROR(L24/(N(INDIRECT("'"&amp;Сводка!$B$3&amp;"'!H19"))+N(INDIRECT("'"&amp;Сводка!$B$3&amp;"'!H46"))+N(INDIRECT("'"&amp;Сводка!$B$3&amp;"'!H69"))+N(INDIRECT("'"&amp;Сводка!$B$3&amp;"'!H92")))-1,"")</f>
        <v>-0.0243451463790447</v>
      </c>
      <c r="N24" s="32" t="n">
        <f aca="true" t="array" ref="N24:N24">N(INDIRECT("'"&amp;Сводка!$B$2&amp;"'!C19"))+N(INDIRECT("'"&amp;Сводка!$B$2&amp;"'!C46"))+N(INDIRECT("'"&amp;Сводка!$B$2&amp;"'!C69"))+N(INDIRECT("'"&amp;Сводка!$B$2&amp;"'!C92"))</f>
        <v>318</v>
      </c>
      <c r="O24" s="52" t="n">
        <f aca="false">IFERROR(L24/F24*1000,"")</f>
        <v>13.3584806943372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5" t="s">
        <v>96</v>
      </c>
      <c r="B25" s="36" t="n">
        <f aca="false">SUM(B12:B24)</f>
        <v>2011216</v>
      </c>
      <c r="C25" s="36" t="n">
        <f aca="false">SUM(C12:C24)</f>
        <v>134564</v>
      </c>
      <c r="D25" s="36" t="n">
        <f aca="false">SUM(D12:D24)</f>
        <v>324315</v>
      </c>
      <c r="E25" s="36" t="n">
        <f aca="false">SUM(E12:E24)</f>
        <v>780095</v>
      </c>
      <c r="F25" s="36" t="n">
        <f aca="false">SUM(F12:F24)</f>
        <v>3250190</v>
      </c>
      <c r="G25" s="38" t="n">
        <f aca="true" t="array" ref="G25:G25">IFERROR(F25/(N(INDIRECT("'"&amp;Сводка!$B$3&amp;"'!D7"))+N(INDIRECT("'"&amp;Сводка!$B$3&amp;"'!D34"))+N(INDIRECT("'"&amp;Сводка!$B$3&amp;"'!D57"))+N(INDIRECT("'"&amp;Сводка!$B$3&amp;"'!D80"))+N(INDIRECT("'"&amp;Сводка!$B$3&amp;"'!D8"))+N(INDIRECT("'"&amp;Сводка!$B$3&amp;"'!D35"))+N(INDIRECT("'"&amp;Сводка!$B$3&amp;"'!D58"))+N(INDIRECT("'"&amp;Сводка!$B$3&amp;"'!D81"))+N(INDIRECT("'"&amp;Сводка!$B$3&amp;"'!D9"))+N(INDIRECT("'"&amp;Сводка!$B$3&amp;"'!D36"))+N(INDIRECT("'"&amp;Сводка!$B$3&amp;"'!D59"))+N(INDIRECT("'"&amp;Сводка!$B$3&amp;"'!D82"))+N(INDIRECT("'"&amp;Сводка!$B$3&amp;"'!D10"))+N(INDIRECT("'"&amp;Сводка!$B$3&amp;"'!D37"))+N(INDIRECT("'"&amp;Сводка!$B$3&amp;"'!D60"))+N(INDIRECT("'"&amp;Сводка!$B$3&amp;"'!D83"))+N(INDIRECT("'"&amp;Сводка!$B$3&amp;"'!D11"))+N(INDIRECT("'"&amp;Сводка!$B$3&amp;"'!D38"))+N(INDIRECT("'"&amp;Сводка!$B$3&amp;"'!D61"))+N(INDIRECT("'"&amp;Сводка!$B$3&amp;"'!D84"))+N(INDIRECT("'"&amp;Сводка!$B$3&amp;"'!D12"))+N(INDIRECT("'"&amp;Сводка!$B$3&amp;"'!D39"))+N(INDIRECT("'"&amp;Сводка!$B$3&amp;"'!D62"))+N(INDIRECT("'"&amp;Сводка!$B$3&amp;"'!D85"))+N(INDIRECT("'"&amp;Сводка!$B$3&amp;"'!D13"))+N(INDIRECT("'"&amp;Сводка!$B$3&amp;"'!D40"))+N(INDIRECT("'"&amp;Сводка!$B$3&amp;"'!D63"))+N(INDIRECT("'"&amp;Сводка!$B$3&amp;"'!D86"))+N(INDIRECT("'"&amp;Сводка!$B$3&amp;"'!D14"))+N(INDIRECT("'"&amp;Сводка!$B$3&amp;"'!D41"))+N(INDIRECT("'"&amp;Сводка!$B$3&amp;"'!D64"))+N(INDIRECT("'"&amp;Сводка!$B$3&amp;"'!D87"))+N(INDIRECT("'"&amp;Сводка!$B$3&amp;"'!D15"))+N(INDIRECT("'"&amp;Сводка!$B$3&amp;"'!D42"))+N(INDIRECT("'"&amp;Сводка!$B$3&amp;"'!D65"))+N(INDIRECT("'"&amp;Сводка!$B$3&amp;"'!D88"))+N(INDIRECT("'"&amp;Сводка!$B$3&amp;"'!D16"))+N(INDIRECT("'"&amp;Сводка!$B$3&amp;"'!D43"))+N(INDIRECT("'"&amp;Сводка!$B$3&amp;"'!D66"))+N(INDIRECT("'"&amp;Сводка!$B$3&amp;"'!D89"))+N(INDIRECT("'"&amp;Сводка!$B$3&amp;"'!D17"))+N(INDIRECT("'"&amp;Сводка!$B$3&amp;"'!D44"))+N(INDIRECT("'"&amp;Сводка!$B$3&amp;"'!D67"))+N(INDIRECT("'"&amp;Сводка!$B$3&amp;"'!D90"))+N(INDIRECT("'"&amp;Сводка!$B$3&amp;"'!D18"))+N(INDIRECT("'"&amp;Сводка!$B$3&amp;"'!D45"))+N(INDIRECT("'"&amp;Сводка!$B$3&amp;"'!D68"))+N(INDIRECT("'"&amp;Сводка!$B$3&amp;"'!D91"))+N(INDIRECT("'"&amp;Сводка!$B$3&amp;"'!D19"))+N(INDIRECT("'"&amp;Сводка!$B$3&amp;"'!D46"))+N(INDIRECT("'"&amp;Сводка!$B$3&amp;"'!D69"))+N(INDIRECT("'"&amp;Сводка!$B$3&amp;"'!D92")))-1,"")</f>
        <v>0.0383907354124216</v>
      </c>
      <c r="H25" s="36" t="n">
        <f aca="false">SUM(H12:H24)</f>
        <v>21164</v>
      </c>
      <c r="I25" s="36" t="n">
        <f aca="false">SUM(I12:I24)</f>
        <v>1945</v>
      </c>
      <c r="J25" s="36" t="n">
        <f aca="false">SUM(J12:J24)</f>
        <v>1706</v>
      </c>
      <c r="K25" s="36" t="n">
        <f aca="false">SUM(K12:K24)</f>
        <v>10804</v>
      </c>
      <c r="L25" s="36" t="n">
        <f aca="false">SUM(L12:L24)</f>
        <v>35619</v>
      </c>
      <c r="M25" s="38" t="n">
        <f aca="true" t="array" ref="M25:M25">IFERROR(L25/(N(INDIRECT("'"&amp;Сводка!$B$3&amp;"'!H7"))+N(INDIRECT("'"&amp;Сводка!$B$3&amp;"'!H34"))+N(INDIRECT("'"&amp;Сводка!$B$3&amp;"'!H57"))+N(INDIRECT("'"&amp;Сводка!$B$3&amp;"'!H80"))+N(INDIRECT("'"&amp;Сводка!$B$3&amp;"'!H8"))+N(INDIRECT("'"&amp;Сводка!$B$3&amp;"'!H35"))+N(INDIRECT("'"&amp;Сводка!$B$3&amp;"'!H58"))+N(INDIRECT("'"&amp;Сводка!$B$3&amp;"'!H81"))+N(INDIRECT("'"&amp;Сводка!$B$3&amp;"'!H9"))+N(INDIRECT("'"&amp;Сводка!$B$3&amp;"'!H36"))+N(INDIRECT("'"&amp;Сводка!$B$3&amp;"'!H59"))+N(INDIRECT("'"&amp;Сводка!$B$3&amp;"'!H82"))+N(INDIRECT("'"&amp;Сводка!$B$3&amp;"'!H10"))+N(INDIRECT("'"&amp;Сводка!$B$3&amp;"'!H37"))+N(INDIRECT("'"&amp;Сводка!$B$3&amp;"'!H60"))+N(INDIRECT("'"&amp;Сводка!$B$3&amp;"'!H83"))+N(INDIRECT("'"&amp;Сводка!$B$3&amp;"'!H11"))+N(INDIRECT("'"&amp;Сводка!$B$3&amp;"'!H38"))+N(INDIRECT("'"&amp;Сводка!$B$3&amp;"'!H61"))+N(INDIRECT("'"&amp;Сводка!$B$3&amp;"'!H84"))+N(INDIRECT("'"&amp;Сводка!$B$3&amp;"'!H12"))+N(INDIRECT("'"&amp;Сводка!$B$3&amp;"'!H39"))+N(INDIRECT("'"&amp;Сводка!$B$3&amp;"'!H62"))+N(INDIRECT("'"&amp;Сводка!$B$3&amp;"'!H85"))+N(INDIRECT("'"&amp;Сводка!$B$3&amp;"'!H13"))+N(INDIRECT("'"&amp;Сводка!$B$3&amp;"'!H40"))+N(INDIRECT("'"&amp;Сводка!$B$3&amp;"'!H63"))+N(INDIRECT("'"&amp;Сводка!$B$3&amp;"'!H86"))+N(INDIRECT("'"&amp;Сводка!$B$3&amp;"'!H14"))+N(INDIRECT("'"&amp;Сводка!$B$3&amp;"'!H41"))+N(INDIRECT("'"&amp;Сводка!$B$3&amp;"'!H64"))+N(INDIRECT("'"&amp;Сводка!$B$3&amp;"'!H87"))+N(INDIRECT("'"&amp;Сводка!$B$3&amp;"'!H15"))+N(INDIRECT("'"&amp;Сводка!$B$3&amp;"'!H42"))+N(INDIRECT("'"&amp;Сводка!$B$3&amp;"'!H65"))+N(INDIRECT("'"&amp;Сводка!$B$3&amp;"'!H88"))+N(INDIRECT("'"&amp;Сводка!$B$3&amp;"'!H16"))+N(INDIRECT("'"&amp;Сводка!$B$3&amp;"'!H43"))+N(INDIRECT("'"&amp;Сводка!$B$3&amp;"'!H66"))+N(INDIRECT("'"&amp;Сводка!$B$3&amp;"'!H89"))+N(INDIRECT("'"&amp;Сводка!$B$3&amp;"'!H17"))+N(INDIRECT("'"&amp;Сводка!$B$3&amp;"'!H44"))+N(INDIRECT("'"&amp;Сводка!$B$3&amp;"'!H67"))+N(INDIRECT("'"&amp;Сводка!$B$3&amp;"'!H90"))+N(INDIRECT("'"&amp;Сводка!$B$3&amp;"'!H18"))+N(INDIRECT("'"&amp;Сводка!$B$3&amp;"'!H45"))+N(INDIRECT("'"&amp;Сводка!$B$3&amp;"'!H68"))+N(INDIRECT("'"&amp;Сводка!$B$3&amp;"'!H91"))+N(INDIRECT("'"&amp;Сводка!$B$3&amp;"'!H19"))+N(INDIRECT("'"&amp;Сводка!$B$3&amp;"'!H46"))+N(INDIRECT("'"&amp;Сводка!$B$3&amp;"'!H69"))+N(INDIRECT("'"&amp;Сводка!$B$3&amp;"'!H92")))-1,"")</f>
        <v>-0.0211333406617567</v>
      </c>
      <c r="N25" s="36" t="n">
        <f aca="false">SUM(N12:N24)</f>
        <v>3931</v>
      </c>
      <c r="O25" s="53" t="n">
        <f aca="false">IFERROR(L25/F25*1000,"")</f>
        <v>10.9590516246742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"/>
      <c r="B26" s="54"/>
      <c r="C26" s="54"/>
      <c r="D26" s="54"/>
      <c r="E26" s="54"/>
      <c r="F26" s="54"/>
      <c r="G26" s="55"/>
      <c r="H26" s="54"/>
      <c r="I26" s="54"/>
      <c r="J26" s="54"/>
      <c r="K26" s="54"/>
      <c r="L26" s="54"/>
      <c r="M26" s="55"/>
      <c r="N26" s="54"/>
      <c r="O26" s="5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48" t="s">
        <v>97</v>
      </c>
      <c r="B27" s="49"/>
      <c r="C27" s="49"/>
      <c r="D27" s="49"/>
      <c r="E27" s="49"/>
      <c r="F27" s="49"/>
      <c r="G27" s="50"/>
      <c r="H27" s="49"/>
      <c r="I27" s="49"/>
      <c r="J27" s="49"/>
      <c r="K27" s="49"/>
      <c r="L27" s="49"/>
      <c r="M27" s="50"/>
      <c r="N27" s="49"/>
      <c r="O27" s="5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56</v>
      </c>
      <c r="B28" s="32" t="n">
        <f aca="true" t="array" ref="B28:B28">IF(INDIRECT("'"&amp;Сводка!$B$2&amp;"'!D20")="","—",INDIRECT("'"&amp;Сводка!$B$2&amp;"'!D20"))</f>
        <v>32326</v>
      </c>
      <c r="C28" s="32" t="s">
        <v>98</v>
      </c>
      <c r="D28" s="32" t="n">
        <f aca="true" t="array" ref="D28:D28">IF(INDIRECT("'"&amp;Сводка!$B$2&amp;"'!D71")="","—",INDIRECT("'"&amp;Сводка!$B$2&amp;"'!D71"))</f>
        <v>4965</v>
      </c>
      <c r="E28" s="32" t="n">
        <f aca="true" t="array" ref="E28:E28">IF(INDIRECT("'"&amp;Сводка!$B$2&amp;"'!D93")="","—",INDIRECT("'"&amp;Сводка!$B$2&amp;"'!D93"))</f>
        <v>12052</v>
      </c>
      <c r="F28" s="32" t="n">
        <f aca="true" t="array" ref="F28:F28">N(INDIRECT("'"&amp;Сводка!$B$2&amp;"'!D20"))+N(INDIRECT("'"&amp;Сводка!$B$2&amp;"'!D71"))+N(INDIRECT("'"&amp;Сводка!$B$2&amp;"'!D93"))</f>
        <v>49343</v>
      </c>
      <c r="G28" s="34" t="n">
        <f aca="true" t="array" ref="G28:G28">IFERROR(F28/(N(INDIRECT("'"&amp;Сводка!$B$3&amp;"'!D20"))+N(INDIRECT("'"&amp;Сводка!$B$3&amp;"'!D71"))+N(INDIRECT("'"&amp;Сводка!$B$3&amp;"'!D93")))-1,"")</f>
        <v>2.0783579761682</v>
      </c>
      <c r="H28" s="32" t="n">
        <f aca="true" t="array" ref="H28:H28">IF(INDIRECT("'"&amp;Сводка!$B$2&amp;"'!H20")="","—",INDIRECT("'"&amp;Сводка!$B$2&amp;"'!H20"))</f>
        <v>1857</v>
      </c>
      <c r="I28" s="32" t="s">
        <v>98</v>
      </c>
      <c r="J28" s="32" t="n">
        <f aca="true" t="array" ref="J28:J28">IF(INDIRECT("'"&amp;Сводка!$B$2&amp;"'!H71")="","—",INDIRECT("'"&amp;Сводка!$B$2&amp;"'!H71"))</f>
        <v>610</v>
      </c>
      <c r="K28" s="32" t="n">
        <f aca="true" t="array" ref="K28:K28">IF(INDIRECT("'"&amp;Сводка!$B$2&amp;"'!H93")="","—",INDIRECT("'"&amp;Сводка!$B$2&amp;"'!H93"))</f>
        <v>1050</v>
      </c>
      <c r="L28" s="32" t="n">
        <f aca="true" t="array" ref="L28:L28">N(INDIRECT("'"&amp;Сводка!$B$2&amp;"'!H20"))+N(INDIRECT("'"&amp;Сводка!$B$2&amp;"'!H71"))+N(INDIRECT("'"&amp;Сводка!$B$2&amp;"'!H93"))</f>
        <v>3517</v>
      </c>
      <c r="M28" s="34" t="n">
        <f aca="true" t="array" ref="M28:M28">IFERROR(L28/(N(INDIRECT("'"&amp;Сводка!$B$3&amp;"'!H20"))+N(INDIRECT("'"&amp;Сводка!$B$3&amp;"'!H71"))+N(INDIRECT("'"&amp;Сводка!$B$3&amp;"'!H93")))-1,"")</f>
        <v>0.144111906310995</v>
      </c>
      <c r="N28" s="32" t="n">
        <f aca="true" t="array" ref="N28:N28">N(INDIRECT("'"&amp;Сводка!$B$2&amp;"'!C20"))+N(INDIRECT("'"&amp;Сводка!$B$2&amp;"'!C71"))+N(INDIRECT("'"&amp;Сводка!$B$2&amp;"'!C93"))</f>
        <v>75</v>
      </c>
      <c r="O28" s="52" t="n">
        <f aca="false">IFERROR(L28/F28*1000,"")</f>
        <v>71.2765741847881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61</v>
      </c>
      <c r="B29" s="32" t="n">
        <f aca="true" t="array" ref="B29:B29">IF(INDIRECT("'"&amp;Сводка!$B$2&amp;"'!D25")="","—",INDIRECT("'"&amp;Сводка!$B$2&amp;"'!D25"))</f>
        <v>34644</v>
      </c>
      <c r="C29" s="32" t="s">
        <v>98</v>
      </c>
      <c r="D29" s="32" t="n">
        <f aca="true" t="array" ref="D29:D29">IF(INDIRECT("'"&amp;Сводка!$B$2&amp;"'!D72")="","—",INDIRECT("'"&amp;Сводка!$B$2&amp;"'!D72"))</f>
        <v>231</v>
      </c>
      <c r="E29" s="32" t="n">
        <f aca="true" t="array" ref="E29:E29">IF(INDIRECT("'"&amp;Сводка!$B$2&amp;"'!D94")="","—",INDIRECT("'"&amp;Сводка!$B$2&amp;"'!D94"))</f>
        <v>943</v>
      </c>
      <c r="F29" s="32" t="n">
        <f aca="true" t="array" ref="F29:F29">N(INDIRECT("'"&amp;Сводка!$B$2&amp;"'!D25"))+N(INDIRECT("'"&amp;Сводка!$B$2&amp;"'!D72"))+N(INDIRECT("'"&amp;Сводка!$B$2&amp;"'!D94"))</f>
        <v>35818</v>
      </c>
      <c r="G29" s="34" t="n">
        <f aca="true" t="array" ref="G29:G29">IFERROR(F29/(N(INDIRECT("'"&amp;Сводка!$B$3&amp;"'!D25"))+N(INDIRECT("'"&amp;Сводка!$B$3&amp;"'!D72"))+N(INDIRECT("'"&amp;Сводка!$B$3&amp;"'!D94")))-1,"")</f>
        <v>0.547548066537049</v>
      </c>
      <c r="H29" s="32" t="n">
        <f aca="true" t="array" ref="H29:H29">IF(INDIRECT("'"&amp;Сводка!$B$2&amp;"'!H25")="","—",INDIRECT("'"&amp;Сводка!$B$2&amp;"'!H25"))</f>
        <v>230</v>
      </c>
      <c r="I29" s="32" t="s">
        <v>98</v>
      </c>
      <c r="J29" s="32" t="n">
        <f aca="true" t="array" ref="J29:J29">IF(INDIRECT("'"&amp;Сводка!$B$2&amp;"'!H72")="","—",INDIRECT("'"&amp;Сводка!$B$2&amp;"'!H72"))</f>
        <v>31</v>
      </c>
      <c r="K29" s="32" t="n">
        <f aca="true" t="array" ref="K29:K29">IF(INDIRECT("'"&amp;Сводка!$B$2&amp;"'!H94")="","—",INDIRECT("'"&amp;Сводка!$B$2&amp;"'!H94"))</f>
        <v>40</v>
      </c>
      <c r="L29" s="32" t="n">
        <f aca="true" t="array" ref="L29:L29">N(INDIRECT("'"&amp;Сводка!$B$2&amp;"'!H25"))+N(INDIRECT("'"&amp;Сводка!$B$2&amp;"'!H72"))+N(INDIRECT("'"&amp;Сводка!$B$2&amp;"'!H94"))</f>
        <v>301</v>
      </c>
      <c r="M29" s="34" t="n">
        <f aca="true" t="array" ref="M29:M29">IFERROR(L29/(N(INDIRECT("'"&amp;Сводка!$B$3&amp;"'!H25"))+N(INDIRECT("'"&amp;Сводка!$B$3&amp;"'!H72"))+N(INDIRECT("'"&amp;Сводка!$B$3&amp;"'!H94")))-1,"")</f>
        <v>0.00668896321070234</v>
      </c>
      <c r="N29" s="32" t="n">
        <f aca="true" t="array" ref="N29:N29">N(INDIRECT("'"&amp;Сводка!$B$2&amp;"'!C25"))+N(INDIRECT("'"&amp;Сводка!$B$2&amp;"'!C72"))+N(INDIRECT("'"&amp;Сводка!$B$2&amp;"'!C94"))</f>
        <v>27</v>
      </c>
      <c r="O29" s="52" t="n">
        <f aca="false">IFERROR(L29/F29*1000,"")</f>
        <v>8.40359595733989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68</v>
      </c>
      <c r="B30" s="32" t="s">
        <v>98</v>
      </c>
      <c r="C30" s="32" t="s">
        <v>98</v>
      </c>
      <c r="D30" s="32" t="n">
        <f aca="true" t="array" ref="D30:D30">IF(INDIRECT("'"&amp;Сводка!$B$2&amp;"'!D55")="","—",INDIRECT("'"&amp;Сводка!$B$2&amp;"'!D55"))</f>
        <v>8837</v>
      </c>
      <c r="E30" s="32" t="n">
        <f aca="true" t="array" ref="E30:E30">IF(INDIRECT("'"&amp;Сводка!$B$2&amp;"'!D78")="","—",INDIRECT("'"&amp;Сводка!$B$2&amp;"'!D78"))</f>
        <v>1203</v>
      </c>
      <c r="F30" s="32" t="n">
        <f aca="true" t="array" ref="F30:F30">N(INDIRECT("'"&amp;Сводка!$B$2&amp;"'!D55"))+N(INDIRECT("'"&amp;Сводка!$B$2&amp;"'!D78"))</f>
        <v>10040</v>
      </c>
      <c r="G30" s="34" t="n">
        <f aca="true" t="array" ref="G30:G30">IFERROR(F30/(N(INDIRECT("'"&amp;Сводка!$B$3&amp;"'!D55"))+N(INDIRECT("'"&amp;Сводка!$B$3&amp;"'!D78")))-1,"")</f>
        <v>0.271207900734363</v>
      </c>
      <c r="H30" s="32" t="s">
        <v>98</v>
      </c>
      <c r="I30" s="32" t="s">
        <v>98</v>
      </c>
      <c r="J30" s="32" t="n">
        <f aca="true" t="array" ref="J30:J30">IF(INDIRECT("'"&amp;Сводка!$B$2&amp;"'!H55")="","—",INDIRECT("'"&amp;Сводка!$B$2&amp;"'!H55"))</f>
        <v>48</v>
      </c>
      <c r="K30" s="32" t="n">
        <f aca="true" t="array" ref="K30:K30">IF(INDIRECT("'"&amp;Сводка!$B$2&amp;"'!H78")="","—",INDIRECT("'"&amp;Сводка!$B$2&amp;"'!H78"))</f>
        <v>24</v>
      </c>
      <c r="L30" s="32" t="n">
        <f aca="true" t="array" ref="L30:L30">N(INDIRECT("'"&amp;Сводка!$B$2&amp;"'!H55"))+N(INDIRECT("'"&amp;Сводка!$B$2&amp;"'!H78"))</f>
        <v>72</v>
      </c>
      <c r="M30" s="34" t="n">
        <f aca="true" t="array" ref="M30:M30">IFERROR(L30/(N(INDIRECT("'"&amp;Сводка!$B$3&amp;"'!H55"))+N(INDIRECT("'"&amp;Сводка!$B$3&amp;"'!H78")))-1,"")</f>
        <v>0.411764705882353</v>
      </c>
      <c r="N30" s="32" t="n">
        <f aca="true" t="array" ref="N30:N30">N(INDIRECT("'"&amp;Сводка!$B$2&amp;"'!C55"))+N(INDIRECT("'"&amp;Сводка!$B$2&amp;"'!C78"))</f>
        <v>16</v>
      </c>
      <c r="O30" s="52" t="n">
        <f aca="false">IFERROR(L30/F30*1000,"")</f>
        <v>7.17131474103586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69</v>
      </c>
      <c r="B31" s="32" t="s">
        <v>98</v>
      </c>
      <c r="C31" s="32" t="s">
        <v>98</v>
      </c>
      <c r="D31" s="32" t="n">
        <f aca="true" t="array" ref="D31:D31">IF(INDIRECT("'"&amp;Сводка!$B$2&amp;"'!D56")="","—",INDIRECT("'"&amp;Сводка!$B$2&amp;"'!D56"))</f>
        <v>310</v>
      </c>
      <c r="E31" s="32" t="n">
        <f aca="true" t="array" ref="E31:E31">IF(INDIRECT("'"&amp;Сводка!$B$2&amp;"'!D79")="","—",INDIRECT("'"&amp;Сводка!$B$2&amp;"'!D79"))</f>
        <v>89</v>
      </c>
      <c r="F31" s="32" t="n">
        <f aca="true" t="array" ref="F31:F31">N(INDIRECT("'"&amp;Сводка!$B$2&amp;"'!D56"))+N(INDIRECT("'"&amp;Сводка!$B$2&amp;"'!D79"))</f>
        <v>399</v>
      </c>
      <c r="G31" s="34" t="n">
        <f aca="true" t="array" ref="G31:G31">IFERROR(F31/(N(INDIRECT("'"&amp;Сводка!$B$3&amp;"'!D56"))+N(INDIRECT("'"&amp;Сводка!$B$3&amp;"'!D79")))-1,"")</f>
        <v>-0.85871104815864</v>
      </c>
      <c r="H31" s="32" t="s">
        <v>98</v>
      </c>
      <c r="I31" s="32" t="s">
        <v>98</v>
      </c>
      <c r="J31" s="32" t="n">
        <f aca="true" t="array" ref="J31:J31">IF(INDIRECT("'"&amp;Сводка!$B$2&amp;"'!H56")="","—",INDIRECT("'"&amp;Сводка!$B$2&amp;"'!H56"))</f>
        <v>11</v>
      </c>
      <c r="K31" s="32" t="n">
        <f aca="true" t="array" ref="K31:K31">IF(INDIRECT("'"&amp;Сводка!$B$2&amp;"'!H79")="","—",INDIRECT("'"&amp;Сводка!$B$2&amp;"'!H79"))</f>
        <v>0</v>
      </c>
      <c r="L31" s="32" t="n">
        <f aca="true" t="array" ref="L31:L31">N(INDIRECT("'"&amp;Сводка!$B$2&amp;"'!H56"))+N(INDIRECT("'"&amp;Сводка!$B$2&amp;"'!H79"))</f>
        <v>11</v>
      </c>
      <c r="M31" s="34" t="n">
        <f aca="true" t="array" ref="M31:M31">IFERROR(L31/(N(INDIRECT("'"&amp;Сводка!$B$3&amp;"'!H56"))+N(INDIRECT("'"&amp;Сводка!$B$3&amp;"'!H79")))-1,"")</f>
        <v>-0.592592592592593</v>
      </c>
      <c r="N31" s="32" t="n">
        <f aca="true" t="array" ref="N31:N31">N(INDIRECT("'"&amp;Сводка!$B$2&amp;"'!C56"))+N(INDIRECT("'"&amp;Сводка!$B$2&amp;"'!C79"))</f>
        <v>13</v>
      </c>
      <c r="O31" s="52" t="n">
        <f aca="false">IFERROR(L31/F31*1000,"")</f>
        <v>27.5689223057644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57</v>
      </c>
      <c r="B32" s="32" t="n">
        <f aca="true" t="array" ref="B32:B32">IF(INDIRECT("'"&amp;Сводка!$B$2&amp;"'!D21")="","—",INDIRECT("'"&amp;Сводка!$B$2&amp;"'!D21"))</f>
        <v>7453</v>
      </c>
      <c r="C32" s="32" t="s">
        <v>98</v>
      </c>
      <c r="D32" s="32" t="s">
        <v>98</v>
      </c>
      <c r="E32" s="32" t="s">
        <v>98</v>
      </c>
      <c r="F32" s="32" t="n">
        <f aca="true" t="array" ref="F32:F32">N(INDIRECT("'"&amp;Сводка!$B$2&amp;"'!D21"))</f>
        <v>7453</v>
      </c>
      <c r="G32" s="34" t="n">
        <f aca="true" t="array" ref="G32:G32">IFERROR(F32/(N(INDIRECT("'"&amp;Сводка!$B$3&amp;"'!D21")))-1,"")</f>
        <v>-0.331629450273518</v>
      </c>
      <c r="H32" s="32" t="n">
        <f aca="true" t="array" ref="H32:H32">IF(INDIRECT("'"&amp;Сводка!$B$2&amp;"'!H21")="","—",INDIRECT("'"&amp;Сводка!$B$2&amp;"'!H21"))</f>
        <v>290</v>
      </c>
      <c r="I32" s="32" t="s">
        <v>98</v>
      </c>
      <c r="J32" s="32" t="s">
        <v>98</v>
      </c>
      <c r="K32" s="32" t="s">
        <v>98</v>
      </c>
      <c r="L32" s="32" t="n">
        <f aca="true" t="array" ref="L32:L32">N(INDIRECT("'"&amp;Сводка!$B$2&amp;"'!H21"))</f>
        <v>290</v>
      </c>
      <c r="M32" s="34" t="n">
        <f aca="true" t="array" ref="M32:M32">IFERROR(L32/(N(INDIRECT("'"&amp;Сводка!$B$3&amp;"'!H21")))-1,"")</f>
        <v>-0.0491803278688525</v>
      </c>
      <c r="N32" s="32" t="n">
        <f aca="true" t="array" ref="N32:N32">N(INDIRECT("'"&amp;Сводка!$B$2&amp;"'!C21"))</f>
        <v>10</v>
      </c>
      <c r="O32" s="52" t="n">
        <f aca="false">IFERROR(L32/F32*1000,"")</f>
        <v>38.9105058365759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58</v>
      </c>
      <c r="B33" s="32" t="n">
        <f aca="true" t="array" ref="B33:B33">IF(INDIRECT("'"&amp;Сводка!$B$2&amp;"'!D22")="","—",INDIRECT("'"&amp;Сводка!$B$2&amp;"'!D22"))</f>
        <v>8501</v>
      </c>
      <c r="C33" s="32" t="s">
        <v>98</v>
      </c>
      <c r="D33" s="32" t="s">
        <v>98</v>
      </c>
      <c r="E33" s="32" t="s">
        <v>98</v>
      </c>
      <c r="F33" s="32" t="n">
        <f aca="true" t="array" ref="F33:F33">N(INDIRECT("'"&amp;Сводка!$B$2&amp;"'!D22"))</f>
        <v>8501</v>
      </c>
      <c r="G33" s="34" t="n">
        <f aca="true" t="array" ref="G33:G33">IFERROR(F33/(N(INDIRECT("'"&amp;Сводка!$B$3&amp;"'!D22")))-1,"")</f>
        <v>1.59969418960245</v>
      </c>
      <c r="H33" s="32" t="n">
        <f aca="true" t="array" ref="H33:H33">IF(INDIRECT("'"&amp;Сводка!$B$2&amp;"'!H22")="","—",INDIRECT("'"&amp;Сводка!$B$2&amp;"'!H22"))</f>
        <v>169</v>
      </c>
      <c r="I33" s="32" t="s">
        <v>98</v>
      </c>
      <c r="J33" s="32" t="s">
        <v>98</v>
      </c>
      <c r="K33" s="32" t="s">
        <v>98</v>
      </c>
      <c r="L33" s="32" t="n">
        <f aca="true" t="array" ref="L33:L33">N(INDIRECT("'"&amp;Сводка!$B$2&amp;"'!H22"))</f>
        <v>169</v>
      </c>
      <c r="M33" s="34" t="n">
        <f aca="true" t="array" ref="M33:M33">IFERROR(L33/(N(INDIRECT("'"&amp;Сводка!$B$3&amp;"'!H22")))-1,"")</f>
        <v>0.0119760479041917</v>
      </c>
      <c r="N33" s="32" t="n">
        <f aca="true" t="array" ref="N33:N33">N(INDIRECT("'"&amp;Сводка!$B$2&amp;"'!C22"))</f>
        <v>24</v>
      </c>
      <c r="O33" s="52" t="n">
        <f aca="false">IFERROR(L33/F33*1000,"")</f>
        <v>19.8800141159864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63</v>
      </c>
      <c r="B34" s="32" t="n">
        <f aca="true" t="array" ref="B34:B34">IF(INDIRECT("'"&amp;Сводка!$B$2&amp;"'!D27")="","—",INDIRECT("'"&amp;Сводка!$B$2&amp;"'!D27"))</f>
        <v>2282</v>
      </c>
      <c r="C34" s="32" t="s">
        <v>98</v>
      </c>
      <c r="D34" s="32" t="s">
        <v>98</v>
      </c>
      <c r="E34" s="32" t="s">
        <v>98</v>
      </c>
      <c r="F34" s="32" t="n">
        <f aca="true" t="array" ref="F34:F34">N(INDIRECT("'"&amp;Сводка!$B$2&amp;"'!D27"))</f>
        <v>2282</v>
      </c>
      <c r="G34" s="34" t="n">
        <f aca="true" t="array" ref="G34:G34">IFERROR(F34/(N(INDIRECT("'"&amp;Сводка!$B$3&amp;"'!D27")))-1,"")</f>
        <v>-0.0783521809369951</v>
      </c>
      <c r="H34" s="32" t="n">
        <f aca="true" t="array" ref="H34:H34">IF(INDIRECT("'"&amp;Сводка!$B$2&amp;"'!H27")="","—",INDIRECT("'"&amp;Сводка!$B$2&amp;"'!H27"))</f>
        <v>46</v>
      </c>
      <c r="I34" s="32" t="s">
        <v>98</v>
      </c>
      <c r="J34" s="32" t="s">
        <v>98</v>
      </c>
      <c r="K34" s="32" t="s">
        <v>98</v>
      </c>
      <c r="L34" s="32" t="n">
        <f aca="true" t="array" ref="L34:L34">N(INDIRECT("'"&amp;Сводка!$B$2&amp;"'!H27"))</f>
        <v>46</v>
      </c>
      <c r="M34" s="34" t="n">
        <f aca="true" t="array" ref="M34:M34">IFERROR(L34/(N(INDIRECT("'"&amp;Сводка!$B$3&amp;"'!H27")))-1,"")</f>
        <v>0.210526315789474</v>
      </c>
      <c r="N34" s="32" t="n">
        <f aca="true" t="array" ref="N34:N34">N(INDIRECT("'"&amp;Сводка!$B$2&amp;"'!C27"))</f>
        <v>10</v>
      </c>
      <c r="O34" s="52" t="n">
        <f aca="false">IFERROR(L34/F34*1000,"")</f>
        <v>20.1577563540754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64</v>
      </c>
      <c r="B35" s="32" t="n">
        <f aca="true" t="array" ref="B35:B35">IF(INDIRECT("'"&amp;Сводка!$B$2&amp;"'!D28")="","—",INDIRECT("'"&amp;Сводка!$B$2&amp;"'!D28"))</f>
        <v>5614</v>
      </c>
      <c r="C35" s="32" t="s">
        <v>98</v>
      </c>
      <c r="D35" s="32" t="s">
        <v>98</v>
      </c>
      <c r="E35" s="32" t="s">
        <v>98</v>
      </c>
      <c r="F35" s="32" t="n">
        <f aca="true" t="array" ref="F35:F35">N(INDIRECT("'"&amp;Сводка!$B$2&amp;"'!D28"))</f>
        <v>5614</v>
      </c>
      <c r="G35" s="34" t="n">
        <f aca="true" t="array" ref="G35:G35">IFERROR(F35/(N(INDIRECT("'"&amp;Сводка!$B$3&amp;"'!D28")))-1,"")</f>
        <v>-0.332143706876041</v>
      </c>
      <c r="H35" s="32" t="n">
        <f aca="true" t="array" ref="H35:H35">IF(INDIRECT("'"&amp;Сводка!$B$2&amp;"'!H28")="","—",INDIRECT("'"&amp;Сводка!$B$2&amp;"'!H28"))</f>
        <v>30</v>
      </c>
      <c r="I35" s="32" t="s">
        <v>98</v>
      </c>
      <c r="J35" s="32" t="s">
        <v>98</v>
      </c>
      <c r="K35" s="32" t="s">
        <v>98</v>
      </c>
      <c r="L35" s="32" t="n">
        <f aca="true" t="array" ref="L35:L35">N(INDIRECT("'"&amp;Сводка!$B$2&amp;"'!H28"))</f>
        <v>30</v>
      </c>
      <c r="M35" s="34" t="n">
        <f aca="true" t="array" ref="M35:M35">IFERROR(L35/(N(INDIRECT("'"&amp;Сводка!$B$3&amp;"'!H28")))-1,"")</f>
        <v>-0.333333333333333</v>
      </c>
      <c r="N35" s="32" t="n">
        <f aca="true" t="array" ref="N35:N35">N(INDIRECT("'"&amp;Сводка!$B$2&amp;"'!C28"))</f>
        <v>22</v>
      </c>
      <c r="O35" s="52" t="n">
        <f aca="false">IFERROR(L35/F35*1000,"")</f>
        <v>5.34378339864624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59</v>
      </c>
      <c r="B36" s="32" t="n">
        <f aca="true" t="array" ref="B36:B36">IF(INDIRECT("'"&amp;Сводка!$B$2&amp;"'!D23")="","—",INDIRECT("'"&amp;Сводка!$B$2&amp;"'!D23"))</f>
        <v>9978</v>
      </c>
      <c r="C36" s="32" t="n">
        <f aca="true" t="array" ref="C36:C36">IF(INDIRECT("'"&amp;Сводка!$B$2&amp;"'!D47")="","—",INDIRECT("'"&amp;Сводка!$B$2&amp;"'!D47"))</f>
        <v>766</v>
      </c>
      <c r="D36" s="32" t="s">
        <v>98</v>
      </c>
      <c r="E36" s="32" t="s">
        <v>98</v>
      </c>
      <c r="F36" s="32" t="n">
        <f aca="true" t="array" ref="F36:F36">N(INDIRECT("'"&amp;Сводка!$B$2&amp;"'!D23"))+N(INDIRECT("'"&amp;Сводка!$B$2&amp;"'!D47"))</f>
        <v>10744</v>
      </c>
      <c r="G36" s="34" t="n">
        <f aca="true" t="array" ref="G36:G36">IFERROR(F36/(N(INDIRECT("'"&amp;Сводка!$B$3&amp;"'!D23"))+N(INDIRECT("'"&amp;Сводка!$B$3&amp;"'!D47")))-1,"")</f>
        <v>-0.525504570949079</v>
      </c>
      <c r="H36" s="32" t="n">
        <f aca="true" t="array" ref="H36:H36">IF(INDIRECT("'"&amp;Сводка!$B$2&amp;"'!H23")="","—",INDIRECT("'"&amp;Сводка!$B$2&amp;"'!H23"))</f>
        <v>335</v>
      </c>
      <c r="I36" s="32" t="n">
        <f aca="true" t="array" ref="I36:I36">IF(INDIRECT("'"&amp;Сводка!$B$2&amp;"'!H47")="","—",INDIRECT("'"&amp;Сводка!$B$2&amp;"'!H47"))</f>
        <v>72</v>
      </c>
      <c r="J36" s="32" t="s">
        <v>98</v>
      </c>
      <c r="K36" s="32" t="s">
        <v>98</v>
      </c>
      <c r="L36" s="32" t="n">
        <f aca="true" t="array" ref="L36:L36">N(INDIRECT("'"&amp;Сводка!$B$2&amp;"'!H23"))+N(INDIRECT("'"&amp;Сводка!$B$2&amp;"'!H47"))</f>
        <v>407</v>
      </c>
      <c r="M36" s="34" t="n">
        <f aca="true" t="array" ref="M36:M36">IFERROR(L36/(N(INDIRECT("'"&amp;Сводка!$B$3&amp;"'!H23"))+N(INDIRECT("'"&amp;Сводка!$B$3&amp;"'!H47")))-1,"")</f>
        <v>-0.379573170731707</v>
      </c>
      <c r="N36" s="32" t="n">
        <f aca="true" t="array" ref="N36:N36">N(INDIRECT("'"&amp;Сводка!$B$2&amp;"'!C23"))+N(INDIRECT("'"&amp;Сводка!$B$2&amp;"'!C47"))</f>
        <v>21</v>
      </c>
      <c r="O36" s="52" t="n">
        <f aca="false">IFERROR(L36/F36*1000,"")</f>
        <v>37.8816083395383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60</v>
      </c>
      <c r="B37" s="32" t="n">
        <f aca="true" t="array" ref="B37:B37">IF(INDIRECT("'"&amp;Сводка!$B$2&amp;"'!D24")="","—",INDIRECT("'"&amp;Сводка!$B$2&amp;"'!D24"))</f>
        <v>10900</v>
      </c>
      <c r="C37" s="32" t="n">
        <f aca="true" t="array" ref="C37:C37">IF(INDIRECT("'"&amp;Сводка!$B$2&amp;"'!D48")="","—",INDIRECT("'"&amp;Сводка!$B$2&amp;"'!D48"))</f>
        <v>2168</v>
      </c>
      <c r="D37" s="32" t="s">
        <v>98</v>
      </c>
      <c r="E37" s="32" t="s">
        <v>98</v>
      </c>
      <c r="F37" s="32" t="n">
        <f aca="true" t="array" ref="F37:F37">N(INDIRECT("'"&amp;Сводка!$B$2&amp;"'!D24"))+N(INDIRECT("'"&amp;Сводка!$B$2&amp;"'!D48"))</f>
        <v>13068</v>
      </c>
      <c r="G37" s="34" t="n">
        <f aca="true" t="array" ref="G37:G37">IFERROR(F37/(N(INDIRECT("'"&amp;Сводка!$B$3&amp;"'!D24"))+N(INDIRECT("'"&amp;Сводка!$B$3&amp;"'!D48")))-1,"")</f>
        <v>0.00307031010132031</v>
      </c>
      <c r="H37" s="32" t="n">
        <f aca="true" t="array" ref="H37:H37">IF(INDIRECT("'"&amp;Сводка!$B$2&amp;"'!H24")="","—",INDIRECT("'"&amp;Сводка!$B$2&amp;"'!H24"))</f>
        <v>351</v>
      </c>
      <c r="I37" s="32" t="n">
        <f aca="true" t="array" ref="I37:I37">IF(INDIRECT("'"&amp;Сводка!$B$2&amp;"'!H48")="","—",INDIRECT("'"&amp;Сводка!$B$2&amp;"'!H48"))</f>
        <v>180</v>
      </c>
      <c r="J37" s="32" t="s">
        <v>98</v>
      </c>
      <c r="K37" s="32" t="s">
        <v>98</v>
      </c>
      <c r="L37" s="32" t="n">
        <f aca="true" t="array" ref="L37:L37">N(INDIRECT("'"&amp;Сводка!$B$2&amp;"'!H24"))+N(INDIRECT("'"&amp;Сводка!$B$2&amp;"'!H48"))</f>
        <v>531</v>
      </c>
      <c r="M37" s="34" t="n">
        <f aca="true" t="array" ref="M37:M37">IFERROR(L37/(N(INDIRECT("'"&amp;Сводка!$B$3&amp;"'!H24"))+N(INDIRECT("'"&amp;Сводка!$B$3&amp;"'!H48")))-1,"")</f>
        <v>0.223502304147466</v>
      </c>
      <c r="N37" s="32" t="n">
        <f aca="true" t="array" ref="N37:N37">N(INDIRECT("'"&amp;Сводка!$B$2&amp;"'!C24"))+N(INDIRECT("'"&amp;Сводка!$B$2&amp;"'!C48"))</f>
        <v>11</v>
      </c>
      <c r="O37" s="52" t="n">
        <f aca="false">IFERROR(L37/F37*1000,"")</f>
        <v>40.633608815427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65</v>
      </c>
      <c r="B38" s="32" t="n">
        <f aca="true" t="array" ref="B38:B38">IF(INDIRECT("'"&amp;Сводка!$B$2&amp;"'!D29")="","—",INDIRECT("'"&amp;Сводка!$B$2&amp;"'!D29"))</f>
        <v>15009</v>
      </c>
      <c r="C38" s="32" t="n">
        <f aca="true" t="array" ref="C38:C38">IF(INDIRECT("'"&amp;Сводка!$B$2&amp;"'!D50")="","—",INDIRECT("'"&amp;Сводка!$B$2&amp;"'!D50"))</f>
        <v>837</v>
      </c>
      <c r="D38" s="32" t="n">
        <f aca="true" t="array" ref="D38:D38">IF(INDIRECT("'"&amp;Сводка!$B$2&amp;"'!D73")="","—",INDIRECT("'"&amp;Сводка!$B$2&amp;"'!D73"))</f>
        <v>2650</v>
      </c>
      <c r="E38" s="32" t="n">
        <f aca="true" t="array" ref="E38:E38">IF(INDIRECT("'"&amp;Сводка!$B$2&amp;"'!D95")="","—",INDIRECT("'"&amp;Сводка!$B$2&amp;"'!D95"))</f>
        <v>7784</v>
      </c>
      <c r="F38" s="32" t="n">
        <f aca="true" t="array" ref="F38:F38">N(INDIRECT("'"&amp;Сводка!$B$2&amp;"'!D29"))+N(INDIRECT("'"&amp;Сводка!$B$2&amp;"'!D50"))+N(INDIRECT("'"&amp;Сводка!$B$2&amp;"'!D73"))+N(INDIRECT("'"&amp;Сводка!$B$2&amp;"'!D95"))</f>
        <v>26280</v>
      </c>
      <c r="G38" s="34" t="n">
        <f aca="true" t="array" ref="G38:G38">IFERROR(F38/(N(INDIRECT("'"&amp;Сводка!$B$3&amp;"'!D29"))+N(INDIRECT("'"&amp;Сводка!$B$3&amp;"'!D50"))+N(INDIRECT("'"&amp;Сводка!$B$3&amp;"'!D73"))+N(INDIRECT("'"&amp;Сводка!$B$3&amp;"'!D95")))-1,"")</f>
        <v>-0.174804534179044</v>
      </c>
      <c r="H38" s="32" t="n">
        <f aca="true" t="array" ref="H38:H38">IF(INDIRECT("'"&amp;Сводка!$B$2&amp;"'!H29")="","—",INDIRECT("'"&amp;Сводка!$B$2&amp;"'!H29"))</f>
        <v>177</v>
      </c>
      <c r="I38" s="32" t="n">
        <f aca="true" t="array" ref="I38:I38">IF(INDIRECT("'"&amp;Сводка!$B$2&amp;"'!H50")="","—",INDIRECT("'"&amp;Сводка!$B$2&amp;"'!H50"))</f>
        <v>6</v>
      </c>
      <c r="J38" s="32" t="n">
        <f aca="true" t="array" ref="J38:J38">IF(INDIRECT("'"&amp;Сводка!$B$2&amp;"'!H73")="","—",INDIRECT("'"&amp;Сводка!$B$2&amp;"'!H73"))</f>
        <v>16</v>
      </c>
      <c r="K38" s="32" t="n">
        <f aca="true" t="array" ref="K38:K38">IF(INDIRECT("'"&amp;Сводка!$B$2&amp;"'!H95")="","—",INDIRECT("'"&amp;Сводка!$B$2&amp;"'!H95"))</f>
        <v>66</v>
      </c>
      <c r="L38" s="32" t="n">
        <f aca="true" t="array" ref="L38:L38">N(INDIRECT("'"&amp;Сводка!$B$2&amp;"'!H29"))+N(INDIRECT("'"&amp;Сводка!$B$2&amp;"'!H50"))+N(INDIRECT("'"&amp;Сводка!$B$2&amp;"'!H73"))+N(INDIRECT("'"&amp;Сводка!$B$2&amp;"'!H95"))</f>
        <v>265</v>
      </c>
      <c r="M38" s="34" t="n">
        <f aca="true" t="array" ref="M38:M38">IFERROR(L38/(N(INDIRECT("'"&amp;Сводка!$B$3&amp;"'!H29"))+N(INDIRECT("'"&amp;Сводка!$B$3&amp;"'!H50"))+N(INDIRECT("'"&amp;Сводка!$B$3&amp;"'!H73"))+N(INDIRECT("'"&amp;Сводка!$B$3&amp;"'!H95")))-1,"")</f>
        <v>-0.463562753036437</v>
      </c>
      <c r="N38" s="32" t="n">
        <f aca="true" t="array" ref="N38:N38">N(INDIRECT("'"&amp;Сводка!$B$2&amp;"'!C29"))+N(INDIRECT("'"&amp;Сводка!$B$2&amp;"'!C50"))+N(INDIRECT("'"&amp;Сводка!$B$2&amp;"'!C73"))+N(INDIRECT("'"&amp;Сводка!$B$2&amp;"'!C95"))</f>
        <v>33</v>
      </c>
      <c r="O38" s="52" t="n">
        <f aca="false">IFERROR(L38/F38*1000,"")</f>
        <v>10.0837138508371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5" t="s">
        <v>99</v>
      </c>
      <c r="B39" s="36" t="n">
        <f aca="false">SUM(B28:B38)</f>
        <v>126707</v>
      </c>
      <c r="C39" s="36" t="n">
        <f aca="false">SUM(C28:C38)</f>
        <v>3771</v>
      </c>
      <c r="D39" s="36" t="n">
        <f aca="false">SUM(D28:D38)</f>
        <v>16993</v>
      </c>
      <c r="E39" s="36" t="n">
        <f aca="false">SUM(E28:E38)</f>
        <v>22071</v>
      </c>
      <c r="F39" s="36" t="n">
        <f aca="false">SUM(F28:F38)</f>
        <v>169542</v>
      </c>
      <c r="G39" s="38" t="n">
        <f aca="true" t="array" ref="G39:G39">IFERROR(F39/(N(INDIRECT("'"&amp;Сводка!$B$3&amp;"'!D20"))+N(INDIRECT("'"&amp;Сводка!$B$3&amp;"'!D71"))+N(INDIRECT("'"&amp;Сводка!$B$3&amp;"'!D93"))+N(INDIRECT("'"&amp;Сводка!$B$3&amp;"'!D25"))+N(INDIRECT("'"&amp;Сводка!$B$3&amp;"'!D72"))+N(INDIRECT("'"&amp;Сводка!$B$3&amp;"'!D94"))+N(INDIRECT("'"&amp;Сводка!$B$3&amp;"'!D55"))+N(INDIRECT("'"&amp;Сводка!$B$3&amp;"'!D78"))+N(INDIRECT("'"&amp;Сводка!$B$3&amp;"'!D56"))+N(INDIRECT("'"&amp;Сводка!$B$3&amp;"'!D79"))+N(INDIRECT("'"&amp;Сводка!$B$3&amp;"'!D21"))+N(INDIRECT("'"&amp;Сводка!$B$3&amp;"'!D22"))+N(INDIRECT("'"&amp;Сводка!$B$3&amp;"'!D27"))+N(INDIRECT("'"&amp;Сводка!$B$3&amp;"'!D28"))+N(INDIRECT("'"&amp;Сводка!$B$3&amp;"'!D23"))+N(INDIRECT("'"&amp;Сводка!$B$3&amp;"'!D47"))+N(INDIRECT("'"&amp;Сводка!$B$3&amp;"'!D24"))+N(INDIRECT("'"&amp;Сводка!$B$3&amp;"'!D48"))+N(INDIRECT("'"&amp;Сводка!$B$3&amp;"'!D29"))+N(INDIRECT("'"&amp;Сводка!$B$3&amp;"'!D50"))+N(INDIRECT("'"&amp;Сводка!$B$3&amp;"'!D73"))+N(INDIRECT("'"&amp;Сводка!$B$3&amp;"'!D95")))-1,"")</f>
        <v>0.187959388159785</v>
      </c>
      <c r="H39" s="36" t="n">
        <f aca="false">SUM(H28:H38)</f>
        <v>3485</v>
      </c>
      <c r="I39" s="36" t="n">
        <f aca="false">SUM(I28:I38)</f>
        <v>258</v>
      </c>
      <c r="J39" s="36" t="n">
        <f aca="false">SUM(J28:J38)</f>
        <v>716</v>
      </c>
      <c r="K39" s="36" t="n">
        <f aca="false">SUM(K28:K38)</f>
        <v>1180</v>
      </c>
      <c r="L39" s="36" t="n">
        <f aca="false">SUM(L28:L38)</f>
        <v>5639</v>
      </c>
      <c r="M39" s="38" t="n">
        <f aca="true" t="array" ref="M39:M39">IFERROR(L39/(N(INDIRECT("'"&amp;Сводка!$B$3&amp;"'!H20"))+N(INDIRECT("'"&amp;Сводка!$B$3&amp;"'!H71"))+N(INDIRECT("'"&amp;Сводка!$B$3&amp;"'!H93"))+N(INDIRECT("'"&amp;Сводка!$B$3&amp;"'!H25"))+N(INDIRECT("'"&amp;Сводка!$B$3&amp;"'!H72"))+N(INDIRECT("'"&amp;Сводка!$B$3&amp;"'!H94"))+N(INDIRECT("'"&amp;Сводка!$B$3&amp;"'!H55"))+N(INDIRECT("'"&amp;Сводка!$B$3&amp;"'!H78"))+N(INDIRECT("'"&amp;Сводка!$B$3&amp;"'!H56"))+N(INDIRECT("'"&amp;Сводка!$B$3&amp;"'!H79"))+N(INDIRECT("'"&amp;Сводка!$B$3&amp;"'!H21"))+N(INDIRECT("'"&amp;Сводка!$B$3&amp;"'!H22"))+N(INDIRECT("'"&amp;Сводка!$B$3&amp;"'!H27"))+N(INDIRECT("'"&amp;Сводка!$B$3&amp;"'!H28"))+N(INDIRECT("'"&amp;Сводка!$B$3&amp;"'!H23"))+N(INDIRECT("'"&amp;Сводка!$B$3&amp;"'!H47"))+N(INDIRECT("'"&amp;Сводка!$B$3&amp;"'!H24"))+N(INDIRECT("'"&amp;Сводка!$B$3&amp;"'!H48"))+N(INDIRECT("'"&amp;Сводка!$B$3&amp;"'!H29"))+N(INDIRECT("'"&amp;Сводка!$B$3&amp;"'!H50"))+N(INDIRECT("'"&amp;Сводка!$B$3&amp;"'!H73"))+N(INDIRECT("'"&amp;Сводка!$B$3&amp;"'!H95")))-1,"")</f>
        <v>0.00876565295169951</v>
      </c>
      <c r="N39" s="36" t="n">
        <f aca="false">SUM(N28:N38)</f>
        <v>262</v>
      </c>
      <c r="O39" s="53" t="n">
        <f aca="false">IFERROR(L39/F39*1000,"")</f>
        <v>33.2601951138951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54"/>
      <c r="C40" s="54"/>
      <c r="D40" s="54"/>
      <c r="E40" s="54"/>
      <c r="F40" s="54"/>
      <c r="G40" s="55"/>
      <c r="H40" s="54"/>
      <c r="I40" s="54"/>
      <c r="J40" s="54"/>
      <c r="K40" s="54"/>
      <c r="L40" s="54"/>
      <c r="M40" s="55"/>
      <c r="N40" s="54"/>
      <c r="O40" s="5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48" t="s">
        <v>100</v>
      </c>
      <c r="B41" s="49"/>
      <c r="C41" s="49"/>
      <c r="D41" s="49"/>
      <c r="E41" s="49"/>
      <c r="F41" s="49"/>
      <c r="G41" s="50"/>
      <c r="H41" s="49"/>
      <c r="I41" s="49"/>
      <c r="J41" s="49"/>
      <c r="K41" s="49"/>
      <c r="L41" s="49"/>
      <c r="M41" s="50"/>
      <c r="N41" s="49"/>
      <c r="O41" s="5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62</v>
      </c>
      <c r="B42" s="32" t="n">
        <f aca="true" t="array" ref="B42:B42">IF(INDIRECT("'"&amp;Сводка!$B$2&amp;"'!D26")="","—",INDIRECT("'"&amp;Сводка!$B$2&amp;"'!D26"))</f>
        <v>30938</v>
      </c>
      <c r="C42" s="32" t="n">
        <f aca="true" t="array" ref="C42:C42">IF(INDIRECT("'"&amp;Сводка!$B$2&amp;"'!D49")="","—",INDIRECT("'"&amp;Сводка!$B$2&amp;"'!D49"))</f>
        <v>9103</v>
      </c>
      <c r="D42" s="32" t="n">
        <f aca="true" t="array" ref="D42:D42">IF(INDIRECT("'"&amp;Сводка!$B$2&amp;"'!D70")="","—",INDIRECT("'"&amp;Сводка!$B$2&amp;"'!D70"))</f>
        <v>3776</v>
      </c>
      <c r="E42" s="32" t="s">
        <v>98</v>
      </c>
      <c r="F42" s="32" t="n">
        <f aca="true" t="array" ref="F42:F42">N(INDIRECT("'"&amp;Сводка!$B$2&amp;"'!D26"))+N(INDIRECT("'"&amp;Сводка!$B$2&amp;"'!D49"))+N(INDIRECT("'"&amp;Сводка!$B$2&amp;"'!D70"))</f>
        <v>43817</v>
      </c>
      <c r="G42" s="34" t="n">
        <f aca="true" t="array" ref="G42:G42">IFERROR(F42/(N(INDIRECT("'"&amp;Сводка!$B$3&amp;"'!D26"))+N(INDIRECT("'"&amp;Сводка!$B$3&amp;"'!D49"))+N(INDIRECT("'"&amp;Сводка!$B$3&amp;"'!D70")))-1,"")</f>
        <v>-0.178487728968633</v>
      </c>
      <c r="H42" s="32" t="n">
        <f aca="true" t="array" ref="H42:H42">IF(INDIRECT("'"&amp;Сводка!$B$2&amp;"'!H26")="","—",INDIRECT("'"&amp;Сводка!$B$2&amp;"'!H26"))</f>
        <v>90</v>
      </c>
      <c r="I42" s="32" t="n">
        <f aca="true" t="array" ref="I42:I42">IF(INDIRECT("'"&amp;Сводка!$B$2&amp;"'!H49")="","—",INDIRECT("'"&amp;Сводка!$B$2&amp;"'!H49"))</f>
        <v>2</v>
      </c>
      <c r="J42" s="32" t="n">
        <f aca="true" t="array" ref="J42:J42">IF(INDIRECT("'"&amp;Сводка!$B$2&amp;"'!H70")="","—",INDIRECT("'"&amp;Сводка!$B$2&amp;"'!H70"))</f>
        <v>1</v>
      </c>
      <c r="K42" s="32" t="s">
        <v>98</v>
      </c>
      <c r="L42" s="32" t="n">
        <f aca="true" t="array" ref="L42:L42">N(INDIRECT("'"&amp;Сводка!$B$2&amp;"'!H26"))+N(INDIRECT("'"&amp;Сводка!$B$2&amp;"'!H49"))+N(INDIRECT("'"&amp;Сводка!$B$2&amp;"'!H70"))</f>
        <v>93</v>
      </c>
      <c r="M42" s="34" t="n">
        <f aca="true" t="array" ref="M42:M42">IFERROR(L42/(N(INDIRECT("'"&amp;Сводка!$B$3&amp;"'!H26"))+N(INDIRECT("'"&amp;Сводка!$B$3&amp;"'!H49"))+N(INDIRECT("'"&amp;Сводка!$B$3&amp;"'!H70")))-1,"")</f>
        <v>-0.261904761904762</v>
      </c>
      <c r="N42" s="32" t="n">
        <f aca="true" t="array" ref="N42:N42">N(INDIRECT("'"&amp;Сводка!$B$2&amp;"'!C26"))+N(INDIRECT("'"&amp;Сводка!$B$2&amp;"'!C49"))+N(INDIRECT("'"&amp;Сводка!$B$2&amp;"'!C70"))</f>
        <v>643</v>
      </c>
      <c r="O42" s="52" t="n">
        <f aca="false">IFERROR(L42/F42*1000,"")</f>
        <v>2.12246388388069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41</v>
      </c>
      <c r="B43" s="32" t="n">
        <f aca="true" t="array" ref="B43:B43">IF(INDIRECT("'"&amp;Сводка!$B$2&amp;"'!D5")="","—",INDIRECT("'"&amp;Сводка!$B$2&amp;"'!D5"))</f>
        <v>3132</v>
      </c>
      <c r="C43" s="32" t="s">
        <v>98</v>
      </c>
      <c r="D43" s="32" t="s">
        <v>98</v>
      </c>
      <c r="E43" s="32" t="s">
        <v>98</v>
      </c>
      <c r="F43" s="32" t="n">
        <f aca="true" t="array" ref="F43:F43">N(INDIRECT("'"&amp;Сводка!$B$2&amp;"'!D5"))</f>
        <v>3132</v>
      </c>
      <c r="G43" s="34" t="n">
        <f aca="true" t="array" ref="G43:G43">IFERROR(F43/(N(INDIRECT("'"&amp;Сводка!$B$3&amp;"'!D5")))-1,"")</f>
        <v>0.0471414242728185</v>
      </c>
      <c r="H43" s="32" t="n">
        <f aca="true" t="array" ref="H43:H43">IF(INDIRECT("'"&amp;Сводка!$B$2&amp;"'!H5")="","—",INDIRECT("'"&amp;Сводка!$B$2&amp;"'!H5"))</f>
        <v>10</v>
      </c>
      <c r="I43" s="32" t="s">
        <v>98</v>
      </c>
      <c r="J43" s="32" t="s">
        <v>98</v>
      </c>
      <c r="K43" s="32" t="s">
        <v>98</v>
      </c>
      <c r="L43" s="32" t="n">
        <f aca="true" t="array" ref="L43:L43">N(INDIRECT("'"&amp;Сводка!$B$2&amp;"'!H5"))</f>
        <v>10</v>
      </c>
      <c r="M43" s="34" t="n">
        <f aca="true" t="array" ref="M43:M43">IFERROR(L43/(N(INDIRECT("'"&amp;Сводка!$B$3&amp;"'!H5")))-1,"")</f>
        <v>-0.166666666666667</v>
      </c>
      <c r="N43" s="32" t="n">
        <f aca="true" t="array" ref="N43:N43">N(INDIRECT("'"&amp;Сводка!$B$2&amp;"'!C5"))</f>
        <v>151</v>
      </c>
      <c r="O43" s="52" t="n">
        <f aca="false">IFERROR(L43/F43*1000,"")</f>
        <v>3.19284802043423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5" t="s">
        <v>101</v>
      </c>
      <c r="B44" s="36" t="n">
        <f aca="false">SUM(B42:B43)</f>
        <v>34070</v>
      </c>
      <c r="C44" s="36" t="n">
        <f aca="false">SUM(C42:C43)</f>
        <v>9103</v>
      </c>
      <c r="D44" s="36" t="n">
        <f aca="false">SUM(D42:D43)</f>
        <v>3776</v>
      </c>
      <c r="E44" s="36" t="n">
        <f aca="false">SUM(E42:E43)</f>
        <v>0</v>
      </c>
      <c r="F44" s="36" t="n">
        <f aca="false">SUM(F42:F43)</f>
        <v>46949</v>
      </c>
      <c r="G44" s="38" t="n">
        <f aca="true" t="array" ref="G44:G44">IFERROR(F44/(N(INDIRECT("'"&amp;Сводка!$B$3&amp;"'!D26"))+N(INDIRECT("'"&amp;Сводка!$B$3&amp;"'!D49"))+N(INDIRECT("'"&amp;Сводка!$B$3&amp;"'!D70"))+N(INDIRECT("'"&amp;Сводка!$B$3&amp;"'!D5")))-1,"")</f>
        <v>-0.166506888226104</v>
      </c>
      <c r="H44" s="36" t="n">
        <f aca="false">SUM(H42:H43)</f>
        <v>100</v>
      </c>
      <c r="I44" s="36" t="n">
        <f aca="false">SUM(I42:I43)</f>
        <v>2</v>
      </c>
      <c r="J44" s="36" t="n">
        <f aca="false">SUM(J42:J43)</f>
        <v>1</v>
      </c>
      <c r="K44" s="36" t="n">
        <f aca="false">SUM(K42:K43)</f>
        <v>0</v>
      </c>
      <c r="L44" s="36" t="n">
        <f aca="false">SUM(L42:L43)</f>
        <v>103</v>
      </c>
      <c r="M44" s="38" t="n">
        <f aca="true" t="array" ref="M44:M44">IFERROR(L44/(N(INDIRECT("'"&amp;Сводка!$B$3&amp;"'!H26"))+N(INDIRECT("'"&amp;Сводка!$B$3&amp;"'!H49"))+N(INDIRECT("'"&amp;Сводка!$B$3&amp;"'!H70"))+N(INDIRECT("'"&amp;Сводка!$B$3&amp;"'!H5")))-1,"")</f>
        <v>-0.253623188405797</v>
      </c>
      <c r="N44" s="36" t="n">
        <f aca="false">SUM(N42:N43)</f>
        <v>794</v>
      </c>
      <c r="O44" s="53" t="n">
        <f aca="false">IFERROR(L44/F44*1000,"")</f>
        <v>2.19386994398177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54"/>
      <c r="C45" s="54"/>
      <c r="D45" s="54"/>
      <c r="E45" s="54"/>
      <c r="F45" s="54"/>
      <c r="G45" s="55"/>
      <c r="H45" s="54"/>
      <c r="I45" s="54"/>
      <c r="J45" s="54"/>
      <c r="K45" s="54"/>
      <c r="L45" s="54"/>
      <c r="M45" s="55"/>
      <c r="N45" s="54"/>
      <c r="O45" s="5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54"/>
      <c r="C46" s="54"/>
      <c r="D46" s="54"/>
      <c r="E46" s="54"/>
      <c r="F46" s="54"/>
      <c r="G46" s="55"/>
      <c r="H46" s="54"/>
      <c r="I46" s="54"/>
      <c r="J46" s="54"/>
      <c r="K46" s="54"/>
      <c r="L46" s="54"/>
      <c r="M46" s="55"/>
      <c r="N46" s="54"/>
      <c r="O46" s="5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3:G3"/>
    <mergeCell ref="H3:M3"/>
  </mergeCells>
  <conditionalFormatting sqref="G6:G46">
    <cfRule type="expression" priority="2" aboveAverage="0" equalAverage="0" bottom="0" percent="0" rank="0" text="" dxfId="0">
      <formula>AND(ISNUMBER(G6),G6&gt;=0.2)</formula>
    </cfRule>
    <cfRule type="expression" priority="3" aboveAverage="0" equalAverage="0" bottom="0" percent="0" rank="0" text="" dxfId="1">
      <formula>AND(ISNUMBER(G6),G6&lt;=-0.2)</formula>
    </cfRule>
    <cfRule type="expression" priority="4" aboveAverage="0" equalAverage="0" bottom="0" percent="0" rank="0" text="" dxfId="2">
      <formula>AND(ISNUMBER(G6),G6&gt;0)</formula>
    </cfRule>
    <cfRule type="expression" priority="5" aboveAverage="0" equalAverage="0" bottom="0" percent="0" rank="0" text="" dxfId="3">
      <formula>AND(ISNUMBER(G6),G6&lt;0)</formula>
    </cfRule>
  </conditionalFormatting>
  <conditionalFormatting sqref="M6:M46">
    <cfRule type="expression" priority="6" aboveAverage="0" equalAverage="0" bottom="0" percent="0" rank="0" text="" dxfId="0">
      <formula>AND(ISNUMBER(M6),M6&gt;=0.2)</formula>
    </cfRule>
    <cfRule type="expression" priority="7" aboveAverage="0" equalAverage="0" bottom="0" percent="0" rank="0" text="" dxfId="1">
      <formula>AND(ISNUMBER(M6),M6&lt;=-0.2)</formula>
    </cfRule>
    <cfRule type="expression" priority="8" aboveAverage="0" equalAverage="0" bottom="0" percent="0" rank="0" text="" dxfId="2">
      <formula>AND(ISNUMBER(M6),M6&gt;0)</formula>
    </cfRule>
    <cfRule type="expression" priority="9" aboveAverage="0" equalAverage="0" bottom="0" percent="0" rank="0" text="" dxfId="3">
      <formula>AND(ISNUMBER(M6),M6&lt;0)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6" min="5" style="1" width="8.73"/>
  </cols>
  <sheetData>
    <row r="1" customFormat="false" ht="17.25" hidden="false" customHeight="true" outlineLevel="0" collapsed="false">
      <c r="A1" s="28" t="s">
        <v>102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9" t="s">
        <v>6</v>
      </c>
      <c r="B3" s="39" t="s">
        <v>31</v>
      </c>
      <c r="C3" s="39" t="s">
        <v>103</v>
      </c>
      <c r="D3" s="39" t="s">
        <v>104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37</v>
      </c>
      <c r="C4" s="31" t="s">
        <v>105</v>
      </c>
      <c r="D4" s="3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1" t="s">
        <v>22</v>
      </c>
      <c r="B5" s="31" t="s">
        <v>39</v>
      </c>
      <c r="C5" s="31" t="s">
        <v>106</v>
      </c>
      <c r="D5" s="3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41</v>
      </c>
      <c r="C6" s="31" t="s">
        <v>107</v>
      </c>
      <c r="D6" s="3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42</v>
      </c>
      <c r="C7" s="31" t="s">
        <v>108</v>
      </c>
      <c r="D7" s="3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43</v>
      </c>
      <c r="C8" s="31" t="s">
        <v>109</v>
      </c>
      <c r="D8" s="3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44</v>
      </c>
      <c r="C9" s="31" t="s">
        <v>110</v>
      </c>
      <c r="D9" s="3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45</v>
      </c>
      <c r="C10" s="31" t="s">
        <v>111</v>
      </c>
      <c r="D10" s="3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46</v>
      </c>
      <c r="C11" s="31" t="s">
        <v>112</v>
      </c>
      <c r="D11" s="3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47</v>
      </c>
      <c r="C12" s="31" t="s">
        <v>113</v>
      </c>
      <c r="D12" s="3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48</v>
      </c>
      <c r="C13" s="31" t="s">
        <v>114</v>
      </c>
      <c r="D13" s="3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49</v>
      </c>
      <c r="C14" s="31" t="s">
        <v>115</v>
      </c>
      <c r="D14" s="3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50</v>
      </c>
      <c r="C15" s="31" t="s">
        <v>116</v>
      </c>
      <c r="D15" s="3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51</v>
      </c>
      <c r="C16" s="31" t="s">
        <v>117</v>
      </c>
      <c r="D16" s="3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52</v>
      </c>
      <c r="C17" s="31" t="s">
        <v>118</v>
      </c>
      <c r="D17" s="3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53</v>
      </c>
      <c r="C18" s="31" t="s">
        <v>119</v>
      </c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54</v>
      </c>
      <c r="C19" s="31" t="s">
        <v>120</v>
      </c>
      <c r="D19" s="3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55</v>
      </c>
      <c r="C20" s="31" t="s">
        <v>121</v>
      </c>
      <c r="D20" s="3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56</v>
      </c>
      <c r="C21" s="31" t="s">
        <v>122</v>
      </c>
      <c r="D21" s="3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57</v>
      </c>
      <c r="C22" s="31" t="s">
        <v>123</v>
      </c>
      <c r="D22" s="3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58</v>
      </c>
      <c r="C23" s="31" t="s">
        <v>124</v>
      </c>
      <c r="D23" s="3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59</v>
      </c>
      <c r="C24" s="31" t="s">
        <v>125</v>
      </c>
      <c r="D24" s="3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60</v>
      </c>
      <c r="C25" s="31" t="s">
        <v>126</v>
      </c>
      <c r="D25" s="3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61</v>
      </c>
      <c r="C26" s="31" t="s">
        <v>127</v>
      </c>
      <c r="D26" s="3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62</v>
      </c>
      <c r="C27" s="31" t="s">
        <v>128</v>
      </c>
      <c r="D27" s="3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63</v>
      </c>
      <c r="C28" s="31" t="s">
        <v>129</v>
      </c>
      <c r="D28" s="3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64</v>
      </c>
      <c r="C29" s="31" t="s">
        <v>130</v>
      </c>
      <c r="D29" s="3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22</v>
      </c>
      <c r="B30" s="31" t="s">
        <v>65</v>
      </c>
      <c r="C30" s="31" t="s">
        <v>131</v>
      </c>
      <c r="D30" s="3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1" t="s">
        <v>132</v>
      </c>
      <c r="D31" s="31" t="s">
        <v>133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1" t="s">
        <v>134</v>
      </c>
      <c r="D32" s="31" t="s">
        <v>135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1" t="s">
        <v>136</v>
      </c>
      <c r="D33" s="31" t="s">
        <v>137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1" t="s">
        <v>138</v>
      </c>
      <c r="D34" s="31" t="s">
        <v>139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1" t="s">
        <v>140</v>
      </c>
      <c r="D35" s="31" t="s">
        <v>141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1" t="s">
        <v>142</v>
      </c>
      <c r="D36" s="31" t="s">
        <v>143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1" t="s">
        <v>144</v>
      </c>
      <c r="D37" s="31" t="s">
        <v>145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1" t="s">
        <v>146</v>
      </c>
      <c r="D38" s="31" t="s">
        <v>147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1" t="s">
        <v>148</v>
      </c>
      <c r="D39" s="31" t="s">
        <v>149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1" t="s">
        <v>150</v>
      </c>
      <c r="D40" s="31" t="s">
        <v>151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1" t="s">
        <v>152</v>
      </c>
      <c r="D41" s="31" t="s">
        <v>153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1" t="s">
        <v>154</v>
      </c>
      <c r="D42" s="31" t="s">
        <v>155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1" t="s">
        <v>156</v>
      </c>
      <c r="D43" s="31" t="s">
        <v>157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1" t="s">
        <v>158</v>
      </c>
      <c r="D44" s="31" t="s">
        <v>159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1" t="s">
        <v>160</v>
      </c>
      <c r="D45" s="31" t="s">
        <v>161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1" t="s">
        <v>162</v>
      </c>
      <c r="D46" s="31" t="s">
        <v>163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1" t="s">
        <v>164</v>
      </c>
      <c r="D47" s="31" t="s">
        <v>165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1" t="s">
        <v>166</v>
      </c>
      <c r="D48" s="31" t="s">
        <v>167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1" t="s">
        <v>168</v>
      </c>
      <c r="D49" s="31" t="s">
        <v>169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1" t="s">
        <v>170</v>
      </c>
      <c r="D50" s="31" t="s">
        <v>171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1" t="s">
        <v>24</v>
      </c>
      <c r="B51" s="31" t="s">
        <v>37</v>
      </c>
      <c r="C51" s="31" t="s">
        <v>172</v>
      </c>
      <c r="D51" s="3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39</v>
      </c>
      <c r="C52" s="31" t="s">
        <v>173</v>
      </c>
      <c r="D52" s="3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42</v>
      </c>
      <c r="C53" s="31" t="s">
        <v>174</v>
      </c>
      <c r="D53" s="3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68</v>
      </c>
      <c r="C54" s="31" t="s">
        <v>175</v>
      </c>
      <c r="D54" s="3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69</v>
      </c>
      <c r="C55" s="31" t="s">
        <v>176</v>
      </c>
      <c r="D55" s="3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43</v>
      </c>
      <c r="C56" s="31" t="s">
        <v>177</v>
      </c>
      <c r="D56" s="3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44</v>
      </c>
      <c r="C57" s="31" t="s">
        <v>178</v>
      </c>
      <c r="D57" s="3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45</v>
      </c>
      <c r="C58" s="31" t="s">
        <v>179</v>
      </c>
      <c r="D58" s="3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46</v>
      </c>
      <c r="C59" s="31" t="s">
        <v>180</v>
      </c>
      <c r="D59" s="3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47</v>
      </c>
      <c r="C60" s="31" t="s">
        <v>181</v>
      </c>
      <c r="D60" s="3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48</v>
      </c>
      <c r="C61" s="31" t="s">
        <v>182</v>
      </c>
      <c r="D61" s="3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49</v>
      </c>
      <c r="C62" s="31" t="s">
        <v>183</v>
      </c>
      <c r="D62" s="3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50</v>
      </c>
      <c r="C63" s="31" t="s">
        <v>184</v>
      </c>
      <c r="D63" s="3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51</v>
      </c>
      <c r="C64" s="31" t="s">
        <v>185</v>
      </c>
      <c r="D64" s="3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52</v>
      </c>
      <c r="C65" s="31" t="s">
        <v>186</v>
      </c>
      <c r="D65" s="3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53</v>
      </c>
      <c r="C66" s="31" t="s">
        <v>187</v>
      </c>
      <c r="D66" s="3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54</v>
      </c>
      <c r="C67" s="31" t="s">
        <v>188</v>
      </c>
      <c r="D67" s="3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55</v>
      </c>
      <c r="C68" s="31" t="s">
        <v>189</v>
      </c>
      <c r="D68" s="3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62</v>
      </c>
      <c r="C69" s="31" t="s">
        <v>190</v>
      </c>
      <c r="D69" s="3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56</v>
      </c>
      <c r="C70" s="31" t="s">
        <v>191</v>
      </c>
      <c r="D70" s="3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61</v>
      </c>
      <c r="C71" s="31" t="s">
        <v>192</v>
      </c>
      <c r="D71" s="3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65</v>
      </c>
      <c r="C72" s="31" t="s">
        <v>193</v>
      </c>
      <c r="D72" s="3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1" t="s">
        <v>25</v>
      </c>
      <c r="B73" s="31" t="s">
        <v>37</v>
      </c>
      <c r="C73" s="31" t="s">
        <v>194</v>
      </c>
      <c r="D73" s="31" t="s">
        <v>195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1" t="s">
        <v>25</v>
      </c>
      <c r="B74" s="31" t="s">
        <v>39</v>
      </c>
      <c r="C74" s="31" t="s">
        <v>196</v>
      </c>
      <c r="D74" s="31" t="s">
        <v>197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42</v>
      </c>
      <c r="C75" s="31" t="s">
        <v>198</v>
      </c>
      <c r="D75" s="31" t="s">
        <v>199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68</v>
      </c>
      <c r="C76" s="31" t="s">
        <v>200</v>
      </c>
      <c r="D76" s="31" t="s">
        <v>201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69</v>
      </c>
      <c r="C77" s="31" t="s">
        <v>202</v>
      </c>
      <c r="D77" s="31" t="s">
        <v>203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43</v>
      </c>
      <c r="C78" s="31" t="s">
        <v>204</v>
      </c>
      <c r="D78" s="31" t="s">
        <v>205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44</v>
      </c>
      <c r="C79" s="31" t="s">
        <v>206</v>
      </c>
      <c r="D79" s="31" t="s">
        <v>207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45</v>
      </c>
      <c r="C80" s="31" t="s">
        <v>208</v>
      </c>
      <c r="D80" s="31" t="s">
        <v>209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46</v>
      </c>
      <c r="C81" s="31" t="s">
        <v>210</v>
      </c>
      <c r="D81" s="31" t="s">
        <v>211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47</v>
      </c>
      <c r="C82" s="31" t="s">
        <v>212</v>
      </c>
      <c r="D82" s="31" t="s">
        <v>213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48</v>
      </c>
      <c r="C83" s="31" t="s">
        <v>214</v>
      </c>
      <c r="D83" s="31" t="s">
        <v>215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49</v>
      </c>
      <c r="C84" s="31" t="s">
        <v>216</v>
      </c>
      <c r="D84" s="31" t="s">
        <v>217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50</v>
      </c>
      <c r="C85" s="31" t="s">
        <v>218</v>
      </c>
      <c r="D85" s="31" t="s">
        <v>219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51</v>
      </c>
      <c r="C86" s="31" t="s">
        <v>220</v>
      </c>
      <c r="D86" s="31" t="s">
        <v>221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52</v>
      </c>
      <c r="C87" s="31" t="s">
        <v>222</v>
      </c>
      <c r="D87" s="31" t="s">
        <v>223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53</v>
      </c>
      <c r="C88" s="31" t="s">
        <v>224</v>
      </c>
      <c r="D88" s="31" t="s">
        <v>225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54</v>
      </c>
      <c r="C89" s="31" t="s">
        <v>226</v>
      </c>
      <c r="D89" s="31" t="s">
        <v>227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55</v>
      </c>
      <c r="C90" s="31" t="s">
        <v>228</v>
      </c>
      <c r="D90" s="31" t="s">
        <v>229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56</v>
      </c>
      <c r="C91" s="31" t="s">
        <v>230</v>
      </c>
      <c r="D91" s="31" t="s">
        <v>231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61</v>
      </c>
      <c r="C92" s="31" t="s">
        <v>232</v>
      </c>
      <c r="D92" s="31" t="s">
        <v>233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65</v>
      </c>
      <c r="C93" s="31" t="s">
        <v>234</v>
      </c>
      <c r="D93" s="31" t="s">
        <v>235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2026-09-28T06:43:36Z</dcterms:created>
  <dc:creator>openpyxl</dc:creator>
  <dc:description/>
  <dc:language>en-US</dc:language>
  <cp:lastModifiedBy>admin</cp:lastModifiedBy>
  <dcterms:modified xsi:type="dcterms:W3CDTF">2026-10-12T06:51:11Z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